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7.xml" ContentType="application/vnd.ms-excel.controlpropertie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trlProps/ctrlProp8.xml" ContentType="application/vnd.ms-excel.controlproperties+xml"/>
  <Override PartName="/xl/drawings/drawing1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omments3.xml" ContentType="application/vnd.openxmlformats-officedocument.spreadsheetml.comments+xml"/>
  <Override PartName="/xl/drawings/drawing14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omments4.xml" ContentType="application/vnd.openxmlformats-officedocument.spreadsheetml.comments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omments5.xml" ContentType="application/vnd.openxmlformats-officedocument.spreadsheetml.comments+xml"/>
  <Override PartName="/xl/drawings/drawing17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omments6.xml" ContentType="application/vnd.openxmlformats-officedocument.spreadsheetml.comments+xml"/>
  <Override PartName="/xl/drawings/drawing18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omments7.xml" ContentType="application/vnd.openxmlformats-officedocument.spreadsheetml.comments+xml"/>
  <Override PartName="/xl/drawings/drawing19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omments8.xml" ContentType="application/vnd.openxmlformats-officedocument.spreadsheetml.comments+xml"/>
  <Override PartName="/xl/drawings/drawing20.xml" ContentType="application/vnd.openxmlformats-officedocument.drawing+xml"/>
  <Override PartName="/xl/ctrlProps/ctrlProp28.xml" ContentType="application/vnd.ms-excel.controlproperties+xml"/>
  <Override PartName="/xl/drawings/drawing21.xml" ContentType="application/vnd.openxmlformats-officedocument.drawing+xml"/>
  <Override PartName="/xl/ctrlProps/ctrlProp29.xml" ContentType="application/vnd.ms-excel.controlproperties+xml"/>
  <Override PartName="/xl/drawings/drawing22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omments9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3.xml" ContentType="application/vnd.openxmlformats-officedocument.drawing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omments10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onika Lewenski\Courses\Chapter 1. Models and Analysis\B. Project Finance Models and Exercises\B. Project Finance Model Exercises\D. Sculpting Course\"/>
    </mc:Choice>
  </mc:AlternateContent>
  <xr:revisionPtr revIDLastSave="0" documentId="13_ncr:1_{FF65A7D7-8153-434A-995F-394AF234F1A7}" xr6:coauthVersionLast="31" xr6:coauthVersionMax="31" xr10:uidLastSave="{00000000-0000-0000-0000-000000000000}"/>
  <bookViews>
    <workbookView xWindow="0" yWindow="0" windowWidth="19200" windowHeight="6950" firstSheet="13" activeTab="15" xr2:uid="{00000000-000D-0000-FFFF-FFFF00000000}"/>
  </bookViews>
  <sheets>
    <sheet name="Course Design" sheetId="27" r:id="rId1"/>
    <sheet name="Introduction" sheetId="2" r:id="rId2"/>
    <sheet name="Basic Case - NPV Analysis" sheetId="3" r:id="rId3"/>
    <sheet name="Basic Case - NPV Analysis (2)" sheetId="9" r:id="rId4"/>
    <sheet name="Debt to Cap and LLCR" sheetId="4" r:id="rId5"/>
    <sheet name="Debt to Cap and LLCR (2)" sheetId="10" r:id="rId6"/>
    <sheet name="Multiple Debt Issues" sheetId="5" r:id="rId7"/>
    <sheet name="Multiple Debt Issues (2)" sheetId="15" r:id="rId8"/>
    <sheet name="Sculpting and Timing" sheetId="1" r:id="rId9"/>
    <sheet name="Sculpting and Timing (2)" sheetId="28" r:id="rId10"/>
    <sheet name="Simple Fees " sheetId="17" r:id="rId11"/>
    <sheet name="Simple Fees (2)" sheetId="12" r:id="rId12"/>
    <sheet name="LC Fees with Copy Paste " sheetId="22" r:id="rId13"/>
    <sheet name="LC Fees with Copy Paste (2)" sheetId="14" r:id="rId14"/>
    <sheet name="LC Fees Function" sheetId="13" r:id="rId15"/>
    <sheet name="Sculpting and Taxes" sheetId="16" r:id="rId16"/>
    <sheet name="Sculpting and Taxes (2)" sheetId="21" r:id="rId17"/>
    <sheet name="Interest Income" sheetId="8" r:id="rId18"/>
    <sheet name="Interest Income (2)" sheetId="30" r:id="rId19"/>
    <sheet name="DSRA and Interest Income" sheetId="23" r:id="rId20"/>
    <sheet name="Interest Income Function" sheetId="11" r:id="rId21"/>
    <sheet name="LC Fees and Debt Cap Constraint" sheetId="24" r:id="rId22"/>
    <sheet name="LC Fees and Debt Cap (2)" sheetId="29" r:id="rId23"/>
    <sheet name="LC, DSRA and Interest Income" sheetId="18" r:id="rId24"/>
    <sheet name="LC and DSRA Function" sheetId="25" r:id="rId25"/>
    <sheet name="LC DSRA and Taxes" sheetId="26" r:id="rId26"/>
    <sheet name="Taxes and Dep" sheetId="31" r:id="rId27"/>
    <sheet name="Taxes and Dep (2)" sheetId="35" r:id="rId28"/>
    <sheet name="DSRA as Maturity" sheetId="33" r:id="rId29"/>
    <sheet name="DSRA as Maturity (2)" sheetId="34" r:id="rId30"/>
    <sheet name="DSRA Movement" sheetId="36" r:id="rId31"/>
    <sheet name="DSRA Movement (2)" sheetId="37" r:id="rId32"/>
    <sheet name="Sheet1" sheetId="32" r:id="rId33"/>
  </sheets>
  <functionGroups builtInGroupCount="19"/>
  <externalReferences>
    <externalReference r:id="rId34"/>
  </externalReferences>
  <definedNames>
    <definedName name="cap_charge">[1]BATOKA!$F$54</definedName>
    <definedName name="comp">#REF!</definedName>
    <definedName name="comp_dsra" localSheetId="18">'Interest Income (2)'!$D$50</definedName>
    <definedName name="comp_dsra">'Interest Income'!$D$54</definedName>
    <definedName name="comp_int_inc" localSheetId="18">'Interest Income (2)'!$E$55:$BL$55</definedName>
    <definedName name="comp_int_inc">'Interest Income'!$E$59:$BL$59</definedName>
    <definedName name="Computed" localSheetId="28">#REF!</definedName>
    <definedName name="Computed" localSheetId="29">#REF!</definedName>
    <definedName name="Computed" localSheetId="30">#REF!</definedName>
    <definedName name="Computed" localSheetId="31">#REF!</definedName>
    <definedName name="Computed" localSheetId="17">'Interest Income'!$O$20</definedName>
    <definedName name="Computed" localSheetId="18">'Interest Income (2)'!$O$16</definedName>
    <definedName name="Computed" localSheetId="25">#REF!</definedName>
    <definedName name="Computed" localSheetId="22">#REF!</definedName>
    <definedName name="Computed" localSheetId="9">#REF!</definedName>
    <definedName name="Computed" localSheetId="26">#REF!</definedName>
    <definedName name="Computed" localSheetId="27">#REF!</definedName>
    <definedName name="Computed">#REF!</definedName>
    <definedName name="Computed_tax" localSheetId="28">#REF!</definedName>
    <definedName name="Computed_tax" localSheetId="29">#REF!</definedName>
    <definedName name="Computed_tax" localSheetId="30">#REF!</definedName>
    <definedName name="Computed_tax" localSheetId="31">#REF!</definedName>
    <definedName name="Computed_tax" localSheetId="27">#REF!</definedName>
    <definedName name="Computed_tax">#REF!</definedName>
    <definedName name="diff_dsra" localSheetId="18">'Interest Income (2)'!$D$52</definedName>
    <definedName name="diff_dsra">'Interest Income'!$D$56</definedName>
    <definedName name="diff_int_inc" localSheetId="18">'Interest Income (2)'!$D$57</definedName>
    <definedName name="diff_int_inc">'Interest Income'!$D$61</definedName>
    <definedName name="Difference" localSheetId="28">#REF!</definedName>
    <definedName name="Difference" localSheetId="29">#REF!</definedName>
    <definedName name="Difference" localSheetId="30">#REF!</definedName>
    <definedName name="Difference" localSheetId="31">#REF!</definedName>
    <definedName name="Difference" localSheetId="17">'Interest Income'!$P$20</definedName>
    <definedName name="Difference" localSheetId="18">'Interest Income (2)'!$P$16</definedName>
    <definedName name="Difference" localSheetId="25">#REF!</definedName>
    <definedName name="Difference" localSheetId="22">#REF!</definedName>
    <definedName name="Difference" localSheetId="9">#REF!</definedName>
    <definedName name="Difference" localSheetId="26">#REF!</definedName>
    <definedName name="Difference" localSheetId="27">#REF!</definedName>
    <definedName name="Difference">#REF!</definedName>
    <definedName name="Difference_tax" localSheetId="28">#REF!</definedName>
    <definedName name="Difference_tax" localSheetId="29">#REF!</definedName>
    <definedName name="Difference_tax" localSheetId="30">#REF!</definedName>
    <definedName name="Difference_tax" localSheetId="31">#REF!</definedName>
    <definedName name="Difference_tax" localSheetId="27">#REF!</definedName>
    <definedName name="Difference_tax">#REF!</definedName>
    <definedName name="Diffra">'[1]Financial Model'!$H$33</definedName>
    <definedName name="Fixed" localSheetId="28">#REF!</definedName>
    <definedName name="Fixed" localSheetId="29">#REF!</definedName>
    <definedName name="Fixed" localSheetId="30">#REF!</definedName>
    <definedName name="Fixed" localSheetId="31">#REF!</definedName>
    <definedName name="Fixed" localSheetId="17">'Interest Income'!$N$20</definedName>
    <definedName name="Fixed" localSheetId="18">'Interest Income (2)'!$N$16</definedName>
    <definedName name="Fixed" localSheetId="25">#REF!</definedName>
    <definedName name="Fixed" localSheetId="22">#REF!</definedName>
    <definedName name="Fixed" localSheetId="9">#REF!</definedName>
    <definedName name="Fixed" localSheetId="26">#REF!</definedName>
    <definedName name="Fixed" localSheetId="27">#REF!</definedName>
    <definedName name="Fixed">#REF!</definedName>
    <definedName name="Fixed_taxes" localSheetId="28">#REF!</definedName>
    <definedName name="Fixed_taxes" localSheetId="29">#REF!</definedName>
    <definedName name="Fixed_taxes" localSheetId="30">#REF!</definedName>
    <definedName name="Fixed_taxes" localSheetId="31">#REF!</definedName>
    <definedName name="Fixed_taxes" localSheetId="27">#REF!</definedName>
    <definedName name="Fixed_taxes">#REF!</definedName>
    <definedName name="format_2" localSheetId="3">'Sculpting and Timing'!#REF!</definedName>
    <definedName name="format_2" localSheetId="5">'Sculpting and Timing'!#REF!</definedName>
    <definedName name="format_2" localSheetId="28">'Sculpting and Timing'!#REF!</definedName>
    <definedName name="format_2" localSheetId="29">'Sculpting and Timing'!#REF!</definedName>
    <definedName name="format_2" localSheetId="30">'Sculpting and Timing'!#REF!</definedName>
    <definedName name="format_2" localSheetId="31">'Sculpting and Timing'!#REF!</definedName>
    <definedName name="format_2" localSheetId="17">'Sculpting and Timing'!#REF!</definedName>
    <definedName name="format_2" localSheetId="18">'Sculpting and Timing'!#REF!</definedName>
    <definedName name="format_2" localSheetId="25">'Sculpting and Timing'!#REF!</definedName>
    <definedName name="format_2" localSheetId="22">'Sculpting and Timing'!#REF!</definedName>
    <definedName name="format_2" localSheetId="12">'Sculpting and Timing'!#REF!</definedName>
    <definedName name="format_2" localSheetId="7">'Sculpting and Timing'!#REF!</definedName>
    <definedName name="format_2" localSheetId="16">'Sculpting and Timing'!#REF!</definedName>
    <definedName name="format_2" localSheetId="9">'Sculpting and Timing (2)'!#REF!</definedName>
    <definedName name="format_2" localSheetId="10">'Sculpting and Timing'!#REF!</definedName>
    <definedName name="format_2" localSheetId="26">'Sculpting and Timing'!#REF!</definedName>
    <definedName name="format_2" localSheetId="27">'Sculpting and Timing'!#REF!</definedName>
    <definedName name="format_2">'Sculpting and Timing'!#REF!</definedName>
    <definedName name="format_area" localSheetId="9">'Sculpting and Timing (2)'!$E$64:$BL$106</definedName>
    <definedName name="format_area">'Sculpting and Timing'!$E$64:$BL$106</definedName>
    <definedName name="Format_tax" localSheetId="28">'Sculpting and Timing'!#REF!</definedName>
    <definedName name="Format_tax" localSheetId="29">'Sculpting and Timing'!#REF!</definedName>
    <definedName name="Format_tax" localSheetId="30">'Sculpting and Timing'!#REF!</definedName>
    <definedName name="Format_tax" localSheetId="31">'Sculpting and Timing'!#REF!</definedName>
    <definedName name="Format_tax" localSheetId="27">'Sculpting and Timing'!#REF!</definedName>
    <definedName name="Format_tax">'Sculpting and Timing'!#REF!</definedName>
    <definedName name="fx">#REF!</definedName>
    <definedName name="fxcc">#REF!</definedName>
    <definedName name="Intrest_Rate" localSheetId="3">'Basic Case - NPV Analysis (2)'!$D$10</definedName>
    <definedName name="Intrest_Rate">'Basic Case - NPV Analysis'!$D$9</definedName>
    <definedName name="LC_COMP">'LC Fees with Copy Paste '!$E$35:$J$35</definedName>
    <definedName name="LC_FIXED">'LC Fees with Copy Paste '!$E$36:$J$36</definedName>
    <definedName name="pasted_dsra" localSheetId="18">'Interest Income (2)'!$D$51</definedName>
    <definedName name="pasted_dsra">'Interest Income'!$D$55</definedName>
    <definedName name="pasted_int_inc" localSheetId="18">'Interest Income (2)'!$E$56:$BL$56</definedName>
    <definedName name="pasted_int_inc">'Interest Income'!$E$60:$BL$60</definedName>
    <definedName name="Tariff" localSheetId="3">[1]BATOKA!#REF!</definedName>
    <definedName name="Tariff" localSheetId="5">[1]BATOKA!#REF!</definedName>
    <definedName name="Tariff" localSheetId="28">[1]BATOKA!#REF!</definedName>
    <definedName name="Tariff" localSheetId="29">[1]BATOKA!#REF!</definedName>
    <definedName name="Tariff" localSheetId="30">[1]BATOKA!#REF!</definedName>
    <definedName name="Tariff" localSheetId="31">[1]BATOKA!#REF!</definedName>
    <definedName name="Tariff" localSheetId="17">[1]BATOKA!#REF!</definedName>
    <definedName name="Tariff" localSheetId="18">[1]BATOKA!#REF!</definedName>
    <definedName name="Tariff" localSheetId="25">[1]BATOKA!#REF!</definedName>
    <definedName name="Tariff" localSheetId="22">[1]BATOKA!#REF!</definedName>
    <definedName name="Tariff" localSheetId="12">[1]BATOKA!#REF!</definedName>
    <definedName name="Tariff" localSheetId="7">[1]BATOKA!#REF!</definedName>
    <definedName name="Tariff" localSheetId="16">[1]BATOKA!#REF!</definedName>
    <definedName name="Tariff" localSheetId="9">[1]BATOKA!#REF!</definedName>
    <definedName name="Tariff" localSheetId="10">[1]BATOKA!#REF!</definedName>
    <definedName name="Tariff" localSheetId="26">[1]BATOKA!#REF!</definedName>
    <definedName name="Tariff" localSheetId="27">[1]BATOKA!#REF!</definedName>
    <definedName name="Tariff">[1]BATOKA!#REF!</definedName>
    <definedName name="tariff_tax" localSheetId="28">[1]BATOKA!#REF!</definedName>
    <definedName name="tariff_tax" localSheetId="29">[1]BATOKA!#REF!</definedName>
    <definedName name="tariff_tax" localSheetId="30">[1]BATOKA!#REF!</definedName>
    <definedName name="tariff_tax" localSheetId="31">[1]BATOKA!#REF!</definedName>
    <definedName name="tariff_tax" localSheetId="27">[1]BATOKA!#REF!</definedName>
    <definedName name="tariff_tax">[1]BATOKA!#REF!</definedName>
    <definedName name="tax">#REF!</definedName>
    <definedName name="tddd">#REF!</definedName>
    <definedName name="testt">[1]BATOKA!#REF!</definedName>
    <definedName name="tet">'Sculpting and Timing'!#REF!</definedName>
    <definedName name="tot_diff" localSheetId="18">'Interest Income (2)'!$D$58</definedName>
    <definedName name="tot_diff">'Interest Income'!$D$62</definedName>
    <definedName name="ttt">[1]BATOKA!#REF!</definedName>
  </definedNames>
  <calcPr calcId="179017" calcMode="autoNoTable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4" i="17" l="1"/>
  <c r="D13" i="17"/>
  <c r="D15" i="17" s="1"/>
  <c r="D25" i="17"/>
  <c r="D21" i="17"/>
  <c r="D11" i="10"/>
  <c r="F186" i="36"/>
  <c r="G186" i="36"/>
  <c r="H186" i="36"/>
  <c r="I186" i="36"/>
  <c r="J186" i="36"/>
  <c r="K186" i="36"/>
  <c r="L186" i="36"/>
  <c r="M186" i="36"/>
  <c r="N186" i="36"/>
  <c r="O186" i="36"/>
  <c r="P186" i="36"/>
  <c r="Q186" i="36"/>
  <c r="R186" i="36"/>
  <c r="S186" i="36"/>
  <c r="T186" i="36"/>
  <c r="U186" i="36"/>
  <c r="V186" i="36"/>
  <c r="W186" i="36"/>
  <c r="X186" i="36"/>
  <c r="Y186" i="36"/>
  <c r="Z186" i="36"/>
  <c r="AA186" i="36"/>
  <c r="AB186" i="36"/>
  <c r="AC186" i="36"/>
  <c r="AD186" i="36"/>
  <c r="AE186" i="36"/>
  <c r="AF186" i="36"/>
  <c r="AG186" i="36"/>
  <c r="AH186" i="36"/>
  <c r="AI186" i="36"/>
  <c r="AJ186" i="36"/>
  <c r="AK186" i="36"/>
  <c r="AL186" i="36"/>
  <c r="AM186" i="36"/>
  <c r="AN186" i="36"/>
  <c r="AO186" i="36"/>
  <c r="AP186" i="36"/>
  <c r="AQ186" i="36"/>
  <c r="AR186" i="36"/>
  <c r="AS186" i="36"/>
  <c r="AT186" i="36"/>
  <c r="AU186" i="36"/>
  <c r="AV186" i="36"/>
  <c r="AW186" i="36"/>
  <c r="AX186" i="36"/>
  <c r="AY186" i="36"/>
  <c r="AZ186" i="36"/>
  <c r="BA186" i="36"/>
  <c r="BB186" i="36"/>
  <c r="BC186" i="36"/>
  <c r="BD186" i="36"/>
  <c r="BE186" i="36"/>
  <c r="BF186" i="36"/>
  <c r="BG186" i="36"/>
  <c r="BH186" i="36"/>
  <c r="BI186" i="36"/>
  <c r="BJ186" i="36"/>
  <c r="BK186" i="36"/>
  <c r="BL186" i="36"/>
  <c r="E186" i="36"/>
  <c r="D105" i="36" l="1"/>
  <c r="D63" i="36"/>
  <c r="E37" i="36"/>
  <c r="E140" i="37" a="1"/>
  <c r="E140" i="37" l="1"/>
  <c r="I140" i="37"/>
  <c r="M140" i="37"/>
  <c r="Q140" i="37"/>
  <c r="U140" i="37"/>
  <c r="Y140" i="37"/>
  <c r="AC140" i="37"/>
  <c r="AG140" i="37"/>
  <c r="AK140" i="37"/>
  <c r="AO140" i="37"/>
  <c r="AS140" i="37"/>
  <c r="AW140" i="37"/>
  <c r="BA140" i="37"/>
  <c r="BE140" i="37"/>
  <c r="BI140" i="37"/>
  <c r="E141" i="37"/>
  <c r="I141" i="37"/>
  <c r="M141" i="37"/>
  <c r="Q141" i="37"/>
  <c r="U141" i="37"/>
  <c r="Y141" i="37"/>
  <c r="AC141" i="37"/>
  <c r="AG141" i="37"/>
  <c r="AK141" i="37"/>
  <c r="AO141" i="37"/>
  <c r="AS141" i="37"/>
  <c r="AW141" i="37"/>
  <c r="BA141" i="37"/>
  <c r="BE141" i="37"/>
  <c r="BI141" i="37"/>
  <c r="E142" i="37"/>
  <c r="I142" i="37"/>
  <c r="M142" i="37"/>
  <c r="Q142" i="37"/>
  <c r="U142" i="37"/>
  <c r="Y142" i="37"/>
  <c r="AC142" i="37"/>
  <c r="AG142" i="37"/>
  <c r="AK142" i="37"/>
  <c r="AO142" i="37"/>
  <c r="AS142" i="37"/>
  <c r="AW142" i="37"/>
  <c r="BA142" i="37"/>
  <c r="BE142" i="37"/>
  <c r="BI142" i="37"/>
  <c r="E143" i="37"/>
  <c r="I143" i="37"/>
  <c r="M143" i="37"/>
  <c r="Q143" i="37"/>
  <c r="U143" i="37"/>
  <c r="Y143" i="37"/>
  <c r="AC143" i="37"/>
  <c r="AG143" i="37"/>
  <c r="AK143" i="37"/>
  <c r="AO143" i="37"/>
  <c r="AS143" i="37"/>
  <c r="AW143" i="37"/>
  <c r="BA143" i="37"/>
  <c r="BE143" i="37"/>
  <c r="BI143" i="37"/>
  <c r="E144" i="37"/>
  <c r="I144" i="37"/>
  <c r="M144" i="37"/>
  <c r="Q144" i="37"/>
  <c r="U144" i="37"/>
  <c r="Y144" i="37"/>
  <c r="AC144" i="37"/>
  <c r="AG144" i="37"/>
  <c r="AK144" i="37"/>
  <c r="AO144" i="37"/>
  <c r="AS144" i="37"/>
  <c r="AW144" i="37"/>
  <c r="BA144" i="37"/>
  <c r="BE144" i="37"/>
  <c r="BI144" i="37"/>
  <c r="E145" i="37"/>
  <c r="I145" i="37"/>
  <c r="M145" i="37"/>
  <c r="Q145" i="37"/>
  <c r="U145" i="37"/>
  <c r="Y145" i="37"/>
  <c r="AC145" i="37"/>
  <c r="AG145" i="37"/>
  <c r="AK145" i="37"/>
  <c r="AO145" i="37"/>
  <c r="F140" i="37"/>
  <c r="J140" i="37"/>
  <c r="N140" i="37"/>
  <c r="R140" i="37"/>
  <c r="V140" i="37"/>
  <c r="Z140" i="37"/>
  <c r="AD140" i="37"/>
  <c r="AH140" i="37"/>
  <c r="AL140" i="37"/>
  <c r="AP140" i="37"/>
  <c r="AT140" i="37"/>
  <c r="AX140" i="37"/>
  <c r="BB140" i="37"/>
  <c r="BF140" i="37"/>
  <c r="BJ140" i="37"/>
  <c r="F141" i="37"/>
  <c r="J141" i="37"/>
  <c r="N141" i="37"/>
  <c r="R141" i="37"/>
  <c r="V141" i="37"/>
  <c r="Z141" i="37"/>
  <c r="AD141" i="37"/>
  <c r="AH141" i="37"/>
  <c r="AL141" i="37"/>
  <c r="AP141" i="37"/>
  <c r="AT141" i="37"/>
  <c r="AX141" i="37"/>
  <c r="BB141" i="37"/>
  <c r="BF141" i="37"/>
  <c r="BJ141" i="37"/>
  <c r="F142" i="37"/>
  <c r="J142" i="37"/>
  <c r="N142" i="37"/>
  <c r="R142" i="37"/>
  <c r="V142" i="37"/>
  <c r="Z142" i="37"/>
  <c r="AD142" i="37"/>
  <c r="AH142" i="37"/>
  <c r="AL142" i="37"/>
  <c r="AP142" i="37"/>
  <c r="AT142" i="37"/>
  <c r="AX142" i="37"/>
  <c r="BB142" i="37"/>
  <c r="BF142" i="37"/>
  <c r="BJ142" i="37"/>
  <c r="F143" i="37"/>
  <c r="J143" i="37"/>
  <c r="N143" i="37"/>
  <c r="R143" i="37"/>
  <c r="V143" i="37"/>
  <c r="Z143" i="37"/>
  <c r="AD143" i="37"/>
  <c r="AH143" i="37"/>
  <c r="AL143" i="37"/>
  <c r="AP143" i="37"/>
  <c r="AT143" i="37"/>
  <c r="AX143" i="37"/>
  <c r="BB143" i="37"/>
  <c r="BF143" i="37"/>
  <c r="BJ143" i="37"/>
  <c r="F144" i="37"/>
  <c r="J144" i="37"/>
  <c r="N144" i="37"/>
  <c r="R144" i="37"/>
  <c r="V144" i="37"/>
  <c r="Z144" i="37"/>
  <c r="AD144" i="37"/>
  <c r="AH144" i="37"/>
  <c r="AL144" i="37"/>
  <c r="AP144" i="37"/>
  <c r="AT144" i="37"/>
  <c r="AX144" i="37"/>
  <c r="BB144" i="37"/>
  <c r="BF144" i="37"/>
  <c r="BJ144" i="37"/>
  <c r="F145" i="37"/>
  <c r="J145" i="37"/>
  <c r="N145" i="37"/>
  <c r="R145" i="37"/>
  <c r="V145" i="37"/>
  <c r="Z145" i="37"/>
  <c r="AD145" i="37"/>
  <c r="AH145" i="37"/>
  <c r="AL145" i="37"/>
  <c r="AP145" i="37"/>
  <c r="G140" i="37"/>
  <c r="O140" i="37"/>
  <c r="W140" i="37"/>
  <c r="AE140" i="37"/>
  <c r="AM140" i="37"/>
  <c r="AU140" i="37"/>
  <c r="BC140" i="37"/>
  <c r="BK140" i="37"/>
  <c r="K141" i="37"/>
  <c r="S141" i="37"/>
  <c r="AA141" i="37"/>
  <c r="AI141" i="37"/>
  <c r="AQ141" i="37"/>
  <c r="AY141" i="37"/>
  <c r="BG141" i="37"/>
  <c r="G142" i="37"/>
  <c r="O142" i="37"/>
  <c r="W142" i="37"/>
  <c r="AE142" i="37"/>
  <c r="AM142" i="37"/>
  <c r="AU142" i="37"/>
  <c r="BC142" i="37"/>
  <c r="BK142" i="37"/>
  <c r="K143" i="37"/>
  <c r="S143" i="37"/>
  <c r="AA143" i="37"/>
  <c r="AI143" i="37"/>
  <c r="AQ143" i="37"/>
  <c r="AY143" i="37"/>
  <c r="BG143" i="37"/>
  <c r="G144" i="37"/>
  <c r="O144" i="37"/>
  <c r="W144" i="37"/>
  <c r="AE144" i="37"/>
  <c r="AM144" i="37"/>
  <c r="AU144" i="37"/>
  <c r="BC144" i="37"/>
  <c r="BK144" i="37"/>
  <c r="K145" i="37"/>
  <c r="S145" i="37"/>
  <c r="AA145" i="37"/>
  <c r="AI145" i="37"/>
  <c r="AQ145" i="37"/>
  <c r="AU145" i="37"/>
  <c r="AY145" i="37"/>
  <c r="BC145" i="37"/>
  <c r="BG145" i="37"/>
  <c r="BK145" i="37"/>
  <c r="G146" i="37"/>
  <c r="K146" i="37"/>
  <c r="O146" i="37"/>
  <c r="S146" i="37"/>
  <c r="W146" i="37"/>
  <c r="AA146" i="37"/>
  <c r="AE146" i="37"/>
  <c r="AI146" i="37"/>
  <c r="AM146" i="37"/>
  <c r="AQ146" i="37"/>
  <c r="AU146" i="37"/>
  <c r="AY146" i="37"/>
  <c r="BC146" i="37"/>
  <c r="BG146" i="37"/>
  <c r="BK146" i="37"/>
  <c r="G147" i="37"/>
  <c r="K147" i="37"/>
  <c r="O147" i="37"/>
  <c r="S147" i="37"/>
  <c r="W147" i="37"/>
  <c r="AA147" i="37"/>
  <c r="AE147" i="37"/>
  <c r="AI147" i="37"/>
  <c r="AM147" i="37"/>
  <c r="AQ147" i="37"/>
  <c r="AU147" i="37"/>
  <c r="AY147" i="37"/>
  <c r="BC147" i="37"/>
  <c r="BG147" i="37"/>
  <c r="BK147" i="37"/>
  <c r="G148" i="37"/>
  <c r="K148" i="37"/>
  <c r="O148" i="37"/>
  <c r="S148" i="37"/>
  <c r="W148" i="37"/>
  <c r="AA148" i="37"/>
  <c r="AE148" i="37"/>
  <c r="H140" i="37"/>
  <c r="P140" i="37"/>
  <c r="X140" i="37"/>
  <c r="AF140" i="37"/>
  <c r="AN140" i="37"/>
  <c r="AV140" i="37"/>
  <c r="BD140" i="37"/>
  <c r="BL140" i="37"/>
  <c r="L141" i="37"/>
  <c r="T141" i="37"/>
  <c r="AB141" i="37"/>
  <c r="AJ141" i="37"/>
  <c r="AR141" i="37"/>
  <c r="AZ141" i="37"/>
  <c r="BH141" i="37"/>
  <c r="H142" i="37"/>
  <c r="P142" i="37"/>
  <c r="X142" i="37"/>
  <c r="AF142" i="37"/>
  <c r="AN142" i="37"/>
  <c r="AV142" i="37"/>
  <c r="BD142" i="37"/>
  <c r="BL142" i="37"/>
  <c r="L143" i="37"/>
  <c r="T143" i="37"/>
  <c r="AB143" i="37"/>
  <c r="AJ143" i="37"/>
  <c r="AR143" i="37"/>
  <c r="AZ143" i="37"/>
  <c r="BH143" i="37"/>
  <c r="H144" i="37"/>
  <c r="P144" i="37"/>
  <c r="X144" i="37"/>
  <c r="AF144" i="37"/>
  <c r="AN144" i="37"/>
  <c r="AV144" i="37"/>
  <c r="BD144" i="37"/>
  <c r="BL144" i="37"/>
  <c r="L145" i="37"/>
  <c r="T145" i="37"/>
  <c r="AB145" i="37"/>
  <c r="AJ145" i="37"/>
  <c r="AR145" i="37"/>
  <c r="AV145" i="37"/>
  <c r="AZ145" i="37"/>
  <c r="BD145" i="37"/>
  <c r="BH145" i="37"/>
  <c r="BL145" i="37"/>
  <c r="H146" i="37"/>
  <c r="L146" i="37"/>
  <c r="P146" i="37"/>
  <c r="T146" i="37"/>
  <c r="X146" i="37"/>
  <c r="AB146" i="37"/>
  <c r="AF146" i="37"/>
  <c r="AJ146" i="37"/>
  <c r="AN146" i="37"/>
  <c r="AR146" i="37"/>
  <c r="AV146" i="37"/>
  <c r="AZ146" i="37"/>
  <c r="BD146" i="37"/>
  <c r="BH146" i="37"/>
  <c r="BL146" i="37"/>
  <c r="H147" i="37"/>
  <c r="L147" i="37"/>
  <c r="P147" i="37"/>
  <c r="T147" i="37"/>
  <c r="X147" i="37"/>
  <c r="AB147" i="37"/>
  <c r="AF147" i="37"/>
  <c r="AJ147" i="37"/>
  <c r="AN147" i="37"/>
  <c r="AR147" i="37"/>
  <c r="AV147" i="37"/>
  <c r="AZ147" i="37"/>
  <c r="BD147" i="37"/>
  <c r="BH147" i="37"/>
  <c r="BL147" i="37"/>
  <c r="H148" i="37"/>
  <c r="L148" i="37"/>
  <c r="P148" i="37"/>
  <c r="T148" i="37"/>
  <c r="X148" i="37"/>
  <c r="AB148" i="37"/>
  <c r="AF148" i="37"/>
  <c r="AJ148" i="37"/>
  <c r="AN148" i="37"/>
  <c r="AR148" i="37"/>
  <c r="AV148" i="37"/>
  <c r="AZ148" i="37"/>
  <c r="BD148" i="37"/>
  <c r="BH148" i="37"/>
  <c r="BL148" i="37"/>
  <c r="H149" i="37"/>
  <c r="L149" i="37"/>
  <c r="P149" i="37"/>
  <c r="T149" i="37"/>
  <c r="K140" i="37"/>
  <c r="S140" i="37"/>
  <c r="AA140" i="37"/>
  <c r="AI140" i="37"/>
  <c r="AQ140" i="37"/>
  <c r="AY140" i="37"/>
  <c r="BG140" i="37"/>
  <c r="G141" i="37"/>
  <c r="O141" i="37"/>
  <c r="W141" i="37"/>
  <c r="AE141" i="37"/>
  <c r="AM141" i="37"/>
  <c r="AU141" i="37"/>
  <c r="BC141" i="37"/>
  <c r="BK141" i="37"/>
  <c r="K142" i="37"/>
  <c r="S142" i="37"/>
  <c r="AA142" i="37"/>
  <c r="AI142" i="37"/>
  <c r="AQ142" i="37"/>
  <c r="AY142" i="37"/>
  <c r="BG142" i="37"/>
  <c r="G143" i="37"/>
  <c r="O143" i="37"/>
  <c r="W143" i="37"/>
  <c r="AE143" i="37"/>
  <c r="AM143" i="37"/>
  <c r="AU143" i="37"/>
  <c r="BC143" i="37"/>
  <c r="BK143" i="37"/>
  <c r="K144" i="37"/>
  <c r="S144" i="37"/>
  <c r="AA144" i="37"/>
  <c r="AI144" i="37"/>
  <c r="AQ144" i="37"/>
  <c r="AY144" i="37"/>
  <c r="BG144" i="37"/>
  <c r="G145" i="37"/>
  <c r="O145" i="37"/>
  <c r="W145" i="37"/>
  <c r="AE145" i="37"/>
  <c r="AM145" i="37"/>
  <c r="AS145" i="37"/>
  <c r="AW145" i="37"/>
  <c r="BA145" i="37"/>
  <c r="BE145" i="37"/>
  <c r="BI145" i="37"/>
  <c r="E146" i="37"/>
  <c r="I146" i="37"/>
  <c r="M146" i="37"/>
  <c r="Q146" i="37"/>
  <c r="U146" i="37"/>
  <c r="Y146" i="37"/>
  <c r="AC146" i="37"/>
  <c r="AG146" i="37"/>
  <c r="AK146" i="37"/>
  <c r="AO146" i="37"/>
  <c r="AS146" i="37"/>
  <c r="AW146" i="37"/>
  <c r="BA146" i="37"/>
  <c r="BE146" i="37"/>
  <c r="BI146" i="37"/>
  <c r="E147" i="37"/>
  <c r="I147" i="37"/>
  <c r="M147" i="37"/>
  <c r="Q147" i="37"/>
  <c r="U147" i="37"/>
  <c r="Y147" i="37"/>
  <c r="AC147" i="37"/>
  <c r="AG147" i="37"/>
  <c r="AK147" i="37"/>
  <c r="AO147" i="37"/>
  <c r="AS147" i="37"/>
  <c r="AW147" i="37"/>
  <c r="BA147" i="37"/>
  <c r="BE147" i="37"/>
  <c r="BI147" i="37"/>
  <c r="E148" i="37"/>
  <c r="I148" i="37"/>
  <c r="M148" i="37"/>
  <c r="Q148" i="37"/>
  <c r="U148" i="37"/>
  <c r="Y148" i="37"/>
  <c r="AC148" i="37"/>
  <c r="AG148" i="37"/>
  <c r="AK148" i="37"/>
  <c r="AO148" i="37"/>
  <c r="AS148" i="37"/>
  <c r="AW148" i="37"/>
  <c r="BA148" i="37"/>
  <c r="BE148" i="37"/>
  <c r="BI148" i="37"/>
  <c r="E149" i="37"/>
  <c r="I149" i="37"/>
  <c r="M149" i="37"/>
  <c r="Q149" i="37"/>
  <c r="U149" i="37"/>
  <c r="Y149" i="37"/>
  <c r="AC149" i="37"/>
  <c r="AG149" i="37"/>
  <c r="AK149" i="37"/>
  <c r="AO149" i="37"/>
  <c r="AS149" i="37"/>
  <c r="AW149" i="37"/>
  <c r="BA149" i="37"/>
  <c r="L140" i="37"/>
  <c r="AR140" i="37"/>
  <c r="P141" i="37"/>
  <c r="AV141" i="37"/>
  <c r="T142" i="37"/>
  <c r="AZ142" i="37"/>
  <c r="X143" i="37"/>
  <c r="BD143" i="37"/>
  <c r="AB144" i="37"/>
  <c r="BH144" i="37"/>
  <c r="AF145" i="37"/>
  <c r="BB145" i="37"/>
  <c r="J146" i="37"/>
  <c r="Z146" i="37"/>
  <c r="AP146" i="37"/>
  <c r="BF146" i="37"/>
  <c r="N147" i="37"/>
  <c r="AD147" i="37"/>
  <c r="AT147" i="37"/>
  <c r="BJ147" i="37"/>
  <c r="R148" i="37"/>
  <c r="AH148" i="37"/>
  <c r="AP148" i="37"/>
  <c r="AX148" i="37"/>
  <c r="BF148" i="37"/>
  <c r="F149" i="37"/>
  <c r="N149" i="37"/>
  <c r="V149" i="37"/>
  <c r="AA149" i="37"/>
  <c r="AF149" i="37"/>
  <c r="AL149" i="37"/>
  <c r="AQ149" i="37"/>
  <c r="AV149" i="37"/>
  <c r="BB149" i="37"/>
  <c r="BF149" i="37"/>
  <c r="BJ149" i="37"/>
  <c r="F150" i="37"/>
  <c r="J150" i="37"/>
  <c r="N150" i="37"/>
  <c r="R150" i="37"/>
  <c r="V150" i="37"/>
  <c r="Z150" i="37"/>
  <c r="AD150" i="37"/>
  <c r="AH150" i="37"/>
  <c r="AL150" i="37"/>
  <c r="AP150" i="37"/>
  <c r="AT150" i="37"/>
  <c r="AX150" i="37"/>
  <c r="BB150" i="37"/>
  <c r="BF150" i="37"/>
  <c r="BJ150" i="37"/>
  <c r="F151" i="37"/>
  <c r="J151" i="37"/>
  <c r="N151" i="37"/>
  <c r="R151" i="37"/>
  <c r="V151" i="37"/>
  <c r="Z151" i="37"/>
  <c r="AD151" i="37"/>
  <c r="AH151" i="37"/>
  <c r="AL151" i="37"/>
  <c r="AP151" i="37"/>
  <c r="AT151" i="37"/>
  <c r="AX151" i="37"/>
  <c r="BB151" i="37"/>
  <c r="BF151" i="37"/>
  <c r="BJ151" i="37"/>
  <c r="F152" i="37"/>
  <c r="J152" i="37"/>
  <c r="N152" i="37"/>
  <c r="R152" i="37"/>
  <c r="V152" i="37"/>
  <c r="Z152" i="37"/>
  <c r="AD152" i="37"/>
  <c r="AH152" i="37"/>
  <c r="AL152" i="37"/>
  <c r="AP152" i="37"/>
  <c r="AT152" i="37"/>
  <c r="AX152" i="37"/>
  <c r="BB152" i="37"/>
  <c r="BF152" i="37"/>
  <c r="BJ152" i="37"/>
  <c r="F153" i="37"/>
  <c r="J153" i="37"/>
  <c r="N153" i="37"/>
  <c r="R153" i="37"/>
  <c r="V153" i="37"/>
  <c r="Z153" i="37"/>
  <c r="AD153" i="37"/>
  <c r="AH153" i="37"/>
  <c r="AL153" i="37"/>
  <c r="AP153" i="37"/>
  <c r="AT153" i="37"/>
  <c r="AX153" i="37"/>
  <c r="BB153" i="37"/>
  <c r="BF153" i="37"/>
  <c r="BJ153" i="37"/>
  <c r="S152" i="37"/>
  <c r="AI152" i="37"/>
  <c r="AQ152" i="37"/>
  <c r="AY152" i="37"/>
  <c r="BC152" i="37"/>
  <c r="BK152" i="37"/>
  <c r="K153" i="37"/>
  <c r="O153" i="37"/>
  <c r="W153" i="37"/>
  <c r="AA153" i="37"/>
  <c r="AI153" i="37"/>
  <c r="AM153" i="37"/>
  <c r="AU153" i="37"/>
  <c r="AY153" i="37"/>
  <c r="BG153" i="37"/>
  <c r="BK153" i="37"/>
  <c r="AP147" i="37"/>
  <c r="S149" i="37"/>
  <c r="AJ149" i="37"/>
  <c r="AU149" i="37"/>
  <c r="BE149" i="37"/>
  <c r="E150" i="37"/>
  <c r="M150" i="37"/>
  <c r="U150" i="37"/>
  <c r="AK150" i="37"/>
  <c r="AS150" i="37"/>
  <c r="BE150" i="37"/>
  <c r="E151" i="37"/>
  <c r="Q151" i="37"/>
  <c r="AC151" i="37"/>
  <c r="AK151" i="37"/>
  <c r="BA151" i="37"/>
  <c r="E152" i="37"/>
  <c r="Q152" i="37"/>
  <c r="AC152" i="37"/>
  <c r="AG152" i="37"/>
  <c r="AS152" i="37"/>
  <c r="BE152" i="37"/>
  <c r="I153" i="37"/>
  <c r="Q153" i="37"/>
  <c r="AC153" i="37"/>
  <c r="AO153" i="37"/>
  <c r="BA153" i="37"/>
  <c r="BI153" i="37"/>
  <c r="T140" i="37"/>
  <c r="AZ140" i="37"/>
  <c r="X141" i="37"/>
  <c r="BD141" i="37"/>
  <c r="AB142" i="37"/>
  <c r="BH142" i="37"/>
  <c r="AF143" i="37"/>
  <c r="BL143" i="37"/>
  <c r="AJ144" i="37"/>
  <c r="H145" i="37"/>
  <c r="AN145" i="37"/>
  <c r="BF145" i="37"/>
  <c r="N146" i="37"/>
  <c r="AD146" i="37"/>
  <c r="AT146" i="37"/>
  <c r="BJ146" i="37"/>
  <c r="R147" i="37"/>
  <c r="AH147" i="37"/>
  <c r="AX147" i="37"/>
  <c r="F148" i="37"/>
  <c r="V148" i="37"/>
  <c r="AI148" i="37"/>
  <c r="AQ148" i="37"/>
  <c r="AY148" i="37"/>
  <c r="BG148" i="37"/>
  <c r="G149" i="37"/>
  <c r="O149" i="37"/>
  <c r="W149" i="37"/>
  <c r="AB149" i="37"/>
  <c r="AH149" i="37"/>
  <c r="AM149" i="37"/>
  <c r="AR149" i="37"/>
  <c r="AX149" i="37"/>
  <c r="BC149" i="37"/>
  <c r="BG149" i="37"/>
  <c r="BK149" i="37"/>
  <c r="G150" i="37"/>
  <c r="K150" i="37"/>
  <c r="O150" i="37"/>
  <c r="S150" i="37"/>
  <c r="W150" i="37"/>
  <c r="AA150" i="37"/>
  <c r="AE150" i="37"/>
  <c r="AI150" i="37"/>
  <c r="AM150" i="37"/>
  <c r="AQ150" i="37"/>
  <c r="AU150" i="37"/>
  <c r="AY150" i="37"/>
  <c r="BC150" i="37"/>
  <c r="BG150" i="37"/>
  <c r="BK150" i="37"/>
  <c r="G151" i="37"/>
  <c r="K151" i="37"/>
  <c r="O151" i="37"/>
  <c r="S151" i="37"/>
  <c r="W151" i="37"/>
  <c r="AA151" i="37"/>
  <c r="AE151" i="37"/>
  <c r="AI151" i="37"/>
  <c r="AM151" i="37"/>
  <c r="AQ151" i="37"/>
  <c r="AU151" i="37"/>
  <c r="AY151" i="37"/>
  <c r="BC151" i="37"/>
  <c r="BG151" i="37"/>
  <c r="BK151" i="37"/>
  <c r="G152" i="37"/>
  <c r="K152" i="37"/>
  <c r="O152" i="37"/>
  <c r="W152" i="37"/>
  <c r="AA152" i="37"/>
  <c r="AE152" i="37"/>
  <c r="AM152" i="37"/>
  <c r="AU152" i="37"/>
  <c r="BG152" i="37"/>
  <c r="G153" i="37"/>
  <c r="S153" i="37"/>
  <c r="AE153" i="37"/>
  <c r="AQ153" i="37"/>
  <c r="BC153" i="37"/>
  <c r="AU148" i="37"/>
  <c r="AC150" i="37"/>
  <c r="BA150" i="37"/>
  <c r="I151" i="37"/>
  <c r="U151" i="37"/>
  <c r="AG151" i="37"/>
  <c r="AS151" i="37"/>
  <c r="BE151" i="37"/>
  <c r="I152" i="37"/>
  <c r="U152" i="37"/>
  <c r="AK152" i="37"/>
  <c r="AW152" i="37"/>
  <c r="BI152" i="37"/>
  <c r="M153" i="37"/>
  <c r="Y153" i="37"/>
  <c r="AK153" i="37"/>
  <c r="AW153" i="37"/>
  <c r="AB140" i="37"/>
  <c r="BH140" i="37"/>
  <c r="AF141" i="37"/>
  <c r="BL141" i="37"/>
  <c r="AJ142" i="37"/>
  <c r="H143" i="37"/>
  <c r="AN143" i="37"/>
  <c r="L144" i="37"/>
  <c r="AR144" i="37"/>
  <c r="P145" i="37"/>
  <c r="AT145" i="37"/>
  <c r="BJ145" i="37"/>
  <c r="R146" i="37"/>
  <c r="AH146" i="37"/>
  <c r="AX146" i="37"/>
  <c r="F147" i="37"/>
  <c r="V147" i="37"/>
  <c r="AL147" i="37"/>
  <c r="BB147" i="37"/>
  <c r="J148" i="37"/>
  <c r="Z148" i="37"/>
  <c r="AL148" i="37"/>
  <c r="AT148" i="37"/>
  <c r="BB148" i="37"/>
  <c r="BJ148" i="37"/>
  <c r="J149" i="37"/>
  <c r="R149" i="37"/>
  <c r="X149" i="37"/>
  <c r="AD149" i="37"/>
  <c r="AI149" i="37"/>
  <c r="AN149" i="37"/>
  <c r="AT149" i="37"/>
  <c r="AY149" i="37"/>
  <c r="BD149" i="37"/>
  <c r="BH149" i="37"/>
  <c r="BL149" i="37"/>
  <c r="H150" i="37"/>
  <c r="L150" i="37"/>
  <c r="P150" i="37"/>
  <c r="T150" i="37"/>
  <c r="X150" i="37"/>
  <c r="AB150" i="37"/>
  <c r="AF150" i="37"/>
  <c r="AJ150" i="37"/>
  <c r="AN150" i="37"/>
  <c r="AR150" i="37"/>
  <c r="AV150" i="37"/>
  <c r="AZ150" i="37"/>
  <c r="BD150" i="37"/>
  <c r="BH150" i="37"/>
  <c r="BL150" i="37"/>
  <c r="H151" i="37"/>
  <c r="L151" i="37"/>
  <c r="P151" i="37"/>
  <c r="T151" i="37"/>
  <c r="X151" i="37"/>
  <c r="AB151" i="37"/>
  <c r="AF151" i="37"/>
  <c r="AJ151" i="37"/>
  <c r="AN151" i="37"/>
  <c r="AR151" i="37"/>
  <c r="AV151" i="37"/>
  <c r="AZ151" i="37"/>
  <c r="BD151" i="37"/>
  <c r="BH151" i="37"/>
  <c r="BL151" i="37"/>
  <c r="H152" i="37"/>
  <c r="L152" i="37"/>
  <c r="P152" i="37"/>
  <c r="T152" i="37"/>
  <c r="X152" i="37"/>
  <c r="AB152" i="37"/>
  <c r="AF152" i="37"/>
  <c r="AJ152" i="37"/>
  <c r="AN152" i="37"/>
  <c r="AR152" i="37"/>
  <c r="AV152" i="37"/>
  <c r="AZ152" i="37"/>
  <c r="BD152" i="37"/>
  <c r="BH152" i="37"/>
  <c r="BL152" i="37"/>
  <c r="H153" i="37"/>
  <c r="L153" i="37"/>
  <c r="P153" i="37"/>
  <c r="T153" i="37"/>
  <c r="X153" i="37"/>
  <c r="AB153" i="37"/>
  <c r="AF153" i="37"/>
  <c r="AJ153" i="37"/>
  <c r="AN153" i="37"/>
  <c r="AR153" i="37"/>
  <c r="AV153" i="37"/>
  <c r="AZ153" i="37"/>
  <c r="BD153" i="37"/>
  <c r="BH153" i="37"/>
  <c r="BL153" i="37"/>
  <c r="AJ140" i="37"/>
  <c r="H141" i="37"/>
  <c r="AN141" i="37"/>
  <c r="L142" i="37"/>
  <c r="AR142" i="37"/>
  <c r="P143" i="37"/>
  <c r="AV143" i="37"/>
  <c r="T144" i="37"/>
  <c r="AZ144" i="37"/>
  <c r="X145" i="37"/>
  <c r="AX145" i="37"/>
  <c r="F146" i="37"/>
  <c r="V146" i="37"/>
  <c r="AL146" i="37"/>
  <c r="BB146" i="37"/>
  <c r="J147" i="37"/>
  <c r="Z147" i="37"/>
  <c r="BF147" i="37"/>
  <c r="N148" i="37"/>
  <c r="AD148" i="37"/>
  <c r="AM148" i="37"/>
  <c r="BC148" i="37"/>
  <c r="BK148" i="37"/>
  <c r="K149" i="37"/>
  <c r="Z149" i="37"/>
  <c r="AE149" i="37"/>
  <c r="AP149" i="37"/>
  <c r="AZ149" i="37"/>
  <c r="BI149" i="37"/>
  <c r="I150" i="37"/>
  <c r="Q150" i="37"/>
  <c r="Y150" i="37"/>
  <c r="AG150" i="37"/>
  <c r="AO150" i="37"/>
  <c r="AW150" i="37"/>
  <c r="BI150" i="37"/>
  <c r="M151" i="37"/>
  <c r="Y151" i="37"/>
  <c r="AO151" i="37"/>
  <c r="AW151" i="37"/>
  <c r="BI151" i="37"/>
  <c r="M152" i="37"/>
  <c r="Y152" i="37"/>
  <c r="AO152" i="37"/>
  <c r="BA152" i="37"/>
  <c r="E153" i="37"/>
  <c r="U153" i="37"/>
  <c r="AG153" i="37"/>
  <c r="AS153" i="37"/>
  <c r="BE153" i="37"/>
  <c r="D182" i="36" l="1"/>
  <c r="D170" i="37" l="1"/>
  <c r="E130" i="37"/>
  <c r="D120" i="37"/>
  <c r="BL116" i="37"/>
  <c r="BK116" i="37"/>
  <c r="BJ116" i="37"/>
  <c r="BI116" i="37"/>
  <c r="BH116" i="37"/>
  <c r="BG116" i="37"/>
  <c r="BF116" i="37"/>
  <c r="BE116" i="37"/>
  <c r="BD116" i="37"/>
  <c r="BC116" i="37"/>
  <c r="BB116" i="37"/>
  <c r="BA116" i="37"/>
  <c r="AZ116" i="37"/>
  <c r="AY116" i="37"/>
  <c r="AX116" i="37"/>
  <c r="AW116" i="37"/>
  <c r="AV116" i="37"/>
  <c r="AU116" i="37"/>
  <c r="AT116" i="37"/>
  <c r="AS116" i="37"/>
  <c r="AR116" i="37"/>
  <c r="AQ116" i="37"/>
  <c r="AP116" i="37"/>
  <c r="AO116" i="37"/>
  <c r="AN116" i="37"/>
  <c r="AM116" i="37"/>
  <c r="AL116" i="37"/>
  <c r="AK116" i="37"/>
  <c r="AJ116" i="37"/>
  <c r="AI116" i="37"/>
  <c r="AH116" i="37"/>
  <c r="AG116" i="37"/>
  <c r="AF116" i="37"/>
  <c r="AE116" i="37"/>
  <c r="AD116" i="37"/>
  <c r="AC116" i="37"/>
  <c r="AB116" i="37"/>
  <c r="AA116" i="37"/>
  <c r="Z116" i="37"/>
  <c r="Y116" i="37"/>
  <c r="X116" i="37"/>
  <c r="W116" i="37"/>
  <c r="V116" i="37"/>
  <c r="U116" i="37"/>
  <c r="T116" i="37"/>
  <c r="S116" i="37"/>
  <c r="R116" i="37"/>
  <c r="Q116" i="37"/>
  <c r="P116" i="37"/>
  <c r="O116" i="37"/>
  <c r="N116" i="37"/>
  <c r="M116" i="37"/>
  <c r="L116" i="37"/>
  <c r="K116" i="37"/>
  <c r="J116" i="37"/>
  <c r="I116" i="37"/>
  <c r="H116" i="37"/>
  <c r="G116" i="37"/>
  <c r="F116" i="37"/>
  <c r="E116" i="37"/>
  <c r="D110" i="37"/>
  <c r="BL110" i="37" s="1"/>
  <c r="D79" i="37"/>
  <c r="D68" i="37"/>
  <c r="D82" i="37" s="1"/>
  <c r="D45" i="37"/>
  <c r="BL41" i="37"/>
  <c r="BK41" i="37"/>
  <c r="BJ41" i="37"/>
  <c r="BI41" i="37"/>
  <c r="BH41" i="37"/>
  <c r="BG41" i="37"/>
  <c r="BF41" i="37"/>
  <c r="BE41" i="37"/>
  <c r="BD41" i="37"/>
  <c r="BC41" i="37"/>
  <c r="BB41" i="37"/>
  <c r="BA41" i="37"/>
  <c r="AZ41" i="37"/>
  <c r="AY41" i="37"/>
  <c r="AX41" i="37"/>
  <c r="AW41" i="37"/>
  <c r="AV41" i="37"/>
  <c r="AU41" i="37"/>
  <c r="AT41" i="37"/>
  <c r="AS41" i="37"/>
  <c r="AR41" i="37"/>
  <c r="AQ41" i="37"/>
  <c r="AP41" i="37"/>
  <c r="AO41" i="37"/>
  <c r="AN41" i="37"/>
  <c r="AM41" i="37"/>
  <c r="AL41" i="37"/>
  <c r="AK41" i="37"/>
  <c r="AJ41" i="37"/>
  <c r="AI41" i="37"/>
  <c r="AH41" i="37"/>
  <c r="AG41" i="37"/>
  <c r="AF41" i="37"/>
  <c r="AE41" i="37"/>
  <c r="AD41" i="37"/>
  <c r="AC41" i="37"/>
  <c r="AB41" i="37"/>
  <c r="AA41" i="37"/>
  <c r="Z41" i="37"/>
  <c r="Y41" i="37"/>
  <c r="X41" i="37"/>
  <c r="W41" i="37"/>
  <c r="V41" i="37"/>
  <c r="U41" i="37"/>
  <c r="T41" i="37"/>
  <c r="S41" i="37"/>
  <c r="R41" i="37"/>
  <c r="Q41" i="37"/>
  <c r="P41" i="37"/>
  <c r="O41" i="37"/>
  <c r="N41" i="37"/>
  <c r="M41" i="37"/>
  <c r="L41" i="37"/>
  <c r="K41" i="37"/>
  <c r="J41" i="37"/>
  <c r="I41" i="37"/>
  <c r="H41" i="37"/>
  <c r="G41" i="37"/>
  <c r="F41" i="37"/>
  <c r="E41" i="37"/>
  <c r="BL40" i="37"/>
  <c r="BL53" i="37" s="1"/>
  <c r="BL103" i="37" s="1"/>
  <c r="BK40" i="37"/>
  <c r="BK53" i="37" s="1"/>
  <c r="BK103" i="37" s="1"/>
  <c r="BJ40" i="37"/>
  <c r="BJ44" i="37" s="1"/>
  <c r="BI40" i="37"/>
  <c r="BH40" i="37"/>
  <c r="BH53" i="37" s="1"/>
  <c r="BH103" i="37" s="1"/>
  <c r="BG40" i="37"/>
  <c r="BG53" i="37" s="1"/>
  <c r="BG103" i="37" s="1"/>
  <c r="BF40" i="37"/>
  <c r="BF44" i="37" s="1"/>
  <c r="BE40" i="37"/>
  <c r="BD40" i="37"/>
  <c r="BD53" i="37" s="1"/>
  <c r="BD103" i="37" s="1"/>
  <c r="BC40" i="37"/>
  <c r="BC53" i="37" s="1"/>
  <c r="BC103" i="37" s="1"/>
  <c r="BB40" i="37"/>
  <c r="BB44" i="37" s="1"/>
  <c r="BA40" i="37"/>
  <c r="AZ40" i="37"/>
  <c r="AZ53" i="37" s="1"/>
  <c r="AZ103" i="37" s="1"/>
  <c r="AY40" i="37"/>
  <c r="AY53" i="37" s="1"/>
  <c r="AY103" i="37" s="1"/>
  <c r="AX40" i="37"/>
  <c r="AX44" i="37" s="1"/>
  <c r="AW40" i="37"/>
  <c r="AV40" i="37"/>
  <c r="AV53" i="37" s="1"/>
  <c r="AV103" i="37" s="1"/>
  <c r="AU40" i="37"/>
  <c r="AU53" i="37" s="1"/>
  <c r="AU103" i="37" s="1"/>
  <c r="AT40" i="37"/>
  <c r="AT44" i="37" s="1"/>
  <c r="AS40" i="37"/>
  <c r="AR40" i="37"/>
  <c r="AR53" i="37" s="1"/>
  <c r="AR103" i="37" s="1"/>
  <c r="AQ40" i="37"/>
  <c r="AQ53" i="37" s="1"/>
  <c r="AQ103" i="37" s="1"/>
  <c r="AP40" i="37"/>
  <c r="AP44" i="37" s="1"/>
  <c r="AO40" i="37"/>
  <c r="AN40" i="37"/>
  <c r="AN53" i="37" s="1"/>
  <c r="AN103" i="37" s="1"/>
  <c r="AM40" i="37"/>
  <c r="AM53" i="37" s="1"/>
  <c r="AM103" i="37" s="1"/>
  <c r="AL40" i="37"/>
  <c r="AL44" i="37" s="1"/>
  <c r="AK40" i="37"/>
  <c r="AJ40" i="37"/>
  <c r="AJ53" i="37" s="1"/>
  <c r="AJ103" i="37" s="1"/>
  <c r="AI40" i="37"/>
  <c r="AI53" i="37" s="1"/>
  <c r="AI103" i="37" s="1"/>
  <c r="AH40" i="37"/>
  <c r="AH44" i="37" s="1"/>
  <c r="AG40" i="37"/>
  <c r="AF40" i="37"/>
  <c r="AF53" i="37" s="1"/>
  <c r="AF103" i="37" s="1"/>
  <c r="AE40" i="37"/>
  <c r="AE53" i="37" s="1"/>
  <c r="AE103" i="37" s="1"/>
  <c r="AD40" i="37"/>
  <c r="AD44" i="37" s="1"/>
  <c r="AC40" i="37"/>
  <c r="AC53" i="37" s="1"/>
  <c r="AC103" i="37" s="1"/>
  <c r="AB40" i="37"/>
  <c r="AB53" i="37" s="1"/>
  <c r="AB103" i="37" s="1"/>
  <c r="AA40" i="37"/>
  <c r="AA53" i="37" s="1"/>
  <c r="AA103" i="37" s="1"/>
  <c r="Z40" i="37"/>
  <c r="Z44" i="37" s="1"/>
  <c r="Y40" i="37"/>
  <c r="Y53" i="37" s="1"/>
  <c r="Y103" i="37" s="1"/>
  <c r="X40" i="37"/>
  <c r="X53" i="37" s="1"/>
  <c r="X103" i="37" s="1"/>
  <c r="W40" i="37"/>
  <c r="W53" i="37" s="1"/>
  <c r="W103" i="37" s="1"/>
  <c r="V40" i="37"/>
  <c r="V44" i="37" s="1"/>
  <c r="U40" i="37"/>
  <c r="U53" i="37" s="1"/>
  <c r="U103" i="37" s="1"/>
  <c r="T40" i="37"/>
  <c r="T53" i="37" s="1"/>
  <c r="T103" i="37" s="1"/>
  <c r="S40" i="37"/>
  <c r="S44" i="37" s="1"/>
  <c r="R40" i="37"/>
  <c r="R44" i="37" s="1"/>
  <c r="Q40" i="37"/>
  <c r="Q53" i="37" s="1"/>
  <c r="Q103" i="37" s="1"/>
  <c r="P40" i="37"/>
  <c r="P53" i="37" s="1"/>
  <c r="P103" i="37" s="1"/>
  <c r="O40" i="37"/>
  <c r="O53" i="37" s="1"/>
  <c r="O103" i="37" s="1"/>
  <c r="N40" i="37"/>
  <c r="N53" i="37" s="1"/>
  <c r="N103" i="37" s="1"/>
  <c r="M40" i="37"/>
  <c r="M53" i="37" s="1"/>
  <c r="M103" i="37" s="1"/>
  <c r="L40" i="37"/>
  <c r="L53" i="37" s="1"/>
  <c r="L103" i="37" s="1"/>
  <c r="K40" i="37"/>
  <c r="K44" i="37" s="1"/>
  <c r="J40" i="37"/>
  <c r="J44" i="37" s="1"/>
  <c r="I40" i="37"/>
  <c r="I53" i="37" s="1"/>
  <c r="I103" i="37" s="1"/>
  <c r="H40" i="37"/>
  <c r="H53" i="37" s="1"/>
  <c r="H103" i="37" s="1"/>
  <c r="G40" i="37"/>
  <c r="G53" i="37" s="1"/>
  <c r="G103" i="37" s="1"/>
  <c r="F40" i="37"/>
  <c r="F53" i="37" s="1"/>
  <c r="F103" i="37" s="1"/>
  <c r="E40" i="37"/>
  <c r="E53" i="37" s="1"/>
  <c r="D36" i="37"/>
  <c r="D136" i="37" s="1"/>
  <c r="D25" i="37"/>
  <c r="D128" i="37" s="1"/>
  <c r="I16" i="37"/>
  <c r="D16" i="37"/>
  <c r="D58" i="37" s="1"/>
  <c r="I15" i="37"/>
  <c r="D13" i="37"/>
  <c r="AO110" i="37" l="1"/>
  <c r="AP53" i="37"/>
  <c r="AP103" i="37" s="1"/>
  <c r="I110" i="37"/>
  <c r="Q110" i="37"/>
  <c r="AW110" i="37"/>
  <c r="Y110" i="37"/>
  <c r="BE110" i="37"/>
  <c r="J53" i="37"/>
  <c r="J103" i="37" s="1"/>
  <c r="AG110" i="37"/>
  <c r="U44" i="37"/>
  <c r="R53" i="37"/>
  <c r="R103" i="37" s="1"/>
  <c r="AX53" i="37"/>
  <c r="AX103" i="37" s="1"/>
  <c r="K110" i="37"/>
  <c r="S110" i="37"/>
  <c r="AA110" i="37"/>
  <c r="AI110" i="37"/>
  <c r="AQ110" i="37"/>
  <c r="AY110" i="37"/>
  <c r="BG110" i="37"/>
  <c r="AA44" i="37"/>
  <c r="Z53" i="37"/>
  <c r="Z103" i="37" s="1"/>
  <c r="BF53" i="37"/>
  <c r="BF103" i="37" s="1"/>
  <c r="E110" i="37"/>
  <c r="M110" i="37"/>
  <c r="U110" i="37"/>
  <c r="AC110" i="37"/>
  <c r="AK110" i="37"/>
  <c r="AS110" i="37"/>
  <c r="BA110" i="37"/>
  <c r="BI110" i="37"/>
  <c r="AH53" i="37"/>
  <c r="AH103" i="37" s="1"/>
  <c r="G110" i="37"/>
  <c r="O110" i="37"/>
  <c r="W110" i="37"/>
  <c r="AE110" i="37"/>
  <c r="AM110" i="37"/>
  <c r="AU110" i="37"/>
  <c r="BC110" i="37"/>
  <c r="BK110" i="37"/>
  <c r="H44" i="37"/>
  <c r="L44" i="37"/>
  <c r="P44" i="37"/>
  <c r="AF44" i="37"/>
  <c r="BL44" i="37"/>
  <c r="AG53" i="37"/>
  <c r="AG103" i="37" s="1"/>
  <c r="AG44" i="37"/>
  <c r="AK53" i="37"/>
  <c r="AK103" i="37" s="1"/>
  <c r="AK44" i="37"/>
  <c r="AO53" i="37"/>
  <c r="AO103" i="37" s="1"/>
  <c r="AO44" i="37"/>
  <c r="AS53" i="37"/>
  <c r="AS103" i="37" s="1"/>
  <c r="AS44" i="37"/>
  <c r="AW53" i="37"/>
  <c r="AW103" i="37" s="1"/>
  <c r="AW44" i="37"/>
  <c r="BA53" i="37"/>
  <c r="BA103" i="37" s="1"/>
  <c r="BA44" i="37"/>
  <c r="BE53" i="37"/>
  <c r="BE103" i="37" s="1"/>
  <c r="BE44" i="37"/>
  <c r="BI53" i="37"/>
  <c r="BI103" i="37" s="1"/>
  <c r="BI44" i="37"/>
  <c r="E44" i="37"/>
  <c r="E45" i="37" s="1"/>
  <c r="I44" i="37"/>
  <c r="M44" i="37"/>
  <c r="Q44" i="37"/>
  <c r="W44" i="37"/>
  <c r="AB44" i="37"/>
  <c r="AI44" i="37"/>
  <c r="AQ44" i="37"/>
  <c r="AY44" i="37"/>
  <c r="BG44" i="37"/>
  <c r="K53" i="37"/>
  <c r="K103" i="37" s="1"/>
  <c r="S53" i="37"/>
  <c r="S103" i="37" s="1"/>
  <c r="AN44" i="37"/>
  <c r="BD44" i="37"/>
  <c r="L16" i="37"/>
  <c r="BL119" i="37"/>
  <c r="F44" i="37"/>
  <c r="N44" i="37"/>
  <c r="X44" i="37"/>
  <c r="AC44" i="37"/>
  <c r="AJ44" i="37"/>
  <c r="AR44" i="37"/>
  <c r="AZ44" i="37"/>
  <c r="BH44" i="37"/>
  <c r="V53" i="37"/>
  <c r="V103" i="37" s="1"/>
  <c r="AD53" i="37"/>
  <c r="AD103" i="37" s="1"/>
  <c r="AL53" i="37"/>
  <c r="AL103" i="37" s="1"/>
  <c r="AT53" i="37"/>
  <c r="AT103" i="37" s="1"/>
  <c r="BB53" i="37"/>
  <c r="BB103" i="37" s="1"/>
  <c r="BJ53" i="37"/>
  <c r="BJ103" i="37" s="1"/>
  <c r="AV44" i="37"/>
  <c r="E103" i="37"/>
  <c r="E54" i="37"/>
  <c r="F54" i="37" s="1"/>
  <c r="G54" i="37" s="1"/>
  <c r="H54" i="37" s="1"/>
  <c r="I54" i="37" s="1"/>
  <c r="G44" i="37"/>
  <c r="O44" i="37"/>
  <c r="T44" i="37"/>
  <c r="Y44" i="37"/>
  <c r="AE44" i="37"/>
  <c r="AM44" i="37"/>
  <c r="AU44" i="37"/>
  <c r="BC44" i="37"/>
  <c r="BK44" i="37"/>
  <c r="F110" i="37"/>
  <c r="J110" i="37"/>
  <c r="N110" i="37"/>
  <c r="R110" i="37"/>
  <c r="V110" i="37"/>
  <c r="Z110" i="37"/>
  <c r="AD110" i="37"/>
  <c r="AH110" i="37"/>
  <c r="AL110" i="37"/>
  <c r="AP110" i="37"/>
  <c r="AT110" i="37"/>
  <c r="AX110" i="37"/>
  <c r="BB110" i="37"/>
  <c r="BF110" i="37"/>
  <c r="BJ110" i="37"/>
  <c r="H110" i="37"/>
  <c r="L110" i="37"/>
  <c r="P110" i="37"/>
  <c r="T110" i="37"/>
  <c r="X110" i="37"/>
  <c r="AB110" i="37"/>
  <c r="AF110" i="37"/>
  <c r="AJ110" i="37"/>
  <c r="AN110" i="37"/>
  <c r="AR110" i="37"/>
  <c r="AV110" i="37"/>
  <c r="AZ110" i="37"/>
  <c r="BD110" i="37"/>
  <c r="BH110" i="37"/>
  <c r="J54" i="37" l="1"/>
  <c r="K54" i="37" s="1"/>
  <c r="L54" i="37" s="1"/>
  <c r="M54" i="37" s="1"/>
  <c r="N54" i="37" s="1"/>
  <c r="O54" i="37" s="1"/>
  <c r="P54" i="37" s="1"/>
  <c r="Q54" i="37" s="1"/>
  <c r="R54" i="37" s="1"/>
  <c r="S54" i="37" s="1"/>
  <c r="T54" i="37" s="1"/>
  <c r="U54" i="37" s="1"/>
  <c r="V54" i="37" s="1"/>
  <c r="W54" i="37" s="1"/>
  <c r="X54" i="37" s="1"/>
  <c r="Y54" i="37" s="1"/>
  <c r="Z54" i="37" s="1"/>
  <c r="AA54" i="37" s="1"/>
  <c r="AB54" i="37" s="1"/>
  <c r="AC54" i="37" s="1"/>
  <c r="AD54" i="37" s="1"/>
  <c r="AE54" i="37" s="1"/>
  <c r="AF54" i="37" s="1"/>
  <c r="AG54" i="37" s="1"/>
  <c r="AH54" i="37" s="1"/>
  <c r="AI54" i="37" s="1"/>
  <c r="AJ54" i="37" s="1"/>
  <c r="AK54" i="37" s="1"/>
  <c r="AL54" i="37" s="1"/>
  <c r="AM54" i="37" s="1"/>
  <c r="AN54" i="37" s="1"/>
  <c r="AO54" i="37" s="1"/>
  <c r="AP54" i="37" s="1"/>
  <c r="AQ54" i="37" s="1"/>
  <c r="AR54" i="37" s="1"/>
  <c r="AS54" i="37" s="1"/>
  <c r="AT54" i="37" s="1"/>
  <c r="AU54" i="37" s="1"/>
  <c r="AV54" i="37" s="1"/>
  <c r="AW54" i="37" s="1"/>
  <c r="AX54" i="37" s="1"/>
  <c r="AY54" i="37" s="1"/>
  <c r="AZ54" i="37" s="1"/>
  <c r="BA54" i="37" s="1"/>
  <c r="BB54" i="37" s="1"/>
  <c r="BC54" i="37" s="1"/>
  <c r="BD54" i="37" s="1"/>
  <c r="BE54" i="37" s="1"/>
  <c r="BF54" i="37" s="1"/>
  <c r="BG54" i="37" s="1"/>
  <c r="BH54" i="37" s="1"/>
  <c r="BI54" i="37" s="1"/>
  <c r="BJ54" i="37" s="1"/>
  <c r="BK54" i="37" s="1"/>
  <c r="BL54" i="37" s="1"/>
  <c r="E123" i="37"/>
  <c r="F45" i="37"/>
  <c r="F123" i="37" l="1"/>
  <c r="G45" i="37"/>
  <c r="G123" i="37" l="1"/>
  <c r="H45" i="37"/>
  <c r="H123" i="37" l="1"/>
  <c r="I45" i="37"/>
  <c r="I123" i="37" l="1"/>
  <c r="J45" i="37"/>
  <c r="J123" i="37" l="1"/>
  <c r="K45" i="37"/>
  <c r="K123" i="37" l="1"/>
  <c r="L45" i="37"/>
  <c r="L123" i="37" l="1"/>
  <c r="M45" i="37"/>
  <c r="M123" i="37" l="1"/>
  <c r="N45" i="37"/>
  <c r="N123" i="37" l="1"/>
  <c r="O45" i="37"/>
  <c r="D39" i="36"/>
  <c r="D114" i="36"/>
  <c r="F114" i="36" s="1"/>
  <c r="D124" i="36"/>
  <c r="O123" i="37" l="1"/>
  <c r="P45" i="37"/>
  <c r="E114" i="36"/>
  <c r="BI114" i="36"/>
  <c r="BE114" i="36"/>
  <c r="BA114" i="36"/>
  <c r="AW114" i="36"/>
  <c r="AS114" i="36"/>
  <c r="AO114" i="36"/>
  <c r="AK114" i="36"/>
  <c r="AG114" i="36"/>
  <c r="AC114" i="36"/>
  <c r="Y114" i="36"/>
  <c r="U114" i="36"/>
  <c r="Q114" i="36"/>
  <c r="M114" i="36"/>
  <c r="I114" i="36"/>
  <c r="BL114" i="36"/>
  <c r="BH114" i="36"/>
  <c r="BD114" i="36"/>
  <c r="AZ114" i="36"/>
  <c r="AV114" i="36"/>
  <c r="AR114" i="36"/>
  <c r="AN114" i="36"/>
  <c r="AJ114" i="36"/>
  <c r="AF114" i="36"/>
  <c r="AB114" i="36"/>
  <c r="X114" i="36"/>
  <c r="T114" i="36"/>
  <c r="P114" i="36"/>
  <c r="L114" i="36"/>
  <c r="H114" i="36"/>
  <c r="BK114" i="36"/>
  <c r="BG114" i="36"/>
  <c r="BC114" i="36"/>
  <c r="AY114" i="36"/>
  <c r="AU114" i="36"/>
  <c r="AQ114" i="36"/>
  <c r="AM114" i="36"/>
  <c r="AI114" i="36"/>
  <c r="AE114" i="36"/>
  <c r="AA114" i="36"/>
  <c r="W114" i="36"/>
  <c r="S114" i="36"/>
  <c r="O114" i="36"/>
  <c r="K114" i="36"/>
  <c r="G114" i="36"/>
  <c r="BJ114" i="36"/>
  <c r="BF114" i="36"/>
  <c r="BB114" i="36"/>
  <c r="AX114" i="36"/>
  <c r="AT114" i="36"/>
  <c r="AP114" i="36"/>
  <c r="AL114" i="36"/>
  <c r="AH114" i="36"/>
  <c r="AD114" i="36"/>
  <c r="Z114" i="36"/>
  <c r="V114" i="36"/>
  <c r="R114" i="36"/>
  <c r="N114" i="36"/>
  <c r="J114" i="36"/>
  <c r="P123" i="37" l="1"/>
  <c r="Q45" i="37"/>
  <c r="D48" i="36"/>
  <c r="D174" i="36"/>
  <c r="E134" i="36"/>
  <c r="BL120" i="36"/>
  <c r="BK120" i="36"/>
  <c r="BJ120" i="36"/>
  <c r="BI120" i="36"/>
  <c r="BH120" i="36"/>
  <c r="BG120" i="36"/>
  <c r="BF120" i="36"/>
  <c r="BE120" i="36"/>
  <c r="BD120" i="36"/>
  <c r="BC120" i="36"/>
  <c r="BB120" i="36"/>
  <c r="BA120" i="36"/>
  <c r="AZ120" i="36"/>
  <c r="AY120" i="36"/>
  <c r="AX120" i="36"/>
  <c r="AW120" i="36"/>
  <c r="AV120" i="36"/>
  <c r="AU120" i="36"/>
  <c r="AT120" i="36"/>
  <c r="AS120" i="36"/>
  <c r="AR120" i="36"/>
  <c r="AQ120" i="36"/>
  <c r="AP120" i="36"/>
  <c r="AO120" i="36"/>
  <c r="AN120" i="36"/>
  <c r="AM120" i="36"/>
  <c r="AL120" i="36"/>
  <c r="AK120" i="36"/>
  <c r="AJ120" i="36"/>
  <c r="AI120" i="36"/>
  <c r="AH120" i="36"/>
  <c r="AG120" i="36"/>
  <c r="AF120" i="36"/>
  <c r="AE120" i="36"/>
  <c r="AD120" i="36"/>
  <c r="AC120" i="36"/>
  <c r="AB120" i="36"/>
  <c r="AA120" i="36"/>
  <c r="Z120" i="36"/>
  <c r="Y120" i="36"/>
  <c r="X120" i="36"/>
  <c r="W120" i="36"/>
  <c r="V120" i="36"/>
  <c r="U120" i="36"/>
  <c r="T120" i="36"/>
  <c r="S120" i="36"/>
  <c r="R120" i="36"/>
  <c r="Q120" i="36"/>
  <c r="P120" i="36"/>
  <c r="O120" i="36"/>
  <c r="N120" i="36"/>
  <c r="M120" i="36"/>
  <c r="L120" i="36"/>
  <c r="K120" i="36"/>
  <c r="J120" i="36"/>
  <c r="I120" i="36"/>
  <c r="H120" i="36"/>
  <c r="G120" i="36"/>
  <c r="F120" i="36"/>
  <c r="E120" i="36"/>
  <c r="D83" i="36"/>
  <c r="BL44" i="36"/>
  <c r="BK44" i="36"/>
  <c r="BJ44" i="36"/>
  <c r="BI44" i="36"/>
  <c r="BH44" i="36"/>
  <c r="BG44" i="36"/>
  <c r="BF44" i="36"/>
  <c r="BE44" i="36"/>
  <c r="BD44" i="36"/>
  <c r="BC44" i="36"/>
  <c r="BB44" i="36"/>
  <c r="BA44" i="36"/>
  <c r="AZ44" i="36"/>
  <c r="AY44" i="36"/>
  <c r="AX44" i="36"/>
  <c r="AW44" i="36"/>
  <c r="AV44" i="36"/>
  <c r="AU44" i="36"/>
  <c r="AT44" i="36"/>
  <c r="AS44" i="36"/>
  <c r="AR44" i="36"/>
  <c r="AQ44" i="36"/>
  <c r="AP44" i="36"/>
  <c r="AO44" i="36"/>
  <c r="AN44" i="36"/>
  <c r="AM44" i="36"/>
  <c r="AL44" i="36"/>
  <c r="AK44" i="36"/>
  <c r="AJ44" i="36"/>
  <c r="AI44" i="36"/>
  <c r="AH44" i="36"/>
  <c r="AG44" i="36"/>
  <c r="AF44" i="36"/>
  <c r="AE44" i="36"/>
  <c r="AD44" i="36"/>
  <c r="AC44" i="36"/>
  <c r="AB44" i="36"/>
  <c r="AA44" i="36"/>
  <c r="Z44" i="36"/>
  <c r="Y44" i="36"/>
  <c r="X44" i="36"/>
  <c r="W44" i="36"/>
  <c r="V44" i="36"/>
  <c r="U44" i="36"/>
  <c r="T44" i="36"/>
  <c r="S44" i="36"/>
  <c r="R44" i="36"/>
  <c r="Q44" i="36"/>
  <c r="P44" i="36"/>
  <c r="O44" i="36"/>
  <c r="N44" i="36"/>
  <c r="M44" i="36"/>
  <c r="L44" i="36"/>
  <c r="K44" i="36"/>
  <c r="J44" i="36"/>
  <c r="I44" i="36"/>
  <c r="H44" i="36"/>
  <c r="G44" i="36"/>
  <c r="F44" i="36"/>
  <c r="E44" i="36"/>
  <c r="BL43" i="36"/>
  <c r="BK43" i="36"/>
  <c r="BK56" i="36" s="1"/>
  <c r="BK107" i="36" s="1"/>
  <c r="BJ43" i="36"/>
  <c r="BJ56" i="36" s="1"/>
  <c r="BJ107" i="36" s="1"/>
  <c r="BI43" i="36"/>
  <c r="BI47" i="36" s="1"/>
  <c r="BH43" i="36"/>
  <c r="BG43" i="36"/>
  <c r="BG56" i="36" s="1"/>
  <c r="BG107" i="36" s="1"/>
  <c r="BF43" i="36"/>
  <c r="BF56" i="36" s="1"/>
  <c r="BF107" i="36" s="1"/>
  <c r="BE43" i="36"/>
  <c r="BE47" i="36" s="1"/>
  <c r="BD43" i="36"/>
  <c r="BC43" i="36"/>
  <c r="BC56" i="36" s="1"/>
  <c r="BC107" i="36" s="1"/>
  <c r="BB43" i="36"/>
  <c r="BB56" i="36" s="1"/>
  <c r="BB107" i="36" s="1"/>
  <c r="BA43" i="36"/>
  <c r="BA56" i="36" s="1"/>
  <c r="BA107" i="36" s="1"/>
  <c r="AZ43" i="36"/>
  <c r="AY43" i="36"/>
  <c r="AY56" i="36" s="1"/>
  <c r="AY107" i="36" s="1"/>
  <c r="AX43" i="36"/>
  <c r="AX56" i="36" s="1"/>
  <c r="AX107" i="36" s="1"/>
  <c r="AW43" i="36"/>
  <c r="AW47" i="36" s="1"/>
  <c r="AV43" i="36"/>
  <c r="AU43" i="36"/>
  <c r="AU56" i="36" s="1"/>
  <c r="AU107" i="36" s="1"/>
  <c r="AT43" i="36"/>
  <c r="AT56" i="36" s="1"/>
  <c r="AT107" i="36" s="1"/>
  <c r="AS43" i="36"/>
  <c r="AS47" i="36" s="1"/>
  <c r="AR43" i="36"/>
  <c r="AR56" i="36" s="1"/>
  <c r="AR107" i="36" s="1"/>
  <c r="AQ43" i="36"/>
  <c r="AQ56" i="36" s="1"/>
  <c r="AQ107" i="36" s="1"/>
  <c r="AP43" i="36"/>
  <c r="AP56" i="36" s="1"/>
  <c r="AP107" i="36" s="1"/>
  <c r="AO43" i="36"/>
  <c r="AO56" i="36" s="1"/>
  <c r="AO107" i="36" s="1"/>
  <c r="AN43" i="36"/>
  <c r="AN56" i="36" s="1"/>
  <c r="AN107" i="36" s="1"/>
  <c r="AM43" i="36"/>
  <c r="AM56" i="36" s="1"/>
  <c r="AM107" i="36" s="1"/>
  <c r="AL43" i="36"/>
  <c r="AL56" i="36" s="1"/>
  <c r="AL107" i="36" s="1"/>
  <c r="AK43" i="36"/>
  <c r="AK47" i="36" s="1"/>
  <c r="AJ43" i="36"/>
  <c r="AJ56" i="36" s="1"/>
  <c r="AJ107" i="36" s="1"/>
  <c r="AI43" i="36"/>
  <c r="AI56" i="36" s="1"/>
  <c r="AI107" i="36" s="1"/>
  <c r="AH43" i="36"/>
  <c r="AH56" i="36" s="1"/>
  <c r="AH107" i="36" s="1"/>
  <c r="AG43" i="36"/>
  <c r="AG56" i="36" s="1"/>
  <c r="AG107" i="36" s="1"/>
  <c r="AF43" i="36"/>
  <c r="AF56" i="36" s="1"/>
  <c r="AF107" i="36" s="1"/>
  <c r="AE43" i="36"/>
  <c r="AE56" i="36" s="1"/>
  <c r="AE107" i="36" s="1"/>
  <c r="AD43" i="36"/>
  <c r="AC43" i="36"/>
  <c r="AC47" i="36" s="1"/>
  <c r="AB43" i="36"/>
  <c r="AA43" i="36"/>
  <c r="Z43" i="36"/>
  <c r="Y43" i="36"/>
  <c r="Y47" i="36" s="1"/>
  <c r="X43" i="36"/>
  <c r="W43" i="36"/>
  <c r="V43" i="36"/>
  <c r="U43" i="36"/>
  <c r="U56" i="36" s="1"/>
  <c r="U107" i="36" s="1"/>
  <c r="T43" i="36"/>
  <c r="S43" i="36"/>
  <c r="R43" i="36"/>
  <c r="Q43" i="36"/>
  <c r="Q56" i="36" s="1"/>
  <c r="Q107" i="36" s="1"/>
  <c r="P43" i="36"/>
  <c r="O43" i="36"/>
  <c r="N43" i="36"/>
  <c r="M43" i="36"/>
  <c r="M47" i="36" s="1"/>
  <c r="L43" i="36"/>
  <c r="K43" i="36"/>
  <c r="J43" i="36"/>
  <c r="I43" i="36"/>
  <c r="I47" i="36" s="1"/>
  <c r="H43" i="36"/>
  <c r="G43" i="36"/>
  <c r="F43" i="36"/>
  <c r="E43" i="36"/>
  <c r="E56" i="36" s="1"/>
  <c r="D140" i="36"/>
  <c r="D29" i="36"/>
  <c r="D132" i="36" s="1"/>
  <c r="L20" i="36"/>
  <c r="D20" i="36"/>
  <c r="I18" i="36"/>
  <c r="D17" i="36"/>
  <c r="D25" i="31"/>
  <c r="D93" i="31" s="1"/>
  <c r="D122" i="35"/>
  <c r="BL85" i="35"/>
  <c r="BK85" i="35"/>
  <c r="BJ85" i="35"/>
  <c r="BI85" i="35"/>
  <c r="BH85" i="35"/>
  <c r="BG85" i="35"/>
  <c r="BF85" i="35"/>
  <c r="BE85" i="35"/>
  <c r="BD85" i="35"/>
  <c r="BC85" i="35"/>
  <c r="BB85" i="35"/>
  <c r="BA85" i="35"/>
  <c r="AZ85" i="35"/>
  <c r="AY85" i="35"/>
  <c r="AX85" i="35"/>
  <c r="AW85" i="35"/>
  <c r="AV85" i="35"/>
  <c r="AU85" i="35"/>
  <c r="AT85" i="35"/>
  <c r="AS85" i="35"/>
  <c r="AR85" i="35"/>
  <c r="AQ85" i="35"/>
  <c r="AP85" i="35"/>
  <c r="AO85" i="35"/>
  <c r="AN85" i="35"/>
  <c r="AM85" i="35"/>
  <c r="AL85" i="35"/>
  <c r="AK85" i="35"/>
  <c r="AJ85" i="35"/>
  <c r="AI85" i="35"/>
  <c r="AH85" i="35"/>
  <c r="AG85" i="35"/>
  <c r="AF85" i="35"/>
  <c r="AE85" i="35"/>
  <c r="AD85" i="35"/>
  <c r="AC85" i="35"/>
  <c r="AB85" i="35"/>
  <c r="AA85" i="35"/>
  <c r="Z85" i="35"/>
  <c r="Y85" i="35"/>
  <c r="X85" i="35"/>
  <c r="W85" i="35"/>
  <c r="V85" i="35"/>
  <c r="U85" i="35"/>
  <c r="T85" i="35"/>
  <c r="S85" i="35"/>
  <c r="R85" i="35"/>
  <c r="Q85" i="35"/>
  <c r="P85" i="35"/>
  <c r="O85" i="35"/>
  <c r="N85" i="35"/>
  <c r="M85" i="35"/>
  <c r="L85" i="35"/>
  <c r="K85" i="35"/>
  <c r="J85" i="35"/>
  <c r="I85" i="35"/>
  <c r="H85" i="35"/>
  <c r="G85" i="35"/>
  <c r="F85" i="35"/>
  <c r="E85" i="35"/>
  <c r="D61" i="35"/>
  <c r="D45" i="35"/>
  <c r="BL41" i="35"/>
  <c r="BK41" i="35"/>
  <c r="BJ41" i="35"/>
  <c r="BI41" i="35"/>
  <c r="BH41" i="35"/>
  <c r="BG41" i="35"/>
  <c r="BF41" i="35"/>
  <c r="BE41" i="35"/>
  <c r="BD41" i="35"/>
  <c r="BC41" i="35"/>
  <c r="BB41" i="35"/>
  <c r="BA41" i="35"/>
  <c r="AZ41" i="35"/>
  <c r="AY41" i="35"/>
  <c r="AX41" i="35"/>
  <c r="AW41" i="35"/>
  <c r="AV41" i="35"/>
  <c r="AU41" i="35"/>
  <c r="AT41" i="35"/>
  <c r="AS41" i="35"/>
  <c r="AR41" i="35"/>
  <c r="AQ41" i="35"/>
  <c r="AP41" i="35"/>
  <c r="AO41" i="35"/>
  <c r="AN41" i="35"/>
  <c r="AM41" i="35"/>
  <c r="AL41" i="35"/>
  <c r="AK41" i="35"/>
  <c r="AJ41" i="35"/>
  <c r="AI41" i="35"/>
  <c r="AH41" i="35"/>
  <c r="AG41" i="35"/>
  <c r="AF41" i="35"/>
  <c r="AE41" i="35"/>
  <c r="AD41" i="35"/>
  <c r="AC41" i="35"/>
  <c r="AB41" i="35"/>
  <c r="AA41" i="35"/>
  <c r="Z41" i="35"/>
  <c r="Y41" i="35"/>
  <c r="X41" i="35"/>
  <c r="W41" i="35"/>
  <c r="V41" i="35"/>
  <c r="U41" i="35"/>
  <c r="T41" i="35"/>
  <c r="S41" i="35"/>
  <c r="R41" i="35"/>
  <c r="Q41" i="35"/>
  <c r="P41" i="35"/>
  <c r="O41" i="35"/>
  <c r="N41" i="35"/>
  <c r="M41" i="35"/>
  <c r="L41" i="35"/>
  <c r="K41" i="35"/>
  <c r="J41" i="35"/>
  <c r="I41" i="35"/>
  <c r="H41" i="35"/>
  <c r="G41" i="35"/>
  <c r="F41" i="35"/>
  <c r="E41" i="35"/>
  <c r="BL40" i="35"/>
  <c r="BL53" i="35" s="1"/>
  <c r="BK40" i="35"/>
  <c r="BK53" i="35" s="1"/>
  <c r="BJ40" i="35"/>
  <c r="BJ53" i="35" s="1"/>
  <c r="BI40" i="35"/>
  <c r="BI53" i="35" s="1"/>
  <c r="BH40" i="35"/>
  <c r="BH53" i="35" s="1"/>
  <c r="BG40" i="35"/>
  <c r="BF40" i="35"/>
  <c r="BF53" i="35" s="1"/>
  <c r="BE40" i="35"/>
  <c r="BE53" i="35" s="1"/>
  <c r="BD40" i="35"/>
  <c r="BD53" i="35" s="1"/>
  <c r="BC40" i="35"/>
  <c r="BC53" i="35" s="1"/>
  <c r="BB40" i="35"/>
  <c r="BB44" i="35" s="1"/>
  <c r="BA40" i="35"/>
  <c r="BA53" i="35" s="1"/>
  <c r="AZ40" i="35"/>
  <c r="AY40" i="35"/>
  <c r="AY53" i="35" s="1"/>
  <c r="AX40" i="35"/>
  <c r="AX53" i="35" s="1"/>
  <c r="AW40" i="35"/>
  <c r="AW53" i="35" s="1"/>
  <c r="AV40" i="35"/>
  <c r="AV53" i="35" s="1"/>
  <c r="AU40" i="35"/>
  <c r="AU53" i="35" s="1"/>
  <c r="AT40" i="35"/>
  <c r="AT53" i="35" s="1"/>
  <c r="AS40" i="35"/>
  <c r="AS53" i="35" s="1"/>
  <c r="AR40" i="35"/>
  <c r="AR53" i="35" s="1"/>
  <c r="AQ40" i="35"/>
  <c r="AP40" i="35"/>
  <c r="AP53" i="35" s="1"/>
  <c r="AO40" i="35"/>
  <c r="AO53" i="35" s="1"/>
  <c r="AN40" i="35"/>
  <c r="AN53" i="35" s="1"/>
  <c r="AM40" i="35"/>
  <c r="AM53" i="35" s="1"/>
  <c r="AL40" i="35"/>
  <c r="AL53" i="35" s="1"/>
  <c r="AK40" i="35"/>
  <c r="AK53" i="35" s="1"/>
  <c r="AJ40" i="35"/>
  <c r="AI40" i="35"/>
  <c r="AI53" i="35" s="1"/>
  <c r="AH40" i="35"/>
  <c r="AH44" i="35" s="1"/>
  <c r="AG40" i="35"/>
  <c r="AG53" i="35" s="1"/>
  <c r="AF40" i="35"/>
  <c r="AF53" i="35" s="1"/>
  <c r="AE40" i="35"/>
  <c r="AE53" i="35" s="1"/>
  <c r="AD40" i="35"/>
  <c r="AD53" i="35" s="1"/>
  <c r="AC40" i="35"/>
  <c r="AC53" i="35" s="1"/>
  <c r="AB40" i="35"/>
  <c r="AB53" i="35" s="1"/>
  <c r="AA40" i="35"/>
  <c r="AA53" i="35" s="1"/>
  <c r="Z40" i="35"/>
  <c r="Z53" i="35" s="1"/>
  <c r="Y40" i="35"/>
  <c r="Y53" i="35" s="1"/>
  <c r="X40" i="35"/>
  <c r="X53" i="35" s="1"/>
  <c r="W40" i="35"/>
  <c r="W53" i="35" s="1"/>
  <c r="V40" i="35"/>
  <c r="V53" i="35" s="1"/>
  <c r="U40" i="35"/>
  <c r="U53" i="35" s="1"/>
  <c r="T40" i="35"/>
  <c r="S40" i="35"/>
  <c r="S53" i="35" s="1"/>
  <c r="R40" i="35"/>
  <c r="R53" i="35" s="1"/>
  <c r="Q40" i="35"/>
  <c r="Q53" i="35" s="1"/>
  <c r="P40" i="35"/>
  <c r="P53" i="35" s="1"/>
  <c r="O40" i="35"/>
  <c r="O53" i="35" s="1"/>
  <c r="N40" i="35"/>
  <c r="N53" i="35" s="1"/>
  <c r="M40" i="35"/>
  <c r="M53" i="35" s="1"/>
  <c r="L40" i="35"/>
  <c r="L53" i="35" s="1"/>
  <c r="K40" i="35"/>
  <c r="J40" i="35"/>
  <c r="J44" i="35" s="1"/>
  <c r="I40" i="35"/>
  <c r="I53" i="35" s="1"/>
  <c r="H40" i="35"/>
  <c r="H53" i="35" s="1"/>
  <c r="G40" i="35"/>
  <c r="G53" i="35" s="1"/>
  <c r="F40" i="35"/>
  <c r="F53" i="35" s="1"/>
  <c r="E40" i="35"/>
  <c r="E53" i="35" s="1"/>
  <c r="E54" i="35" s="1"/>
  <c r="D36" i="35"/>
  <c r="D101" i="35" s="1"/>
  <c r="D25" i="35"/>
  <c r="D93" i="35" s="1"/>
  <c r="I16" i="35"/>
  <c r="D16" i="35"/>
  <c r="BL77" i="35" s="1"/>
  <c r="BL82" i="35" s="1"/>
  <c r="I15" i="35"/>
  <c r="D13" i="35"/>
  <c r="D36" i="31"/>
  <c r="O44" i="35"/>
  <c r="AE44" i="35"/>
  <c r="AU44" i="35"/>
  <c r="BK44" i="35"/>
  <c r="S44" i="35"/>
  <c r="AI44" i="35"/>
  <c r="AY44" i="35"/>
  <c r="G44" i="35"/>
  <c r="W44" i="35"/>
  <c r="AM44" i="35"/>
  <c r="BC44" i="35"/>
  <c r="E44" i="35"/>
  <c r="E45" i="35" s="1"/>
  <c r="I44" i="35"/>
  <c r="M44" i="35"/>
  <c r="Q44" i="35"/>
  <c r="U44" i="35"/>
  <c r="Y44" i="35"/>
  <c r="AC44" i="35"/>
  <c r="AG44" i="35"/>
  <c r="AK44" i="35"/>
  <c r="AO44" i="35"/>
  <c r="AS44" i="35"/>
  <c r="AW44" i="35"/>
  <c r="BA44" i="35"/>
  <c r="BE44" i="35"/>
  <c r="BI44" i="35"/>
  <c r="D92" i="35"/>
  <c r="D56" i="34"/>
  <c r="D53" i="34"/>
  <c r="D36" i="34"/>
  <c r="D35" i="34"/>
  <c r="E35" i="34" s="1"/>
  <c r="E36" i="34" s="1"/>
  <c r="AC34" i="34"/>
  <c r="AB34" i="34"/>
  <c r="AA34" i="34"/>
  <c r="Z34" i="34"/>
  <c r="Y34" i="34"/>
  <c r="X34" i="34"/>
  <c r="W34" i="34"/>
  <c r="V34" i="34"/>
  <c r="U34" i="34"/>
  <c r="T34" i="34"/>
  <c r="S34" i="34"/>
  <c r="R34" i="34"/>
  <c r="Q34" i="34"/>
  <c r="P34" i="34"/>
  <c r="O34" i="34"/>
  <c r="N34" i="34"/>
  <c r="M34" i="34"/>
  <c r="L34" i="34"/>
  <c r="K34" i="34"/>
  <c r="J34" i="34"/>
  <c r="I34" i="34"/>
  <c r="H34" i="34"/>
  <c r="G34" i="34"/>
  <c r="F34" i="34"/>
  <c r="E34" i="34"/>
  <c r="D11" i="34"/>
  <c r="AH7" i="34"/>
  <c r="AG7" i="34"/>
  <c r="AF7" i="34"/>
  <c r="AE7" i="34"/>
  <c r="AD7" i="34"/>
  <c r="AC7" i="34"/>
  <c r="AB7" i="34"/>
  <c r="AA7" i="34"/>
  <c r="Z7" i="34"/>
  <c r="Y7" i="34"/>
  <c r="X7" i="34"/>
  <c r="W7" i="34"/>
  <c r="V7" i="34"/>
  <c r="U7" i="34"/>
  <c r="T7" i="34"/>
  <c r="S7" i="34"/>
  <c r="R7" i="34"/>
  <c r="Q7" i="34"/>
  <c r="P7" i="34"/>
  <c r="O7" i="34"/>
  <c r="N7" i="34"/>
  <c r="M7" i="34"/>
  <c r="L7" i="34"/>
  <c r="K7" i="34"/>
  <c r="J7" i="34"/>
  <c r="I7" i="34"/>
  <c r="H7" i="34"/>
  <c r="G7" i="34"/>
  <c r="F7" i="34"/>
  <c r="E7" i="34"/>
  <c r="D56" i="33"/>
  <c r="D36" i="33"/>
  <c r="F34" i="33"/>
  <c r="G34" i="33"/>
  <c r="H34" i="33"/>
  <c r="I34" i="33"/>
  <c r="J34" i="33"/>
  <c r="K34" i="33"/>
  <c r="L34" i="33"/>
  <c r="M34" i="33"/>
  <c r="N34" i="33"/>
  <c r="O34" i="33"/>
  <c r="P34" i="33"/>
  <c r="Q34" i="33"/>
  <c r="R34" i="33"/>
  <c r="S34" i="33"/>
  <c r="T34" i="33"/>
  <c r="U34" i="33"/>
  <c r="V34" i="33"/>
  <c r="W34" i="33"/>
  <c r="X34" i="33"/>
  <c r="Y34" i="33"/>
  <c r="Z34" i="33"/>
  <c r="AA34" i="33"/>
  <c r="AB34" i="33"/>
  <c r="AC34" i="33"/>
  <c r="E34" i="33"/>
  <c r="D35" i="33"/>
  <c r="D59" i="33"/>
  <c r="I28" i="33"/>
  <c r="J28" i="33"/>
  <c r="K28" i="33"/>
  <c r="L28" i="33"/>
  <c r="M28" i="33"/>
  <c r="N28" i="33"/>
  <c r="O28" i="33"/>
  <c r="P28" i="33"/>
  <c r="Q28" i="33"/>
  <c r="R28" i="33"/>
  <c r="S28" i="33"/>
  <c r="T28" i="33"/>
  <c r="U28" i="33"/>
  <c r="V28" i="33"/>
  <c r="W28" i="33"/>
  <c r="X28" i="33"/>
  <c r="Y28" i="33"/>
  <c r="Z28" i="33"/>
  <c r="AA28" i="33"/>
  <c r="AB28" i="33"/>
  <c r="AC28" i="33"/>
  <c r="F28" i="33"/>
  <c r="G28" i="33"/>
  <c r="H28" i="33"/>
  <c r="E28" i="33"/>
  <c r="F7" i="33"/>
  <c r="G7" i="33"/>
  <c r="H7" i="33"/>
  <c r="I7" i="33"/>
  <c r="J7" i="33"/>
  <c r="K7" i="33"/>
  <c r="L7" i="33"/>
  <c r="M7" i="33"/>
  <c r="N7" i="33"/>
  <c r="O7" i="33"/>
  <c r="P7" i="33"/>
  <c r="Q7" i="33"/>
  <c r="R7" i="33"/>
  <c r="S7" i="33"/>
  <c r="T7" i="33"/>
  <c r="U7" i="33"/>
  <c r="V7" i="33"/>
  <c r="W7" i="33"/>
  <c r="X7" i="33"/>
  <c r="Y7" i="33"/>
  <c r="Z7" i="33"/>
  <c r="AA7" i="33"/>
  <c r="AB7" i="33"/>
  <c r="AC7" i="33"/>
  <c r="AD7" i="33"/>
  <c r="AE7" i="33"/>
  <c r="AF7" i="33"/>
  <c r="AG7" i="33"/>
  <c r="AH7" i="33"/>
  <c r="E7" i="33"/>
  <c r="E95" i="31"/>
  <c r="D11" i="33"/>
  <c r="D122" i="31"/>
  <c r="BL85" i="31"/>
  <c r="BK85" i="31"/>
  <c r="BJ85" i="31"/>
  <c r="BI85" i="31"/>
  <c r="BH85" i="31"/>
  <c r="BG85" i="31"/>
  <c r="BF85" i="31"/>
  <c r="BE85" i="31"/>
  <c r="BD85" i="31"/>
  <c r="BC85" i="31"/>
  <c r="BB85" i="31"/>
  <c r="BA85" i="31"/>
  <c r="AZ85" i="31"/>
  <c r="AY85" i="31"/>
  <c r="AX85" i="31"/>
  <c r="AW85" i="31"/>
  <c r="AV85" i="31"/>
  <c r="AU85" i="31"/>
  <c r="AT85" i="31"/>
  <c r="AS85" i="31"/>
  <c r="AR85" i="31"/>
  <c r="AQ85" i="31"/>
  <c r="AP85" i="31"/>
  <c r="AO85" i="31"/>
  <c r="AN85" i="31"/>
  <c r="AM85" i="31"/>
  <c r="AL85" i="31"/>
  <c r="AK85" i="31"/>
  <c r="AJ85" i="31"/>
  <c r="AI85" i="31"/>
  <c r="AH85" i="31"/>
  <c r="AG85" i="31"/>
  <c r="AF85" i="31"/>
  <c r="AE85" i="31"/>
  <c r="AD85" i="31"/>
  <c r="AC85" i="31"/>
  <c r="AB85" i="31"/>
  <c r="AA85" i="31"/>
  <c r="Z85" i="31"/>
  <c r="Y85" i="31"/>
  <c r="X85" i="31"/>
  <c r="W85" i="31"/>
  <c r="V85" i="31"/>
  <c r="U85" i="31"/>
  <c r="T85" i="31"/>
  <c r="S85" i="31"/>
  <c r="R85" i="31"/>
  <c r="Q85" i="31"/>
  <c r="P85" i="31"/>
  <c r="O85" i="31"/>
  <c r="N85" i="31"/>
  <c r="M85" i="31"/>
  <c r="L85" i="31"/>
  <c r="K85" i="31"/>
  <c r="J85" i="31"/>
  <c r="I85" i="31"/>
  <c r="H85" i="31"/>
  <c r="G85" i="31"/>
  <c r="F85" i="31"/>
  <c r="E85" i="31"/>
  <c r="D61" i="31"/>
  <c r="D45" i="31"/>
  <c r="BL41" i="31"/>
  <c r="BK41" i="31"/>
  <c r="BJ41" i="31"/>
  <c r="BI41" i="31"/>
  <c r="BH41" i="31"/>
  <c r="BG41" i="31"/>
  <c r="BF41" i="31"/>
  <c r="BE41" i="31"/>
  <c r="BD41" i="31"/>
  <c r="BC41" i="31"/>
  <c r="BB41" i="31"/>
  <c r="BA41" i="31"/>
  <c r="AZ41" i="31"/>
  <c r="AY41" i="31"/>
  <c r="AX41" i="31"/>
  <c r="AW41" i="31"/>
  <c r="AV41" i="31"/>
  <c r="AU41" i="31"/>
  <c r="AT41" i="31"/>
  <c r="AS41" i="31"/>
  <c r="AR41" i="31"/>
  <c r="AQ41" i="31"/>
  <c r="AP41" i="31"/>
  <c r="AO41" i="31"/>
  <c r="AN41" i="31"/>
  <c r="AM41" i="31"/>
  <c r="AL41" i="31"/>
  <c r="AK41" i="31"/>
  <c r="AJ41" i="31"/>
  <c r="AI41" i="31"/>
  <c r="AH41" i="31"/>
  <c r="AG41" i="31"/>
  <c r="AF41" i="31"/>
  <c r="AE41" i="31"/>
  <c r="AD41" i="31"/>
  <c r="AC41" i="31"/>
  <c r="AB41" i="31"/>
  <c r="AA41" i="31"/>
  <c r="Z41" i="31"/>
  <c r="Y41" i="31"/>
  <c r="X41" i="31"/>
  <c r="W41" i="31"/>
  <c r="V41" i="31"/>
  <c r="U41" i="31"/>
  <c r="T41" i="31"/>
  <c r="S41" i="31"/>
  <c r="R41" i="31"/>
  <c r="Q41" i="31"/>
  <c r="P41" i="31"/>
  <c r="O41" i="31"/>
  <c r="N41" i="31"/>
  <c r="M41" i="31"/>
  <c r="L41" i="31"/>
  <c r="K41" i="31"/>
  <c r="J41" i="31"/>
  <c r="I41" i="31"/>
  <c r="H41" i="31"/>
  <c r="G41" i="31"/>
  <c r="F41" i="31"/>
  <c r="E41" i="31"/>
  <c r="BL40" i="31"/>
  <c r="BK40" i="31"/>
  <c r="BK44" i="31" s="1"/>
  <c r="BJ40" i="31"/>
  <c r="BJ53" i="31" s="1"/>
  <c r="BI40" i="31"/>
  <c r="BH40" i="31"/>
  <c r="BH53" i="31" s="1"/>
  <c r="BG40" i="31"/>
  <c r="BG44" i="31" s="1"/>
  <c r="BF40" i="31"/>
  <c r="BF53" i="31" s="1"/>
  <c r="BE40" i="31"/>
  <c r="BE44" i="31" s="1"/>
  <c r="BD40" i="31"/>
  <c r="BC40" i="31"/>
  <c r="BC44" i="31" s="1"/>
  <c r="BB40" i="31"/>
  <c r="BB53" i="31" s="1"/>
  <c r="BA40" i="31"/>
  <c r="BA53" i="31" s="1"/>
  <c r="AZ40" i="31"/>
  <c r="AZ53" i="31" s="1"/>
  <c r="AY40" i="31"/>
  <c r="AY44" i="31" s="1"/>
  <c r="AX40" i="31"/>
  <c r="AX53" i="31" s="1"/>
  <c r="AW40" i="31"/>
  <c r="AV40" i="31"/>
  <c r="AU40" i="31"/>
  <c r="AU44" i="31" s="1"/>
  <c r="AT40" i="31"/>
  <c r="AT53" i="31" s="1"/>
  <c r="AS40" i="31"/>
  <c r="AR40" i="31"/>
  <c r="AR53" i="31" s="1"/>
  <c r="AQ40" i="31"/>
  <c r="AQ44" i="31" s="1"/>
  <c r="AP40" i="31"/>
  <c r="AP53" i="31" s="1"/>
  <c r="AO40" i="31"/>
  <c r="AN40" i="31"/>
  <c r="AN53" i="31" s="1"/>
  <c r="AM40" i="31"/>
  <c r="AM44" i="31" s="1"/>
  <c r="AL40" i="31"/>
  <c r="AL53" i="31" s="1"/>
  <c r="AK40" i="31"/>
  <c r="AJ40" i="31"/>
  <c r="AJ44" i="31" s="1"/>
  <c r="AI40" i="31"/>
  <c r="AI44" i="31" s="1"/>
  <c r="AH40" i="31"/>
  <c r="AH44" i="31" s="1"/>
  <c r="AG40" i="31"/>
  <c r="AF40" i="31"/>
  <c r="AF44" i="31" s="1"/>
  <c r="AE40" i="31"/>
  <c r="AE44" i="31" s="1"/>
  <c r="AD40" i="31"/>
  <c r="AD53" i="31" s="1"/>
  <c r="AC40" i="31"/>
  <c r="AC53" i="31" s="1"/>
  <c r="AB40" i="31"/>
  <c r="AA40" i="31"/>
  <c r="AA44" i="31" s="1"/>
  <c r="Z40" i="31"/>
  <c r="Z53" i="31" s="1"/>
  <c r="Y40" i="31"/>
  <c r="Y53" i="31" s="1"/>
  <c r="X40" i="31"/>
  <c r="X53" i="31" s="1"/>
  <c r="W40" i="31"/>
  <c r="W44" i="31" s="1"/>
  <c r="V40" i="31"/>
  <c r="V53" i="31" s="1"/>
  <c r="U40" i="31"/>
  <c r="U53" i="31" s="1"/>
  <c r="T40" i="31"/>
  <c r="T53" i="31" s="1"/>
  <c r="S40" i="31"/>
  <c r="S44" i="31" s="1"/>
  <c r="R40" i="31"/>
  <c r="R53" i="31" s="1"/>
  <c r="Q40" i="31"/>
  <c r="Q53" i="31" s="1"/>
  <c r="P40" i="31"/>
  <c r="O40" i="31"/>
  <c r="O44" i="31" s="1"/>
  <c r="N40" i="31"/>
  <c r="N53" i="31" s="1"/>
  <c r="M40" i="31"/>
  <c r="M53" i="31" s="1"/>
  <c r="L40" i="31"/>
  <c r="L44" i="31" s="1"/>
  <c r="K40" i="31"/>
  <c r="K44" i="31" s="1"/>
  <c r="J40" i="31"/>
  <c r="J44" i="31" s="1"/>
  <c r="I40" i="31"/>
  <c r="H40" i="31"/>
  <c r="H44" i="31" s="1"/>
  <c r="G40" i="31"/>
  <c r="G44" i="31" s="1"/>
  <c r="F40" i="31"/>
  <c r="F53" i="31" s="1"/>
  <c r="E40" i="31"/>
  <c r="E53" i="31" s="1"/>
  <c r="E54" i="31" s="1"/>
  <c r="F54" i="31" s="1"/>
  <c r="I16" i="31"/>
  <c r="D16" i="31"/>
  <c r="BL77" i="31" s="1"/>
  <c r="BL82" i="31" s="1"/>
  <c r="I15" i="31"/>
  <c r="D13" i="31"/>
  <c r="AX44" i="31"/>
  <c r="BJ44" i="31"/>
  <c r="N44" i="31"/>
  <c r="R44" i="31"/>
  <c r="BK53" i="31"/>
  <c r="AT44" i="31"/>
  <c r="Z44" i="31"/>
  <c r="AP44" i="31"/>
  <c r="BF44" i="31"/>
  <c r="F44" i="31"/>
  <c r="V44" i="31"/>
  <c r="AL44" i="31"/>
  <c r="BB44" i="31"/>
  <c r="D66" i="30"/>
  <c r="BL54" i="30"/>
  <c r="BK54" i="30"/>
  <c r="BJ54" i="30"/>
  <c r="BI54" i="30"/>
  <c r="BH54" i="30"/>
  <c r="BG54" i="30"/>
  <c r="BF54" i="30"/>
  <c r="BE54" i="30"/>
  <c r="BD54" i="30"/>
  <c r="BC54" i="30"/>
  <c r="BB54" i="30"/>
  <c r="BA54" i="30"/>
  <c r="AZ54" i="30"/>
  <c r="AY54" i="30"/>
  <c r="AX54" i="30"/>
  <c r="AW54" i="30"/>
  <c r="AV54" i="30"/>
  <c r="AU54" i="30"/>
  <c r="AT54" i="30"/>
  <c r="AS54" i="30"/>
  <c r="AR54" i="30"/>
  <c r="AQ54" i="30"/>
  <c r="AP54" i="30"/>
  <c r="AO54" i="30"/>
  <c r="AN54" i="30"/>
  <c r="AM54" i="30"/>
  <c r="AL54" i="30"/>
  <c r="AK54" i="30"/>
  <c r="AJ54" i="30"/>
  <c r="AI54" i="30"/>
  <c r="AH54" i="30"/>
  <c r="AG54" i="30"/>
  <c r="AF54" i="30"/>
  <c r="AE54" i="30"/>
  <c r="AD54" i="30"/>
  <c r="AC54" i="30"/>
  <c r="AB54" i="30"/>
  <c r="AA54" i="30"/>
  <c r="Z54" i="30"/>
  <c r="Y54" i="30"/>
  <c r="X54" i="30"/>
  <c r="W54" i="30"/>
  <c r="V54" i="30"/>
  <c r="U54" i="30"/>
  <c r="T54" i="30"/>
  <c r="S54" i="30"/>
  <c r="R54" i="30"/>
  <c r="Q54" i="30"/>
  <c r="P54" i="30"/>
  <c r="O54" i="30"/>
  <c r="N54" i="30"/>
  <c r="M54" i="30"/>
  <c r="L54" i="30"/>
  <c r="K54" i="30"/>
  <c r="J54" i="30"/>
  <c r="I54" i="30"/>
  <c r="H54" i="30"/>
  <c r="G54" i="30"/>
  <c r="F54" i="30"/>
  <c r="E54" i="30"/>
  <c r="BL50" i="30"/>
  <c r="BL28" i="30"/>
  <c r="BK28" i="30"/>
  <c r="BJ28" i="30"/>
  <c r="BI28" i="30"/>
  <c r="BH28" i="30"/>
  <c r="BG28" i="30"/>
  <c r="BF28" i="30"/>
  <c r="BE28" i="30"/>
  <c r="BD28" i="30"/>
  <c r="BC28" i="30"/>
  <c r="BB28" i="30"/>
  <c r="BA28" i="30"/>
  <c r="AZ28" i="30"/>
  <c r="AY28" i="30"/>
  <c r="AX28" i="30"/>
  <c r="AW28" i="30"/>
  <c r="AV28" i="30"/>
  <c r="AU28" i="30"/>
  <c r="AT28" i="30"/>
  <c r="AS28" i="30"/>
  <c r="AR28" i="30"/>
  <c r="AQ28" i="30"/>
  <c r="AP28" i="30"/>
  <c r="AO28" i="30"/>
  <c r="AN28" i="30"/>
  <c r="AM28" i="30"/>
  <c r="AL28" i="30"/>
  <c r="AK28" i="30"/>
  <c r="AJ28" i="30"/>
  <c r="AI28" i="30"/>
  <c r="AH28" i="30"/>
  <c r="AG28" i="30"/>
  <c r="AF28" i="30"/>
  <c r="AE28" i="30"/>
  <c r="AD28" i="30"/>
  <c r="AC28" i="30"/>
  <c r="AB28" i="30"/>
  <c r="AA28" i="30"/>
  <c r="Z28" i="30"/>
  <c r="Y28" i="30"/>
  <c r="X28" i="30"/>
  <c r="W28" i="30"/>
  <c r="V28" i="30"/>
  <c r="U28" i="30"/>
  <c r="T28" i="30"/>
  <c r="S28" i="30"/>
  <c r="R28" i="30"/>
  <c r="Q28" i="30"/>
  <c r="P28" i="30"/>
  <c r="O28" i="30"/>
  <c r="N28" i="30"/>
  <c r="M28" i="30"/>
  <c r="L28" i="30"/>
  <c r="K28" i="30"/>
  <c r="J28" i="30"/>
  <c r="I28" i="30"/>
  <c r="H28" i="30"/>
  <c r="G28" i="30"/>
  <c r="F28" i="30"/>
  <c r="D27" i="30"/>
  <c r="BL23" i="30"/>
  <c r="BK23" i="30"/>
  <c r="BJ23" i="30"/>
  <c r="BI23" i="30"/>
  <c r="BH23" i="30"/>
  <c r="BG23" i="30"/>
  <c r="BF23" i="30"/>
  <c r="BE23" i="30"/>
  <c r="BD23" i="30"/>
  <c r="BC23" i="30"/>
  <c r="BB23" i="30"/>
  <c r="BA23" i="30"/>
  <c r="AZ23" i="30"/>
  <c r="AY23" i="30"/>
  <c r="AX23" i="30"/>
  <c r="AW23" i="30"/>
  <c r="AV23" i="30"/>
  <c r="AU23" i="30"/>
  <c r="AT23" i="30"/>
  <c r="AS23" i="30"/>
  <c r="AR23" i="30"/>
  <c r="AQ23" i="30"/>
  <c r="AP23" i="30"/>
  <c r="AO23" i="30"/>
  <c r="AN23" i="30"/>
  <c r="AM23" i="30"/>
  <c r="AL23" i="30"/>
  <c r="AK23" i="30"/>
  <c r="AJ23" i="30"/>
  <c r="AI23" i="30"/>
  <c r="AH23" i="30"/>
  <c r="AG23" i="30"/>
  <c r="AF23" i="30"/>
  <c r="AE23" i="30"/>
  <c r="AD23" i="30"/>
  <c r="AC23" i="30"/>
  <c r="AB23" i="30"/>
  <c r="AA23" i="30"/>
  <c r="Z23" i="30"/>
  <c r="Y23" i="30"/>
  <c r="X23" i="30"/>
  <c r="W23" i="30"/>
  <c r="V23" i="30"/>
  <c r="U23" i="30"/>
  <c r="T23" i="30"/>
  <c r="S23" i="30"/>
  <c r="R23" i="30"/>
  <c r="Q23" i="30"/>
  <c r="P23" i="30"/>
  <c r="O23" i="30"/>
  <c r="N23" i="30"/>
  <c r="M23" i="30"/>
  <c r="L23" i="30"/>
  <c r="K23" i="30"/>
  <c r="J23" i="30"/>
  <c r="I23" i="30"/>
  <c r="H23" i="30"/>
  <c r="G23" i="30"/>
  <c r="F23" i="30"/>
  <c r="E23" i="30"/>
  <c r="BL22" i="30"/>
  <c r="BL32" i="30" s="1"/>
  <c r="BK22" i="30"/>
  <c r="BJ22" i="30"/>
  <c r="BJ32" i="30" s="1"/>
  <c r="BI22" i="30"/>
  <c r="BH22" i="30"/>
  <c r="BG22" i="30"/>
  <c r="BG32" i="30" s="1"/>
  <c r="BF22" i="30"/>
  <c r="BF32" i="30" s="1"/>
  <c r="BE22" i="30"/>
  <c r="BD22" i="30"/>
  <c r="BC22" i="30"/>
  <c r="BB22" i="30"/>
  <c r="BB32" i="30" s="1"/>
  <c r="BA22" i="30"/>
  <c r="AZ22" i="30"/>
  <c r="AY22" i="30"/>
  <c r="AX22" i="30"/>
  <c r="AX32" i="30" s="1"/>
  <c r="AW22" i="30"/>
  <c r="AW26" i="30" s="1"/>
  <c r="AV22" i="30"/>
  <c r="AV32" i="30" s="1"/>
  <c r="AU22" i="30"/>
  <c r="AT22" i="30"/>
  <c r="AT32" i="30" s="1"/>
  <c r="AS22" i="30"/>
  <c r="AR22" i="30"/>
  <c r="AQ22" i="30"/>
  <c r="AQ32" i="30" s="1"/>
  <c r="AP22" i="30"/>
  <c r="AP32" i="30" s="1"/>
  <c r="AO22" i="30"/>
  <c r="AN22" i="30"/>
  <c r="AM22" i="30"/>
  <c r="AL22" i="30"/>
  <c r="AL32" i="30" s="1"/>
  <c r="AK22" i="30"/>
  <c r="AJ22" i="30"/>
  <c r="AI22" i="30"/>
  <c r="AH22" i="30"/>
  <c r="AH32" i="30" s="1"/>
  <c r="AG22" i="30"/>
  <c r="AF22" i="30"/>
  <c r="AF32" i="30" s="1"/>
  <c r="AE22" i="30"/>
  <c r="AD22" i="30"/>
  <c r="AD32" i="30" s="1"/>
  <c r="AC22" i="30"/>
  <c r="AB22" i="30"/>
  <c r="AA22" i="30"/>
  <c r="AA32" i="30" s="1"/>
  <c r="Z22" i="30"/>
  <c r="Z32" i="30" s="1"/>
  <c r="Y22" i="30"/>
  <c r="Y26" i="30" s="1"/>
  <c r="X22" i="30"/>
  <c r="X32" i="30" s="1"/>
  <c r="W22" i="30"/>
  <c r="V22" i="30"/>
  <c r="V32" i="30" s="1"/>
  <c r="U22" i="30"/>
  <c r="U26" i="30" s="1"/>
  <c r="T22" i="30"/>
  <c r="T32" i="30" s="1"/>
  <c r="S22" i="30"/>
  <c r="R22" i="30"/>
  <c r="R32" i="30" s="1"/>
  <c r="Q22" i="30"/>
  <c r="Q26" i="30" s="1"/>
  <c r="P22" i="30"/>
  <c r="P32" i="30" s="1"/>
  <c r="O22" i="30"/>
  <c r="N22" i="30"/>
  <c r="N32" i="30" s="1"/>
  <c r="M22" i="30"/>
  <c r="M26" i="30" s="1"/>
  <c r="L22" i="30"/>
  <c r="L32" i="30" s="1"/>
  <c r="K22" i="30"/>
  <c r="J22" i="30"/>
  <c r="J32" i="30"/>
  <c r="I22" i="30"/>
  <c r="I26" i="30" s="1"/>
  <c r="H22" i="30"/>
  <c r="G22" i="30"/>
  <c r="F22" i="30"/>
  <c r="E22" i="30"/>
  <c r="E18" i="29"/>
  <c r="E14" i="29" s="1"/>
  <c r="F8" i="29"/>
  <c r="F35" i="29" s="1"/>
  <c r="E8" i="29"/>
  <c r="G6" i="29"/>
  <c r="E78" i="28"/>
  <c r="F78" i="28"/>
  <c r="G78" i="28"/>
  <c r="H78" i="28"/>
  <c r="I78" i="28"/>
  <c r="J78" i="28"/>
  <c r="K78" i="28"/>
  <c r="L78" i="28"/>
  <c r="M78" i="28"/>
  <c r="N78" i="28"/>
  <c r="O78" i="28"/>
  <c r="P78" i="28"/>
  <c r="Q78" i="28"/>
  <c r="R78" i="28"/>
  <c r="S78" i="28"/>
  <c r="T78" i="28"/>
  <c r="U78" i="28"/>
  <c r="V78" i="28"/>
  <c r="W78" i="28"/>
  <c r="X78" i="28"/>
  <c r="Y78" i="28"/>
  <c r="Z78" i="28"/>
  <c r="AA78" i="28"/>
  <c r="AB78" i="28"/>
  <c r="AC78" i="28"/>
  <c r="AD78" i="28"/>
  <c r="AE78" i="28"/>
  <c r="AF78" i="28"/>
  <c r="AG78" i="28"/>
  <c r="AH78" i="28"/>
  <c r="AI78" i="28"/>
  <c r="AJ78" i="28"/>
  <c r="AK78" i="28"/>
  <c r="AL78" i="28"/>
  <c r="AM78" i="28"/>
  <c r="AN78" i="28"/>
  <c r="AO78" i="28"/>
  <c r="AP78" i="28"/>
  <c r="AQ78" i="28"/>
  <c r="AR78" i="28"/>
  <c r="AS78" i="28"/>
  <c r="AT78" i="28"/>
  <c r="AU78" i="28"/>
  <c r="AV78" i="28"/>
  <c r="AW78" i="28"/>
  <c r="AX78" i="28"/>
  <c r="AY78" i="28"/>
  <c r="AZ78" i="28"/>
  <c r="BA78" i="28"/>
  <c r="BB78" i="28"/>
  <c r="BC78" i="28"/>
  <c r="BD78" i="28"/>
  <c r="BE78" i="28"/>
  <c r="BF78" i="28"/>
  <c r="BG78" i="28"/>
  <c r="BH78" i="28"/>
  <c r="BI78" i="28"/>
  <c r="BJ78" i="28"/>
  <c r="BK78" i="28"/>
  <c r="BL78" i="28"/>
  <c r="D109" i="28"/>
  <c r="AQ83" i="28"/>
  <c r="W83" i="28"/>
  <c r="G83" i="28"/>
  <c r="D73" i="28"/>
  <c r="BL83" i="28"/>
  <c r="BJ83" i="28"/>
  <c r="BH83" i="28"/>
  <c r="BF83" i="28"/>
  <c r="BE83" i="28"/>
  <c r="BD83" i="28"/>
  <c r="BB83" i="28"/>
  <c r="BB84" i="28" s="1"/>
  <c r="BB85" i="28" s="1"/>
  <c r="BB88" i="28" s="1"/>
  <c r="AZ83" i="28"/>
  <c r="AX83" i="28"/>
  <c r="AW83" i="28"/>
  <c r="AV83" i="28"/>
  <c r="AT83" i="28"/>
  <c r="AR83" i="28"/>
  <c r="AP83" i="28"/>
  <c r="AO83" i="28"/>
  <c r="AN83" i="28"/>
  <c r="AL83" i="28"/>
  <c r="AJ83" i="28"/>
  <c r="AH83" i="28"/>
  <c r="AH84" i="28" s="1"/>
  <c r="AH85" i="28" s="1"/>
  <c r="AG83" i="28"/>
  <c r="AD83" i="28"/>
  <c r="AC83" i="28"/>
  <c r="Z83" i="28"/>
  <c r="Y83" i="28"/>
  <c r="V83" i="28"/>
  <c r="U83" i="28"/>
  <c r="R83" i="28"/>
  <c r="Q83" i="28"/>
  <c r="N83" i="28"/>
  <c r="M83" i="28"/>
  <c r="J83" i="28"/>
  <c r="I83" i="28"/>
  <c r="F83" i="28"/>
  <c r="E83" i="28"/>
  <c r="D66" i="28"/>
  <c r="D62" i="28"/>
  <c r="D71" i="28" s="1"/>
  <c r="E61" i="28"/>
  <c r="BL43" i="28"/>
  <c r="BK43" i="28"/>
  <c r="BJ43" i="28"/>
  <c r="BI43" i="28"/>
  <c r="BI48" i="28" s="1"/>
  <c r="BH43" i="28"/>
  <c r="BG43" i="28"/>
  <c r="BG48" i="28" s="1"/>
  <c r="BF43" i="28"/>
  <c r="BE43" i="28"/>
  <c r="BE46" i="28" s="1"/>
  <c r="BD43" i="28"/>
  <c r="BC43" i="28"/>
  <c r="BB43" i="28"/>
  <c r="BB46" i="28" s="1"/>
  <c r="BA43" i="28"/>
  <c r="AZ43" i="28"/>
  <c r="AY43" i="28"/>
  <c r="AX43" i="28"/>
  <c r="AX46" i="28" s="1"/>
  <c r="AW43" i="28"/>
  <c r="AV43" i="28"/>
  <c r="AU43" i="28"/>
  <c r="AU48" i="28" s="1"/>
  <c r="AT43" i="28"/>
  <c r="AT48" i="28" s="1"/>
  <c r="AS43" i="28"/>
  <c r="AS48" i="28" s="1"/>
  <c r="AR43" i="28"/>
  <c r="AR48" i="28" s="1"/>
  <c r="AQ43" i="28"/>
  <c r="AP43" i="28"/>
  <c r="AP48" i="28" s="1"/>
  <c r="AO43" i="28"/>
  <c r="AO46" i="28" s="1"/>
  <c r="AN43" i="28"/>
  <c r="AM43" i="28"/>
  <c r="AM48" i="28" s="1"/>
  <c r="AL43" i="28"/>
  <c r="AL46" i="28" s="1"/>
  <c r="AK43" i="28"/>
  <c r="AJ43" i="28"/>
  <c r="AJ46" i="28" s="1"/>
  <c r="AI43" i="28"/>
  <c r="AH43" i="28"/>
  <c r="AH48" i="28" s="1"/>
  <c r="AG43" i="28"/>
  <c r="AG48" i="28" s="1"/>
  <c r="AF43" i="28"/>
  <c r="AF48" i="28"/>
  <c r="AE43" i="28"/>
  <c r="AD43" i="28"/>
  <c r="AC43" i="28"/>
  <c r="AB43" i="28"/>
  <c r="AA43" i="28"/>
  <c r="Z43" i="28"/>
  <c r="Y43" i="28"/>
  <c r="X43" i="28"/>
  <c r="W43" i="28"/>
  <c r="V43" i="28"/>
  <c r="V48" i="28" s="1"/>
  <c r="U43" i="28"/>
  <c r="T43" i="28"/>
  <c r="S43" i="28"/>
  <c r="R43" i="28"/>
  <c r="R46" i="28" s="1"/>
  <c r="Q43" i="28"/>
  <c r="P43" i="28"/>
  <c r="O43" i="28"/>
  <c r="N43" i="28"/>
  <c r="N48" i="28" s="1"/>
  <c r="M43" i="28"/>
  <c r="L43" i="28"/>
  <c r="K43" i="28"/>
  <c r="K46" i="28" s="1"/>
  <c r="J43" i="28"/>
  <c r="J46" i="28" s="1"/>
  <c r="I43" i="28"/>
  <c r="I45" i="28" s="1"/>
  <c r="H43" i="28"/>
  <c r="H48" i="28" s="1"/>
  <c r="G43" i="28"/>
  <c r="F43" i="28"/>
  <c r="F46" i="28"/>
  <c r="E43" i="28"/>
  <c r="E45" i="28" s="1"/>
  <c r="E13" i="28"/>
  <c r="F13" i="28" s="1"/>
  <c r="G13" i="28" s="1"/>
  <c r="H13" i="28" s="1"/>
  <c r="I13" i="28" s="1"/>
  <c r="E11" i="28"/>
  <c r="F9" i="28"/>
  <c r="D73" i="1"/>
  <c r="N73" i="1" s="1"/>
  <c r="G28" i="21"/>
  <c r="H28" i="21"/>
  <c r="I28" i="21"/>
  <c r="J28" i="21"/>
  <c r="F28" i="21"/>
  <c r="D66" i="1"/>
  <c r="D20" i="15"/>
  <c r="AP46" i="28"/>
  <c r="AX48" i="28"/>
  <c r="AD26" i="30"/>
  <c r="Q32" i="30"/>
  <c r="AT26" i="30"/>
  <c r="U32" i="30"/>
  <c r="J45" i="28"/>
  <c r="J47" i="28" s="1"/>
  <c r="R48" i="28"/>
  <c r="BJ26" i="30"/>
  <c r="AH46" i="28"/>
  <c r="D80" i="28"/>
  <c r="N26" i="30"/>
  <c r="I32" i="30"/>
  <c r="G32" i="30"/>
  <c r="G26" i="30"/>
  <c r="R26" i="30"/>
  <c r="AH26" i="30"/>
  <c r="AX26" i="30"/>
  <c r="M32" i="30"/>
  <c r="V26" i="30"/>
  <c r="AL26" i="30"/>
  <c r="BB26" i="30"/>
  <c r="AA26" i="30"/>
  <c r="J26" i="30"/>
  <c r="Z26" i="30"/>
  <c r="AP26" i="30"/>
  <c r="BF26" i="30"/>
  <c r="BG26" i="30"/>
  <c r="L26" i="30"/>
  <c r="P26" i="30"/>
  <c r="T26" i="30"/>
  <c r="X26" i="30"/>
  <c r="AF26" i="30"/>
  <c r="BL26" i="30"/>
  <c r="E44" i="29"/>
  <c r="J12" i="29" s="1"/>
  <c r="BK73" i="1"/>
  <c r="AU73" i="1"/>
  <c r="AE73" i="1"/>
  <c r="AY73" i="1"/>
  <c r="AA73" i="1"/>
  <c r="AI73" i="1"/>
  <c r="BG73" i="1"/>
  <c r="AQ73" i="1"/>
  <c r="BC73" i="1"/>
  <c r="AM73" i="1"/>
  <c r="W73" i="1"/>
  <c r="Q48" i="28"/>
  <c r="Q46" i="28"/>
  <c r="Y48" i="28"/>
  <c r="Y46" i="28"/>
  <c r="BE48" i="28"/>
  <c r="F45" i="28"/>
  <c r="AT46" i="28"/>
  <c r="F48" i="28"/>
  <c r="AL48" i="28"/>
  <c r="BB48" i="28"/>
  <c r="G48" i="28"/>
  <c r="O45" i="28"/>
  <c r="W48" i="28"/>
  <c r="W46" i="28"/>
  <c r="AA48" i="28"/>
  <c r="AA46" i="28"/>
  <c r="AE48" i="28"/>
  <c r="AE46" i="28"/>
  <c r="AU46" i="28"/>
  <c r="H45" i="28"/>
  <c r="N46" i="28"/>
  <c r="S82" i="28"/>
  <c r="E48" i="28"/>
  <c r="E46" i="28"/>
  <c r="M48" i="28"/>
  <c r="U48" i="28"/>
  <c r="U46" i="28"/>
  <c r="AC48" i="28"/>
  <c r="AC46" i="28"/>
  <c r="BI46" i="28"/>
  <c r="AZ48" i="28"/>
  <c r="BD48" i="28"/>
  <c r="BD46" i="28"/>
  <c r="BH48" i="28"/>
  <c r="BH46" i="28"/>
  <c r="BL48" i="28"/>
  <c r="BL46" i="28"/>
  <c r="N45" i="28"/>
  <c r="H46" i="28"/>
  <c r="H47" i="28" s="1"/>
  <c r="AF46" i="28"/>
  <c r="BG46" i="28"/>
  <c r="AM83" i="28"/>
  <c r="AU83" i="28"/>
  <c r="BC83" i="28"/>
  <c r="BK83" i="28"/>
  <c r="G82" i="28"/>
  <c r="W82" i="28"/>
  <c r="K83" i="28"/>
  <c r="K84" i="28" s="1"/>
  <c r="K85" i="28" s="1"/>
  <c r="AA83" i="28"/>
  <c r="AY83" i="28"/>
  <c r="K82" i="28"/>
  <c r="AA82" i="28"/>
  <c r="O83" i="28"/>
  <c r="AE83" i="28"/>
  <c r="BG83" i="28"/>
  <c r="O82" i="28"/>
  <c r="S83" i="28"/>
  <c r="AI83" i="28"/>
  <c r="H82" i="28"/>
  <c r="L82" i="28"/>
  <c r="L84" i="28" s="1"/>
  <c r="L85" i="28" s="1"/>
  <c r="L88" i="28" s="1"/>
  <c r="P82" i="28"/>
  <c r="P84" i="28" s="1"/>
  <c r="P85" i="28" s="1"/>
  <c r="T82" i="28"/>
  <c r="X82" i="28"/>
  <c r="AB82" i="28"/>
  <c r="AB84" i="28" s="1"/>
  <c r="AB85" i="28" s="1"/>
  <c r="AB88" i="28" s="1"/>
  <c r="H83" i="28"/>
  <c r="L83" i="28"/>
  <c r="P83" i="28"/>
  <c r="T83" i="28"/>
  <c r="X83" i="28"/>
  <c r="AB83" i="28"/>
  <c r="AF83" i="28"/>
  <c r="AK83" i="28"/>
  <c r="AS83" i="28"/>
  <c r="BA83" i="28"/>
  <c r="BI83" i="28"/>
  <c r="E82" i="28"/>
  <c r="I82" i="28"/>
  <c r="I84" i="28" s="1"/>
  <c r="I85" i="28" s="1"/>
  <c r="M82" i="28"/>
  <c r="Q82" i="28"/>
  <c r="U82" i="28"/>
  <c r="Y82" i="28"/>
  <c r="Y84" i="28" s="1"/>
  <c r="Y85" i="28" s="1"/>
  <c r="Y88" i="28" s="1"/>
  <c r="AC82" i="28"/>
  <c r="F82" i="28"/>
  <c r="J82" i="28"/>
  <c r="N82" i="28"/>
  <c r="N84" i="28" s="1"/>
  <c r="N85" i="28" s="1"/>
  <c r="N88" i="28" s="1"/>
  <c r="R82" i="28"/>
  <c r="V82" i="28"/>
  <c r="Z82" i="28"/>
  <c r="AD82" i="28"/>
  <c r="AD84" i="28" s="1"/>
  <c r="AD85" i="28" s="1"/>
  <c r="BF73" i="1"/>
  <c r="AX73" i="1"/>
  <c r="AH73" i="1"/>
  <c r="AD73" i="1"/>
  <c r="R73" i="1"/>
  <c r="F73" i="1"/>
  <c r="E73" i="1"/>
  <c r="BI73" i="1"/>
  <c r="BE73" i="1"/>
  <c r="BA73" i="1"/>
  <c r="AW73" i="1"/>
  <c r="AS73" i="1"/>
  <c r="AO73" i="1"/>
  <c r="AK73" i="1"/>
  <c r="AG73" i="1"/>
  <c r="AC73" i="1"/>
  <c r="Y73" i="1"/>
  <c r="U73" i="1"/>
  <c r="Q73" i="1"/>
  <c r="M73" i="1"/>
  <c r="I73" i="1"/>
  <c r="BB73" i="1"/>
  <c r="AT73" i="1"/>
  <c r="AL73" i="1"/>
  <c r="Z73" i="1"/>
  <c r="V73" i="1"/>
  <c r="J73" i="1"/>
  <c r="BL73" i="1"/>
  <c r="BH73" i="1"/>
  <c r="BD73" i="1"/>
  <c r="AZ73" i="1"/>
  <c r="AV73" i="1"/>
  <c r="AR73" i="1"/>
  <c r="AN73" i="1"/>
  <c r="AJ73" i="1"/>
  <c r="AF73" i="1"/>
  <c r="AB73" i="1"/>
  <c r="X73" i="1"/>
  <c r="T73" i="1"/>
  <c r="P73" i="1"/>
  <c r="L73" i="1"/>
  <c r="H73" i="1"/>
  <c r="S73" i="1"/>
  <c r="O73" i="1"/>
  <c r="K73" i="1"/>
  <c r="G73" i="1"/>
  <c r="BJ73" i="1"/>
  <c r="AP73" i="1"/>
  <c r="E49" i="28"/>
  <c r="Z84" i="28"/>
  <c r="Z85" i="28" s="1"/>
  <c r="Z88" i="28" s="1"/>
  <c r="AN82" i="28"/>
  <c r="AE82" i="28"/>
  <c r="AE84" i="28" s="1"/>
  <c r="AE85" i="28" s="1"/>
  <c r="AM82" i="28"/>
  <c r="AM84" i="28" s="1"/>
  <c r="AM85" i="28" s="1"/>
  <c r="AM88" i="28" s="1"/>
  <c r="AI82" i="28"/>
  <c r="AL82" i="28"/>
  <c r="AL84" i="28" s="1"/>
  <c r="AL85" i="28" s="1"/>
  <c r="V84" i="28"/>
  <c r="V85" i="28" s="1"/>
  <c r="F84" i="28"/>
  <c r="F85" i="28" s="1"/>
  <c r="F88" i="28" s="1"/>
  <c r="AJ82" i="28"/>
  <c r="AJ84" i="28" s="1"/>
  <c r="AJ85" i="28" s="1"/>
  <c r="AJ88" i="28" s="1"/>
  <c r="T84" i="28"/>
  <c r="T85" i="28" s="1"/>
  <c r="T88" i="28" s="1"/>
  <c r="AK82" i="28"/>
  <c r="AH82" i="28"/>
  <c r="R84" i="28"/>
  <c r="R85" i="28" s="1"/>
  <c r="R88" i="28" s="1"/>
  <c r="AG82" i="28"/>
  <c r="AG84" i="28" s="1"/>
  <c r="AG85" i="28" s="1"/>
  <c r="AG88" i="28" s="1"/>
  <c r="Q84" i="28"/>
  <c r="Q85" i="28" s="1"/>
  <c r="AF82" i="28"/>
  <c r="AF84" i="28" s="1"/>
  <c r="AF85" i="28" s="1"/>
  <c r="G84" i="28"/>
  <c r="G85" i="28" s="1"/>
  <c r="G88" i="28" s="1"/>
  <c r="D89" i="26"/>
  <c r="AI84" i="28"/>
  <c r="AI85" i="28" s="1"/>
  <c r="AN84" i="28"/>
  <c r="AN85" i="28" s="1"/>
  <c r="AY82" i="28"/>
  <c r="AQ82" i="28"/>
  <c r="AV82" i="28"/>
  <c r="AV84" i="28" s="1"/>
  <c r="AV85" i="28" s="1"/>
  <c r="AX82" i="28"/>
  <c r="AX84" i="28" s="1"/>
  <c r="AX85" i="28" s="1"/>
  <c r="AZ82" i="28"/>
  <c r="AO82" i="28"/>
  <c r="AT82" i="28"/>
  <c r="AT84" i="28" s="1"/>
  <c r="AT85" i="28" s="1"/>
  <c r="AT88" i="28" s="1"/>
  <c r="AS82" i="28"/>
  <c r="AW82" i="28"/>
  <c r="AP82" i="28"/>
  <c r="AU82" i="28"/>
  <c r="AU84" i="28" s="1"/>
  <c r="AU85" i="28" s="1"/>
  <c r="AU88" i="28" s="1"/>
  <c r="AR82" i="28"/>
  <c r="D39" i="26"/>
  <c r="E34" i="26"/>
  <c r="F34" i="26"/>
  <c r="F38" i="26" s="1"/>
  <c r="G34" i="26"/>
  <c r="G38" i="26" s="1"/>
  <c r="H34" i="26"/>
  <c r="I34" i="26"/>
  <c r="J34" i="26"/>
  <c r="J38" i="26" s="1"/>
  <c r="K34" i="26"/>
  <c r="L34" i="26"/>
  <c r="M34" i="26"/>
  <c r="N34" i="26"/>
  <c r="O34" i="26"/>
  <c r="O38" i="26" s="1"/>
  <c r="P34" i="26"/>
  <c r="Q34" i="26"/>
  <c r="R34" i="26"/>
  <c r="S34" i="26"/>
  <c r="S38" i="26" s="1"/>
  <c r="T34" i="26"/>
  <c r="U34" i="26"/>
  <c r="V34" i="26"/>
  <c r="V38" i="26" s="1"/>
  <c r="W34" i="26"/>
  <c r="W38" i="26" s="1"/>
  <c r="X34" i="26"/>
  <c r="Y34" i="26"/>
  <c r="Y47" i="26" s="1"/>
  <c r="Z34" i="26"/>
  <c r="Z38" i="26" s="1"/>
  <c r="AA34" i="26"/>
  <c r="AA38" i="26" s="1"/>
  <c r="AB34" i="26"/>
  <c r="AC34" i="26"/>
  <c r="AD34" i="26"/>
  <c r="AD38" i="26" s="1"/>
  <c r="AE34" i="26"/>
  <c r="AE38" i="26" s="1"/>
  <c r="AF34" i="26"/>
  <c r="AG34" i="26"/>
  <c r="AH34" i="26"/>
  <c r="AH38" i="26" s="1"/>
  <c r="AI34" i="26"/>
  <c r="AI38" i="26" s="1"/>
  <c r="AJ34" i="26"/>
  <c r="AK34" i="26"/>
  <c r="AL34" i="26"/>
  <c r="AL38" i="26" s="1"/>
  <c r="AM34" i="26"/>
  <c r="AM38" i="26" s="1"/>
  <c r="AN34" i="26"/>
  <c r="AO34" i="26"/>
  <c r="AP34" i="26"/>
  <c r="AP38" i="26" s="1"/>
  <c r="AQ34" i="26"/>
  <c r="AR34" i="26"/>
  <c r="AR38" i="26"/>
  <c r="AS34" i="26"/>
  <c r="AT34" i="26"/>
  <c r="AU34" i="26"/>
  <c r="AU38" i="26" s="1"/>
  <c r="AV34" i="26"/>
  <c r="AV38" i="26" s="1"/>
  <c r="AW34" i="26"/>
  <c r="AX34" i="26"/>
  <c r="AY34" i="26"/>
  <c r="AY38" i="26" s="1"/>
  <c r="AZ34" i="26"/>
  <c r="AZ38" i="26" s="1"/>
  <c r="BA34" i="26"/>
  <c r="BB34" i="26"/>
  <c r="BC34" i="26"/>
  <c r="BC38" i="26" s="1"/>
  <c r="BD34" i="26"/>
  <c r="BD38" i="26" s="1"/>
  <c r="BE34" i="26"/>
  <c r="BF34" i="26"/>
  <c r="BG34" i="26"/>
  <c r="BG38" i="26" s="1"/>
  <c r="BH34" i="26"/>
  <c r="BH38" i="26" s="1"/>
  <c r="BI34" i="26"/>
  <c r="BJ34" i="26"/>
  <c r="BK34" i="26"/>
  <c r="BK38" i="26" s="1"/>
  <c r="BL34" i="26"/>
  <c r="BL38" i="26" s="1"/>
  <c r="BL35" i="26"/>
  <c r="BK35" i="26"/>
  <c r="BJ35" i="26"/>
  <c r="BI35" i="26"/>
  <c r="E35" i="26"/>
  <c r="F35" i="26"/>
  <c r="G35" i="26"/>
  <c r="H35" i="26"/>
  <c r="I35" i="26"/>
  <c r="J35" i="26"/>
  <c r="K35" i="26"/>
  <c r="L35" i="26"/>
  <c r="M35" i="26"/>
  <c r="N35" i="26"/>
  <c r="O35" i="26"/>
  <c r="P35" i="26"/>
  <c r="Q35" i="26"/>
  <c r="R35" i="26"/>
  <c r="S35" i="26"/>
  <c r="T35" i="26"/>
  <c r="U35" i="26"/>
  <c r="V35" i="26"/>
  <c r="W35" i="26"/>
  <c r="X35" i="26"/>
  <c r="Y35" i="26"/>
  <c r="Z35" i="26"/>
  <c r="AA35" i="26"/>
  <c r="AB35" i="26"/>
  <c r="AC35" i="26"/>
  <c r="AD35" i="26"/>
  <c r="AE35" i="26"/>
  <c r="AF35" i="26"/>
  <c r="AG35" i="26"/>
  <c r="AH35" i="26"/>
  <c r="AI35" i="26"/>
  <c r="AJ35" i="26"/>
  <c r="AK35" i="26"/>
  <c r="AL35" i="26"/>
  <c r="AM35" i="26"/>
  <c r="AN35" i="26"/>
  <c r="AO35" i="26"/>
  <c r="AP35" i="26"/>
  <c r="AQ35" i="26"/>
  <c r="AR35" i="26"/>
  <c r="AS35" i="26"/>
  <c r="AT35" i="26"/>
  <c r="AU35" i="26"/>
  <c r="AV35" i="26"/>
  <c r="AW35" i="26"/>
  <c r="AX35" i="26"/>
  <c r="AY35" i="26"/>
  <c r="AZ35" i="26"/>
  <c r="BA35" i="26"/>
  <c r="BB35" i="26"/>
  <c r="BC35" i="26"/>
  <c r="BD35" i="26"/>
  <c r="BE35" i="26"/>
  <c r="BF35" i="26"/>
  <c r="BG35" i="26"/>
  <c r="BH35" i="26"/>
  <c r="D16" i="26"/>
  <c r="BL71" i="26" s="1"/>
  <c r="BL76" i="26" s="1"/>
  <c r="E79" i="26"/>
  <c r="F79" i="26"/>
  <c r="G79" i="26"/>
  <c r="H79" i="26"/>
  <c r="I79" i="26"/>
  <c r="J79" i="26"/>
  <c r="K79" i="26"/>
  <c r="L79" i="26"/>
  <c r="M79" i="26"/>
  <c r="N79" i="26"/>
  <c r="O79" i="26"/>
  <c r="P79" i="26"/>
  <c r="Q79" i="26"/>
  <c r="R79" i="26"/>
  <c r="S79" i="26"/>
  <c r="T79" i="26"/>
  <c r="U79" i="26"/>
  <c r="V79" i="26"/>
  <c r="W79" i="26"/>
  <c r="X79" i="26"/>
  <c r="Y79" i="26"/>
  <c r="Z79" i="26"/>
  <c r="AA79" i="26"/>
  <c r="AB79" i="26"/>
  <c r="AC79" i="26"/>
  <c r="AD79" i="26"/>
  <c r="AE79" i="26"/>
  <c r="AF79" i="26"/>
  <c r="AG79" i="26"/>
  <c r="AH79" i="26"/>
  <c r="AI79" i="26"/>
  <c r="AJ79" i="26"/>
  <c r="AK79" i="26"/>
  <c r="AL79" i="26"/>
  <c r="AM79" i="26"/>
  <c r="AN79" i="26"/>
  <c r="AO79" i="26"/>
  <c r="AP79" i="26"/>
  <c r="AQ79" i="26"/>
  <c r="AR79" i="26"/>
  <c r="AS79" i="26"/>
  <c r="AT79" i="26"/>
  <c r="AU79" i="26"/>
  <c r="AV79" i="26"/>
  <c r="AW79" i="26"/>
  <c r="AX79" i="26"/>
  <c r="AY79" i="26"/>
  <c r="AZ79" i="26"/>
  <c r="BA79" i="26"/>
  <c r="BB79" i="26"/>
  <c r="BC79" i="26"/>
  <c r="BD79" i="26"/>
  <c r="BE79" i="26"/>
  <c r="BF79" i="26"/>
  <c r="BG79" i="26"/>
  <c r="BH79" i="26"/>
  <c r="BI79" i="26"/>
  <c r="BJ79" i="26"/>
  <c r="BK79" i="26"/>
  <c r="BL79" i="26"/>
  <c r="D13" i="26"/>
  <c r="D109" i="26"/>
  <c r="D55" i="26"/>
  <c r="I16" i="26"/>
  <c r="I15" i="26"/>
  <c r="D52" i="18"/>
  <c r="F8" i="24"/>
  <c r="G6" i="24"/>
  <c r="E18" i="24"/>
  <c r="E8" i="24"/>
  <c r="D37" i="18"/>
  <c r="D13" i="18"/>
  <c r="AR76" i="18"/>
  <c r="AQ76" i="18"/>
  <c r="AP76" i="18"/>
  <c r="AO76" i="18"/>
  <c r="E76" i="18"/>
  <c r="F76" i="18"/>
  <c r="G76" i="18"/>
  <c r="H76" i="18"/>
  <c r="I76" i="18"/>
  <c r="J76" i="18"/>
  <c r="K76" i="18"/>
  <c r="L76" i="18"/>
  <c r="M76" i="18"/>
  <c r="N76" i="18"/>
  <c r="O76" i="18"/>
  <c r="P76" i="18"/>
  <c r="Q76" i="18"/>
  <c r="R76" i="18"/>
  <c r="S76" i="18"/>
  <c r="T76" i="18"/>
  <c r="U76" i="18"/>
  <c r="V76" i="18"/>
  <c r="W76" i="18"/>
  <c r="X76" i="18"/>
  <c r="Y76" i="18"/>
  <c r="Z76" i="18"/>
  <c r="AA76" i="18"/>
  <c r="AB76" i="18"/>
  <c r="AC76" i="18"/>
  <c r="AD76" i="18"/>
  <c r="AE76" i="18"/>
  <c r="AF76" i="18"/>
  <c r="AG76" i="18"/>
  <c r="AH76" i="18"/>
  <c r="AI76" i="18"/>
  <c r="AJ76" i="18"/>
  <c r="AK76" i="18"/>
  <c r="AL76" i="18"/>
  <c r="AM76" i="18"/>
  <c r="AN76" i="18"/>
  <c r="AS76" i="18"/>
  <c r="AT76" i="18"/>
  <c r="AU76" i="18"/>
  <c r="AV76" i="18"/>
  <c r="AW76" i="18"/>
  <c r="AX76" i="18"/>
  <c r="AY76" i="18"/>
  <c r="AZ76" i="18"/>
  <c r="BA76" i="18"/>
  <c r="BB76" i="18"/>
  <c r="BC76" i="18"/>
  <c r="BD76" i="18"/>
  <c r="BE76" i="18"/>
  <c r="BF76" i="18"/>
  <c r="BG76" i="18"/>
  <c r="BH76" i="18"/>
  <c r="BI76" i="18"/>
  <c r="BJ76" i="18"/>
  <c r="BK76" i="18"/>
  <c r="BL76" i="18"/>
  <c r="E32" i="18"/>
  <c r="BL33" i="18"/>
  <c r="BK33" i="18"/>
  <c r="BJ33" i="18"/>
  <c r="BI33" i="18"/>
  <c r="E33" i="18"/>
  <c r="F33" i="18"/>
  <c r="G33" i="18"/>
  <c r="H33" i="18"/>
  <c r="I33" i="18"/>
  <c r="J33" i="18"/>
  <c r="K33" i="18"/>
  <c r="L33" i="18"/>
  <c r="M33" i="18"/>
  <c r="N33" i="18"/>
  <c r="O33" i="18"/>
  <c r="P33" i="18"/>
  <c r="Q33" i="18"/>
  <c r="R33" i="18"/>
  <c r="S33" i="18"/>
  <c r="T33" i="18"/>
  <c r="U33" i="18"/>
  <c r="V33" i="18"/>
  <c r="W33" i="18"/>
  <c r="X33" i="18"/>
  <c r="Y33" i="18"/>
  <c r="Z33" i="18"/>
  <c r="AA33" i="18"/>
  <c r="AB33" i="18"/>
  <c r="AC33" i="18"/>
  <c r="AD33" i="18"/>
  <c r="AE33" i="18"/>
  <c r="AF33" i="18"/>
  <c r="AG33" i="18"/>
  <c r="AH33" i="18"/>
  <c r="AI33" i="18"/>
  <c r="AJ33" i="18"/>
  <c r="AK33" i="18"/>
  <c r="AL33" i="18"/>
  <c r="AM33" i="18"/>
  <c r="AN33" i="18"/>
  <c r="AO33" i="18"/>
  <c r="AP33" i="18"/>
  <c r="AQ33" i="18"/>
  <c r="AR33" i="18"/>
  <c r="AS33" i="18"/>
  <c r="AT33" i="18"/>
  <c r="AU33" i="18"/>
  <c r="AV33" i="18"/>
  <c r="AW33" i="18"/>
  <c r="AX33" i="18"/>
  <c r="AY33" i="18"/>
  <c r="AZ33" i="18"/>
  <c r="BA33" i="18"/>
  <c r="BB33" i="18"/>
  <c r="BC33" i="18"/>
  <c r="BD33" i="18"/>
  <c r="BE33" i="18"/>
  <c r="BF33" i="18"/>
  <c r="BG33" i="18"/>
  <c r="BH33" i="18"/>
  <c r="F32" i="18"/>
  <c r="F42" i="18" s="1"/>
  <c r="G32" i="18"/>
  <c r="G36" i="18" s="1"/>
  <c r="H32" i="18"/>
  <c r="H36" i="18" s="1"/>
  <c r="I32" i="18"/>
  <c r="J32" i="18"/>
  <c r="K32" i="18"/>
  <c r="K36" i="18" s="1"/>
  <c r="L32" i="18"/>
  <c r="M32" i="18"/>
  <c r="N32" i="18"/>
  <c r="O32" i="18"/>
  <c r="O36" i="18" s="1"/>
  <c r="P32" i="18"/>
  <c r="Q32" i="18"/>
  <c r="R32" i="18"/>
  <c r="R36" i="18" s="1"/>
  <c r="S32" i="18"/>
  <c r="T32" i="18"/>
  <c r="T36" i="18" s="1"/>
  <c r="U32" i="18"/>
  <c r="V32" i="18"/>
  <c r="V36" i="18" s="1"/>
  <c r="W32" i="18"/>
  <c r="W36" i="18" s="1"/>
  <c r="X32" i="18"/>
  <c r="Y32" i="18"/>
  <c r="Z32" i="18"/>
  <c r="AA32" i="18"/>
  <c r="AA36" i="18" s="1"/>
  <c r="AB32" i="18"/>
  <c r="AC32" i="18"/>
  <c r="AD32" i="18"/>
  <c r="AD42" i="18" s="1"/>
  <c r="AE32" i="18"/>
  <c r="AE36" i="18" s="1"/>
  <c r="AF32" i="18"/>
  <c r="AG32" i="18"/>
  <c r="AG36" i="18" s="1"/>
  <c r="AH32" i="18"/>
  <c r="AI32" i="18"/>
  <c r="AJ32" i="18"/>
  <c r="AK32" i="18"/>
  <c r="AL32" i="18"/>
  <c r="AM32" i="18"/>
  <c r="AM36" i="18" s="1"/>
  <c r="AN32" i="18"/>
  <c r="AO32" i="18"/>
  <c r="AP32" i="18"/>
  <c r="AQ32" i="18"/>
  <c r="AQ36" i="18" s="1"/>
  <c r="AR32" i="18"/>
  <c r="AS32" i="18"/>
  <c r="AT32" i="18"/>
  <c r="AT42" i="18" s="1"/>
  <c r="AU32" i="18"/>
  <c r="AU36" i="18" s="1"/>
  <c r="AV32" i="18"/>
  <c r="AW32" i="18"/>
  <c r="AW36" i="18" s="1"/>
  <c r="AX32" i="18"/>
  <c r="AY32" i="18"/>
  <c r="AZ32" i="18"/>
  <c r="BA32" i="18"/>
  <c r="BB32" i="18"/>
  <c r="BC32" i="18"/>
  <c r="BC36" i="18" s="1"/>
  <c r="BD32" i="18"/>
  <c r="BD42" i="18" s="1"/>
  <c r="BE32" i="18"/>
  <c r="BF32" i="18"/>
  <c r="BF36" i="18" s="1"/>
  <c r="BG32" i="18"/>
  <c r="BG36" i="18" s="1"/>
  <c r="BH32" i="18"/>
  <c r="BI32" i="18"/>
  <c r="BJ32" i="18"/>
  <c r="BK32" i="18"/>
  <c r="BK36" i="18" s="1"/>
  <c r="BL32" i="18"/>
  <c r="D16" i="18"/>
  <c r="BL68" i="18" s="1"/>
  <c r="BL73" i="18" s="1"/>
  <c r="G42" i="18"/>
  <c r="I16" i="18"/>
  <c r="I15" i="18"/>
  <c r="AR58" i="8"/>
  <c r="AQ58" i="8"/>
  <c r="AP58" i="8"/>
  <c r="AO58" i="8"/>
  <c r="E58" i="8"/>
  <c r="F58" i="8"/>
  <c r="G58" i="8"/>
  <c r="H58" i="8"/>
  <c r="I58" i="8"/>
  <c r="J58" i="8"/>
  <c r="K58" i="8"/>
  <c r="L58" i="8"/>
  <c r="M58" i="8"/>
  <c r="N58" i="8"/>
  <c r="O58" i="8"/>
  <c r="P58" i="8"/>
  <c r="Q58" i="8"/>
  <c r="R58" i="8"/>
  <c r="S58" i="8"/>
  <c r="T58" i="8"/>
  <c r="U58" i="8"/>
  <c r="V58" i="8"/>
  <c r="W58" i="8"/>
  <c r="X58" i="8"/>
  <c r="Y58" i="8"/>
  <c r="Z58" i="8"/>
  <c r="AA58" i="8"/>
  <c r="AB58" i="8"/>
  <c r="AC58" i="8"/>
  <c r="AD58" i="8"/>
  <c r="AE58" i="8"/>
  <c r="AF58" i="8"/>
  <c r="AG58" i="8"/>
  <c r="AH58" i="8"/>
  <c r="AI58" i="8"/>
  <c r="AJ58" i="8"/>
  <c r="AK58" i="8"/>
  <c r="AL58" i="8"/>
  <c r="AM58" i="8"/>
  <c r="AN58" i="8"/>
  <c r="AS58" i="8"/>
  <c r="AT58" i="8"/>
  <c r="AU58" i="8"/>
  <c r="AV58" i="8"/>
  <c r="AW58" i="8"/>
  <c r="AX58" i="8"/>
  <c r="AY58" i="8"/>
  <c r="AZ58" i="8"/>
  <c r="BA58" i="8"/>
  <c r="BB58" i="8"/>
  <c r="BC58" i="8"/>
  <c r="BD58" i="8"/>
  <c r="BE58" i="8"/>
  <c r="BF58" i="8"/>
  <c r="BG58" i="8"/>
  <c r="BH58" i="8"/>
  <c r="BI58" i="8"/>
  <c r="BJ58" i="8"/>
  <c r="BK58" i="8"/>
  <c r="BL58" i="8"/>
  <c r="F32" i="8"/>
  <c r="G32" i="8"/>
  <c r="H32" i="8"/>
  <c r="I32" i="8"/>
  <c r="J32" i="8"/>
  <c r="K32" i="8"/>
  <c r="L32" i="8"/>
  <c r="M32" i="8"/>
  <c r="N32" i="8"/>
  <c r="O32" i="8"/>
  <c r="P32" i="8"/>
  <c r="Q32" i="8"/>
  <c r="R32" i="8"/>
  <c r="S32" i="8"/>
  <c r="T32" i="8"/>
  <c r="U32" i="8"/>
  <c r="V32" i="8"/>
  <c r="W32" i="8"/>
  <c r="X32" i="8"/>
  <c r="Y32" i="8"/>
  <c r="Z32" i="8"/>
  <c r="AA32" i="8"/>
  <c r="AB32" i="8"/>
  <c r="AC32" i="8"/>
  <c r="AD32" i="8"/>
  <c r="AE32" i="8"/>
  <c r="AF32" i="8"/>
  <c r="AG32" i="8"/>
  <c r="AH32" i="8"/>
  <c r="AI32" i="8"/>
  <c r="AJ32" i="8"/>
  <c r="AK32" i="8"/>
  <c r="AL32" i="8"/>
  <c r="AM32" i="8"/>
  <c r="AN32" i="8"/>
  <c r="AO32" i="8"/>
  <c r="AP32" i="8"/>
  <c r="AQ32" i="8"/>
  <c r="AR32" i="8"/>
  <c r="AS32" i="8"/>
  <c r="AT32" i="8"/>
  <c r="AU32" i="8"/>
  <c r="AV32" i="8"/>
  <c r="AW32" i="8"/>
  <c r="AX32" i="8"/>
  <c r="AY32" i="8"/>
  <c r="AZ32" i="8"/>
  <c r="BA32" i="8"/>
  <c r="BB32" i="8"/>
  <c r="BC32" i="8"/>
  <c r="BD32" i="8"/>
  <c r="BE32" i="8"/>
  <c r="BF32" i="8"/>
  <c r="BG32" i="8"/>
  <c r="BH32" i="8"/>
  <c r="BI32" i="8"/>
  <c r="BJ32" i="8"/>
  <c r="BK32" i="8"/>
  <c r="BL32" i="8"/>
  <c r="BL54" i="8"/>
  <c r="E23" i="21"/>
  <c r="E18" i="21"/>
  <c r="G10" i="21"/>
  <c r="G14" i="21" s="1"/>
  <c r="G17" i="21" s="1"/>
  <c r="G18" i="21" s="1"/>
  <c r="H10" i="21"/>
  <c r="I10" i="21"/>
  <c r="I12" i="21" s="1"/>
  <c r="J10" i="21"/>
  <c r="F10" i="21"/>
  <c r="E13" i="21"/>
  <c r="E21" i="14"/>
  <c r="J34" i="22"/>
  <c r="J33" i="22"/>
  <c r="D13" i="22"/>
  <c r="D12" i="22"/>
  <c r="E12" i="22" s="1"/>
  <c r="F11" i="22"/>
  <c r="E22" i="22"/>
  <c r="E15" i="12"/>
  <c r="F13" i="12" s="1"/>
  <c r="F10" i="12"/>
  <c r="D22" i="9"/>
  <c r="D87" i="18"/>
  <c r="F18" i="12"/>
  <c r="E9" i="12"/>
  <c r="E10" i="17"/>
  <c r="E11" i="17"/>
  <c r="E25" i="17" s="1"/>
  <c r="F9" i="17"/>
  <c r="F11" i="17"/>
  <c r="F25" i="17" s="1"/>
  <c r="G11" i="17"/>
  <c r="G25" i="17" s="1"/>
  <c r="H11" i="17"/>
  <c r="H25" i="17" s="1"/>
  <c r="I11" i="17"/>
  <c r="I25" i="17" s="1"/>
  <c r="J11" i="17"/>
  <c r="J25" i="17" s="1"/>
  <c r="J26" i="16"/>
  <c r="F26" i="16"/>
  <c r="G26" i="16"/>
  <c r="H26" i="16"/>
  <c r="I26" i="16"/>
  <c r="D19" i="15"/>
  <c r="D13" i="15"/>
  <c r="D24" i="15"/>
  <c r="E12" i="14"/>
  <c r="E13" i="14"/>
  <c r="E27" i="14" s="1"/>
  <c r="F11" i="14"/>
  <c r="F12" i="14" s="1"/>
  <c r="F13" i="14"/>
  <c r="G13" i="14"/>
  <c r="H13" i="14"/>
  <c r="I13" i="14"/>
  <c r="J13" i="14"/>
  <c r="J26" i="14"/>
  <c r="I32" i="14" s="1"/>
  <c r="I26" i="14"/>
  <c r="H26" i="14"/>
  <c r="G32" i="14" s="1"/>
  <c r="G26" i="14"/>
  <c r="F26" i="14"/>
  <c r="E26" i="14"/>
  <c r="D35" i="14"/>
  <c r="J32" i="14"/>
  <c r="J34" i="13"/>
  <c r="E13" i="13"/>
  <c r="E14" i="13"/>
  <c r="E25" i="13" s="1"/>
  <c r="F12" i="13"/>
  <c r="F14" i="13"/>
  <c r="F25" i="13" s="1"/>
  <c r="G14" i="13"/>
  <c r="G25" i="13" s="1"/>
  <c r="H14" i="13"/>
  <c r="H25" i="13" s="1"/>
  <c r="I14" i="13"/>
  <c r="I25" i="13" s="1"/>
  <c r="J14" i="13"/>
  <c r="J25" i="13" s="1"/>
  <c r="G8" i="12"/>
  <c r="G10" i="12"/>
  <c r="H10" i="12"/>
  <c r="I10" i="12"/>
  <c r="J10" i="12"/>
  <c r="K10" i="12"/>
  <c r="D16" i="3"/>
  <c r="D9" i="10"/>
  <c r="D17" i="9"/>
  <c r="E16" i="9"/>
  <c r="E17" i="9" s="1"/>
  <c r="F16" i="9"/>
  <c r="G16" i="9"/>
  <c r="H16" i="9"/>
  <c r="I16" i="9"/>
  <c r="J16" i="9"/>
  <c r="K16" i="9"/>
  <c r="L16" i="9"/>
  <c r="M16" i="9"/>
  <c r="N16" i="9"/>
  <c r="O16" i="9"/>
  <c r="P16" i="9"/>
  <c r="Q16" i="9"/>
  <c r="R16" i="9"/>
  <c r="S16" i="9"/>
  <c r="T16" i="9"/>
  <c r="U16" i="9"/>
  <c r="V16" i="9"/>
  <c r="W16" i="9"/>
  <c r="X16" i="9"/>
  <c r="Y16" i="9"/>
  <c r="Z16" i="9"/>
  <c r="AA16" i="9"/>
  <c r="AB16" i="9"/>
  <c r="AC16" i="9"/>
  <c r="D20" i="9"/>
  <c r="D19" i="9"/>
  <c r="D30" i="9" s="1"/>
  <c r="D16" i="9"/>
  <c r="BL27" i="8"/>
  <c r="BK27" i="8"/>
  <c r="BJ27" i="8"/>
  <c r="BI27" i="8"/>
  <c r="E27" i="8"/>
  <c r="F27" i="8"/>
  <c r="G27" i="8"/>
  <c r="H27" i="8"/>
  <c r="I27" i="8"/>
  <c r="J27" i="8"/>
  <c r="K27" i="8"/>
  <c r="L27" i="8"/>
  <c r="M27" i="8"/>
  <c r="N27" i="8"/>
  <c r="O27" i="8"/>
  <c r="P27" i="8"/>
  <c r="Q27" i="8"/>
  <c r="R27" i="8"/>
  <c r="S27" i="8"/>
  <c r="T27" i="8"/>
  <c r="U27" i="8"/>
  <c r="V27" i="8"/>
  <c r="W27" i="8"/>
  <c r="X27" i="8"/>
  <c r="Y27" i="8"/>
  <c r="Z27" i="8"/>
  <c r="AA27" i="8"/>
  <c r="AB27" i="8"/>
  <c r="AC27" i="8"/>
  <c r="AD27" i="8"/>
  <c r="AE27" i="8"/>
  <c r="AF27" i="8"/>
  <c r="AG27" i="8"/>
  <c r="AH27" i="8"/>
  <c r="AI27" i="8"/>
  <c r="AJ27" i="8"/>
  <c r="AK27" i="8"/>
  <c r="AL27" i="8"/>
  <c r="AM27" i="8"/>
  <c r="AN27" i="8"/>
  <c r="AO27" i="8"/>
  <c r="AP27" i="8"/>
  <c r="AQ27" i="8"/>
  <c r="AR27" i="8"/>
  <c r="AS27" i="8"/>
  <c r="AT27" i="8"/>
  <c r="AU27" i="8"/>
  <c r="AV27" i="8"/>
  <c r="AW27" i="8"/>
  <c r="AX27" i="8"/>
  <c r="AY27" i="8"/>
  <c r="AZ27" i="8"/>
  <c r="BA27" i="8"/>
  <c r="BB27" i="8"/>
  <c r="BC27" i="8"/>
  <c r="BD27" i="8"/>
  <c r="BE27" i="8"/>
  <c r="BF27" i="8"/>
  <c r="BG27" i="8"/>
  <c r="BH27" i="8"/>
  <c r="D31" i="8"/>
  <c r="E26" i="8"/>
  <c r="F26" i="8"/>
  <c r="F30" i="8" s="1"/>
  <c r="G26" i="8"/>
  <c r="G30" i="8" s="1"/>
  <c r="H26" i="8"/>
  <c r="I26" i="8"/>
  <c r="J26" i="8"/>
  <c r="J36" i="8" s="1"/>
  <c r="K26" i="8"/>
  <c r="L26" i="8"/>
  <c r="M26" i="8"/>
  <c r="M36" i="8" s="1"/>
  <c r="N26" i="8"/>
  <c r="O26" i="8"/>
  <c r="P26" i="8"/>
  <c r="Q26" i="8"/>
  <c r="R26" i="8"/>
  <c r="S26" i="8"/>
  <c r="T26" i="8"/>
  <c r="U26" i="8"/>
  <c r="U30" i="8" s="1"/>
  <c r="V26" i="8"/>
  <c r="V30" i="8" s="1"/>
  <c r="W26" i="8"/>
  <c r="X26" i="8"/>
  <c r="Y26" i="8"/>
  <c r="Z26" i="8"/>
  <c r="Z30" i="8" s="1"/>
  <c r="AA26" i="8"/>
  <c r="AB26" i="8"/>
  <c r="AC26" i="8"/>
  <c r="AC36" i="8" s="1"/>
  <c r="AD26" i="8"/>
  <c r="AE26" i="8"/>
  <c r="AE30" i="8" s="1"/>
  <c r="AF26" i="8"/>
  <c r="AF36" i="8" s="1"/>
  <c r="AG26" i="8"/>
  <c r="AH26" i="8"/>
  <c r="AH36" i="8" s="1"/>
  <c r="AI26" i="8"/>
  <c r="AJ26" i="8"/>
  <c r="AJ36" i="8" s="1"/>
  <c r="AK26" i="8"/>
  <c r="AL26" i="8"/>
  <c r="AL30" i="8" s="1"/>
  <c r="AM26" i="8"/>
  <c r="AN26" i="8"/>
  <c r="AN36" i="8" s="1"/>
  <c r="AO26" i="8"/>
  <c r="AP26" i="8"/>
  <c r="AP30" i="8" s="1"/>
  <c r="AQ26" i="8"/>
  <c r="AR26" i="8"/>
  <c r="AR30" i="8" s="1"/>
  <c r="AS26" i="8"/>
  <c r="AS36" i="8" s="1"/>
  <c r="AT26" i="8"/>
  <c r="AU26" i="8"/>
  <c r="AV26" i="8"/>
  <c r="AV36" i="8" s="1"/>
  <c r="AW26" i="8"/>
  <c r="AX26" i="8"/>
  <c r="AY26" i="8"/>
  <c r="AY36" i="8" s="1"/>
  <c r="AZ26" i="8"/>
  <c r="AZ36" i="8" s="1"/>
  <c r="BA26" i="8"/>
  <c r="BA36" i="8" s="1"/>
  <c r="BB26" i="8"/>
  <c r="BC26" i="8"/>
  <c r="BD26" i="8"/>
  <c r="BD36" i="8" s="1"/>
  <c r="BE26" i="8"/>
  <c r="BE36" i="8" s="1"/>
  <c r="BF26" i="8"/>
  <c r="BG26" i="8"/>
  <c r="BG30" i="8" s="1"/>
  <c r="BH26" i="8"/>
  <c r="BH36" i="8" s="1"/>
  <c r="BI26" i="8"/>
  <c r="BJ26" i="8"/>
  <c r="BK26" i="8"/>
  <c r="BK36" i="8" s="1"/>
  <c r="BL26" i="8"/>
  <c r="BL36" i="8" s="1"/>
  <c r="E61" i="1"/>
  <c r="E26" i="1"/>
  <c r="E30" i="1" s="1"/>
  <c r="E31" i="1" s="1"/>
  <c r="D13" i="5"/>
  <c r="E11" i="5" s="1"/>
  <c r="D19" i="5"/>
  <c r="E17" i="5" s="1"/>
  <c r="D24" i="5"/>
  <c r="E15" i="3"/>
  <c r="D19" i="3"/>
  <c r="E18" i="3"/>
  <c r="E14" i="10" s="1"/>
  <c r="F15" i="3"/>
  <c r="G15" i="3"/>
  <c r="H15" i="3"/>
  <c r="I15" i="3"/>
  <c r="J15" i="3"/>
  <c r="K15" i="3"/>
  <c r="L15" i="3"/>
  <c r="M15" i="3"/>
  <c r="N15" i="3"/>
  <c r="O15" i="3"/>
  <c r="P15" i="3"/>
  <c r="Q15" i="3"/>
  <c r="R15" i="3"/>
  <c r="S15" i="3"/>
  <c r="T15" i="3"/>
  <c r="U15" i="3"/>
  <c r="V15" i="3"/>
  <c r="W15" i="3"/>
  <c r="X15" i="3"/>
  <c r="Y15" i="3"/>
  <c r="Z15" i="3"/>
  <c r="AA15" i="3"/>
  <c r="AB15" i="3"/>
  <c r="AC15" i="3"/>
  <c r="F18" i="3"/>
  <c r="G18" i="3"/>
  <c r="H18" i="3"/>
  <c r="H14" i="10" s="1"/>
  <c r="I18" i="3"/>
  <c r="I12" i="4" s="1"/>
  <c r="J18" i="3"/>
  <c r="K18" i="3"/>
  <c r="L18" i="3"/>
  <c r="M18" i="3"/>
  <c r="N18" i="3"/>
  <c r="O18" i="3"/>
  <c r="P18" i="3"/>
  <c r="Q18" i="3"/>
  <c r="R18" i="3"/>
  <c r="R12" i="4" s="1"/>
  <c r="S18" i="3"/>
  <c r="T18" i="3"/>
  <c r="T12" i="4" s="1"/>
  <c r="U18" i="3"/>
  <c r="V18" i="3"/>
  <c r="W18" i="3"/>
  <c r="X18" i="3"/>
  <c r="X14" i="10" s="1"/>
  <c r="Y18" i="3"/>
  <c r="Y14" i="10" s="1"/>
  <c r="Z18" i="3"/>
  <c r="Z14" i="10" s="1"/>
  <c r="AA18" i="3"/>
  <c r="AB18" i="3"/>
  <c r="AB14" i="10" s="1"/>
  <c r="AC18" i="3"/>
  <c r="D8" i="4"/>
  <c r="D15" i="3"/>
  <c r="D18" i="3"/>
  <c r="D32" i="10" s="1"/>
  <c r="D70" i="8"/>
  <c r="D109" i="1"/>
  <c r="E90" i="1"/>
  <c r="E67" i="1"/>
  <c r="F65" i="1"/>
  <c r="G65" i="1"/>
  <c r="H65" i="1"/>
  <c r="I65" i="1"/>
  <c r="J65" i="1"/>
  <c r="K65" i="1"/>
  <c r="L65" i="1"/>
  <c r="M65" i="1"/>
  <c r="N65" i="1"/>
  <c r="O65" i="1"/>
  <c r="P65" i="1"/>
  <c r="Q65" i="1"/>
  <c r="R65" i="1"/>
  <c r="S65" i="1"/>
  <c r="T65" i="1"/>
  <c r="U65" i="1"/>
  <c r="V65" i="1"/>
  <c r="W65" i="1"/>
  <c r="X65" i="1"/>
  <c r="Y65" i="1"/>
  <c r="Z65" i="1"/>
  <c r="AA65" i="1"/>
  <c r="AB65" i="1"/>
  <c r="AC65" i="1"/>
  <c r="AD65" i="1"/>
  <c r="AE65" i="1"/>
  <c r="AF65" i="1"/>
  <c r="AG65" i="1"/>
  <c r="AH65" i="1"/>
  <c r="AI65" i="1"/>
  <c r="AJ65" i="1"/>
  <c r="AK65" i="1"/>
  <c r="AL65" i="1"/>
  <c r="AM65" i="1"/>
  <c r="AN65" i="1"/>
  <c r="AO65" i="1"/>
  <c r="AP65" i="1"/>
  <c r="AQ65" i="1"/>
  <c r="AR65" i="1"/>
  <c r="AS65" i="1"/>
  <c r="AT65" i="1"/>
  <c r="AU65" i="1"/>
  <c r="AV65" i="1"/>
  <c r="AW65" i="1"/>
  <c r="AX65" i="1"/>
  <c r="AY65" i="1"/>
  <c r="AZ65" i="1"/>
  <c r="BA65" i="1"/>
  <c r="BB65" i="1"/>
  <c r="BC65" i="1"/>
  <c r="BD65" i="1"/>
  <c r="BE65" i="1"/>
  <c r="BF65" i="1"/>
  <c r="BG65" i="1"/>
  <c r="BH65" i="1"/>
  <c r="BI65" i="1"/>
  <c r="BJ65" i="1"/>
  <c r="BK65" i="1"/>
  <c r="BL65" i="1"/>
  <c r="E65" i="1"/>
  <c r="F43" i="1"/>
  <c r="F48" i="1" s="1"/>
  <c r="G43" i="1"/>
  <c r="H43" i="1"/>
  <c r="I43" i="1"/>
  <c r="I48" i="1"/>
  <c r="J43" i="1"/>
  <c r="K43" i="1"/>
  <c r="L43" i="1"/>
  <c r="L45" i="1" s="1"/>
  <c r="M43" i="1"/>
  <c r="M48" i="1" s="1"/>
  <c r="N43" i="1"/>
  <c r="N48" i="1" s="1"/>
  <c r="O43" i="1"/>
  <c r="P43" i="1"/>
  <c r="Q43" i="1"/>
  <c r="R43" i="1"/>
  <c r="R46" i="1" s="1"/>
  <c r="S43" i="1"/>
  <c r="T43" i="1"/>
  <c r="U43" i="1"/>
  <c r="V43" i="1"/>
  <c r="V46" i="1" s="1"/>
  <c r="W43" i="1"/>
  <c r="X43" i="1"/>
  <c r="Y43" i="1"/>
  <c r="Y48" i="1" s="1"/>
  <c r="Z43" i="1"/>
  <c r="Z46" i="1" s="1"/>
  <c r="AA43" i="1"/>
  <c r="AB43" i="1"/>
  <c r="AC43" i="1"/>
  <c r="AC46" i="1" s="1"/>
  <c r="AD43" i="1"/>
  <c r="AE43" i="1"/>
  <c r="AF43" i="1"/>
  <c r="AG43" i="1"/>
  <c r="AG48" i="1" s="1"/>
  <c r="AH43" i="1"/>
  <c r="AI43" i="1"/>
  <c r="AI48" i="1" s="1"/>
  <c r="AJ43" i="1"/>
  <c r="AK43" i="1"/>
  <c r="AK48" i="1" s="1"/>
  <c r="AL43" i="1"/>
  <c r="AM43" i="1"/>
  <c r="AM46" i="1" s="1"/>
  <c r="AN43" i="1"/>
  <c r="AO43" i="1"/>
  <c r="AP43" i="1"/>
  <c r="AQ43" i="1"/>
  <c r="AQ46" i="1" s="1"/>
  <c r="AR43" i="1"/>
  <c r="AR48" i="1" s="1"/>
  <c r="AS43" i="1"/>
  <c r="AS46" i="1" s="1"/>
  <c r="AT43" i="1"/>
  <c r="AU43" i="1"/>
  <c r="AU48" i="1" s="1"/>
  <c r="AV43" i="1"/>
  <c r="AW43" i="1"/>
  <c r="AW48" i="1" s="1"/>
  <c r="AX43" i="1"/>
  <c r="AY43" i="1"/>
  <c r="AY48" i="1" s="1"/>
  <c r="AZ43" i="1"/>
  <c r="BA43" i="1"/>
  <c r="BA46" i="1" s="1"/>
  <c r="BB43" i="1"/>
  <c r="BB46" i="1" s="1"/>
  <c r="BC43" i="1"/>
  <c r="BC48" i="1" s="1"/>
  <c r="BD43" i="1"/>
  <c r="BE43" i="1"/>
  <c r="BE46" i="1" s="1"/>
  <c r="BF43" i="1"/>
  <c r="BF48" i="1" s="1"/>
  <c r="BG43" i="1"/>
  <c r="BG48" i="1" s="1"/>
  <c r="BH43" i="1"/>
  <c r="BI43" i="1"/>
  <c r="BJ43" i="1"/>
  <c r="BK43" i="1"/>
  <c r="BK48" i="1" s="1"/>
  <c r="BL43" i="1"/>
  <c r="BL46" i="1" s="1"/>
  <c r="E43" i="1"/>
  <c r="F26" i="1"/>
  <c r="G26" i="1"/>
  <c r="G28" i="1" s="1"/>
  <c r="H26" i="1"/>
  <c r="I26" i="1"/>
  <c r="J26" i="1"/>
  <c r="K26" i="1"/>
  <c r="K30" i="1" s="1"/>
  <c r="L26" i="1"/>
  <c r="M26" i="1"/>
  <c r="M30" i="1" s="1"/>
  <c r="N26" i="1"/>
  <c r="N28" i="1" s="1"/>
  <c r="E13" i="1"/>
  <c r="F13" i="1" s="1"/>
  <c r="G13" i="1" s="1"/>
  <c r="H13" i="1" s="1"/>
  <c r="I13" i="1" s="1"/>
  <c r="E11" i="1"/>
  <c r="D62" i="1"/>
  <c r="F9" i="1"/>
  <c r="F67" i="1"/>
  <c r="G67" i="1"/>
  <c r="H67" i="1"/>
  <c r="I67" i="1"/>
  <c r="J67" i="1"/>
  <c r="J78" i="1" s="1"/>
  <c r="K67" i="1"/>
  <c r="L67" i="1"/>
  <c r="L70" i="1" s="1"/>
  <c r="M67" i="1"/>
  <c r="N67" i="1"/>
  <c r="N70" i="1" s="1"/>
  <c r="O67" i="1"/>
  <c r="P67" i="1"/>
  <c r="P78" i="1" s="1"/>
  <c r="Q67" i="1"/>
  <c r="R67" i="1"/>
  <c r="S67" i="1"/>
  <c r="T67" i="1"/>
  <c r="U67" i="1"/>
  <c r="V67" i="1"/>
  <c r="W67" i="1"/>
  <c r="X67" i="1"/>
  <c r="Y67" i="1"/>
  <c r="Z67" i="1"/>
  <c r="Z70" i="1" s="1"/>
  <c r="AA67" i="1"/>
  <c r="AA70" i="1" s="1"/>
  <c r="AB67" i="1"/>
  <c r="AC67" i="1"/>
  <c r="AD67" i="1"/>
  <c r="AE67" i="1"/>
  <c r="AF67" i="1"/>
  <c r="AG67" i="1"/>
  <c r="AH67" i="1"/>
  <c r="AI67" i="1"/>
  <c r="AJ67" i="1"/>
  <c r="AK67" i="1"/>
  <c r="AL67" i="1"/>
  <c r="AL83" i="1" s="1"/>
  <c r="AM67" i="1"/>
  <c r="AN67" i="1"/>
  <c r="AO67" i="1"/>
  <c r="AO70" i="1" s="1"/>
  <c r="AP67" i="1"/>
  <c r="AQ67" i="1"/>
  <c r="AR67" i="1"/>
  <c r="AS67" i="1"/>
  <c r="AT67" i="1"/>
  <c r="AT70" i="1" s="1"/>
  <c r="AU67" i="1"/>
  <c r="AV67" i="1"/>
  <c r="AW67" i="1"/>
  <c r="AX67" i="1"/>
  <c r="AY67" i="1"/>
  <c r="AY83" i="1" s="1"/>
  <c r="AZ67" i="1"/>
  <c r="BA67" i="1"/>
  <c r="BB67" i="1"/>
  <c r="BB70" i="1" s="1"/>
  <c r="BC67" i="1"/>
  <c r="BD67" i="1"/>
  <c r="BE67" i="1"/>
  <c r="BF67" i="1"/>
  <c r="BG67" i="1"/>
  <c r="BH67" i="1"/>
  <c r="BI67" i="1"/>
  <c r="BJ67" i="1"/>
  <c r="BK67" i="1"/>
  <c r="BK70" i="1" s="1"/>
  <c r="BL67" i="1"/>
  <c r="W78" i="1"/>
  <c r="P82" i="1"/>
  <c r="L48" i="1"/>
  <c r="M45" i="1"/>
  <c r="M47" i="1" s="1"/>
  <c r="I45" i="1"/>
  <c r="BB83" i="1"/>
  <c r="AI83" i="1"/>
  <c r="I46" i="1"/>
  <c r="M46" i="1"/>
  <c r="U46" i="1"/>
  <c r="Y46" i="1"/>
  <c r="AD46" i="1"/>
  <c r="AE46" i="1"/>
  <c r="AI46" i="1"/>
  <c r="AR46" i="1"/>
  <c r="AU46" i="1"/>
  <c r="AY46" i="1"/>
  <c r="BC46" i="1"/>
  <c r="I7" i="10"/>
  <c r="I8" i="10"/>
  <c r="I9" i="10" s="1"/>
  <c r="D18" i="10"/>
  <c r="D35" i="15"/>
  <c r="D39" i="15" s="1"/>
  <c r="E45" i="15"/>
  <c r="F45" i="15"/>
  <c r="G45" i="15"/>
  <c r="H45" i="15"/>
  <c r="I45" i="15"/>
  <c r="J45" i="15"/>
  <c r="K45" i="15"/>
  <c r="L45" i="15"/>
  <c r="M45" i="15"/>
  <c r="N45" i="15"/>
  <c r="O45" i="15"/>
  <c r="P45" i="15"/>
  <c r="Q45" i="15"/>
  <c r="R45" i="15"/>
  <c r="S45" i="15"/>
  <c r="T45" i="15"/>
  <c r="U45" i="15"/>
  <c r="V45" i="15"/>
  <c r="W45" i="15"/>
  <c r="X45" i="15"/>
  <c r="Y45" i="15"/>
  <c r="Z45" i="15"/>
  <c r="AA45" i="15"/>
  <c r="AB45" i="15"/>
  <c r="AC45" i="15"/>
  <c r="E47" i="15"/>
  <c r="F47" i="15"/>
  <c r="G47" i="15"/>
  <c r="H47" i="15"/>
  <c r="I47" i="15"/>
  <c r="J47" i="15"/>
  <c r="K47" i="15"/>
  <c r="L47" i="15"/>
  <c r="M47" i="15"/>
  <c r="N47" i="15"/>
  <c r="O47" i="15"/>
  <c r="P47" i="15"/>
  <c r="Q47" i="15"/>
  <c r="R47" i="15"/>
  <c r="S47" i="15"/>
  <c r="T47" i="15"/>
  <c r="U47" i="15"/>
  <c r="V47" i="15"/>
  <c r="W47" i="15"/>
  <c r="X47" i="15"/>
  <c r="Y47" i="15"/>
  <c r="Z47" i="15"/>
  <c r="AA47" i="15"/>
  <c r="AB47" i="15"/>
  <c r="AC47" i="15"/>
  <c r="E14" i="22"/>
  <c r="E25" i="22" s="1"/>
  <c r="F14" i="22"/>
  <c r="F25" i="22" s="1"/>
  <c r="G14" i="22"/>
  <c r="H14" i="22"/>
  <c r="H25" i="22" s="1"/>
  <c r="I14" i="22"/>
  <c r="I25" i="22" s="1"/>
  <c r="J14" i="22"/>
  <c r="J25" i="22" s="1"/>
  <c r="G25" i="22"/>
  <c r="BB36" i="18"/>
  <c r="BB42" i="18"/>
  <c r="AX36" i="18"/>
  <c r="AX42" i="18"/>
  <c r="AT36" i="18"/>
  <c r="AP36" i="18"/>
  <c r="AP42" i="18"/>
  <c r="AL36" i="18"/>
  <c r="AL42" i="18"/>
  <c r="AH36" i="18"/>
  <c r="AH42" i="18"/>
  <c r="AD36" i="18"/>
  <c r="R42" i="18"/>
  <c r="F36" i="18"/>
  <c r="AF30" i="8"/>
  <c r="BE30" i="8"/>
  <c r="I13" i="22"/>
  <c r="I24" i="22" s="1"/>
  <c r="F11" i="21"/>
  <c r="F35" i="24"/>
  <c r="G11" i="21"/>
  <c r="G12" i="21" s="1"/>
  <c r="H11" i="21"/>
  <c r="I11" i="21"/>
  <c r="J11" i="21"/>
  <c r="M30" i="8"/>
  <c r="AC14" i="10"/>
  <c r="P14" i="10"/>
  <c r="BK30" i="8"/>
  <c r="AC48" i="1"/>
  <c r="Z48" i="1"/>
  <c r="F36" i="8"/>
  <c r="Y12" i="4"/>
  <c r="Y30" i="5" s="1"/>
  <c r="I14" i="10"/>
  <c r="AL78" i="1"/>
  <c r="AC12" i="4"/>
  <c r="U12" i="4"/>
  <c r="U30" i="15" s="1"/>
  <c r="Q12" i="4"/>
  <c r="Q30" i="15" s="1"/>
  <c r="M14" i="10"/>
  <c r="E12" i="4"/>
  <c r="E30" i="15" s="1"/>
  <c r="AL36" i="8"/>
  <c r="F22" i="22"/>
  <c r="J13" i="22"/>
  <c r="J24" i="22" s="1"/>
  <c r="BG42" i="18"/>
  <c r="AA42" i="18"/>
  <c r="BD30" i="8"/>
  <c r="BA30" i="8"/>
  <c r="AN30" i="8"/>
  <c r="BG36" i="8"/>
  <c r="G36" i="8"/>
  <c r="N83" i="1"/>
  <c r="G30" i="1"/>
  <c r="N78" i="1"/>
  <c r="Y82" i="1"/>
  <c r="G46" i="1"/>
  <c r="Y78" i="1"/>
  <c r="AK46" i="1"/>
  <c r="F46" i="1"/>
  <c r="F47" i="1" s="1"/>
  <c r="BB78" i="1"/>
  <c r="AZ84" i="28"/>
  <c r="AZ85" i="28" s="1"/>
  <c r="AQ84" i="28"/>
  <c r="AQ85" i="28" s="1"/>
  <c r="AY84" i="28"/>
  <c r="AY85" i="28" s="1"/>
  <c r="AY88" i="28" s="1"/>
  <c r="AR84" i="28"/>
  <c r="AR85" i="28" s="1"/>
  <c r="BI82" i="28"/>
  <c r="BI84" i="28" s="1"/>
  <c r="BI85" i="28" s="1"/>
  <c r="BI88" i="28" s="1"/>
  <c r="BK82" i="28"/>
  <c r="BK84" i="28" s="1"/>
  <c r="BK85" i="28" s="1"/>
  <c r="BK88" i="28" s="1"/>
  <c r="BL82" i="28"/>
  <c r="BE82" i="28"/>
  <c r="BJ82" i="28"/>
  <c r="BJ84" i="28" s="1"/>
  <c r="BJ85" i="28" s="1"/>
  <c r="BJ88" i="28" s="1"/>
  <c r="BG82" i="28"/>
  <c r="BG84" i="28" s="1"/>
  <c r="BG85" i="28" s="1"/>
  <c r="BG88" i="28" s="1"/>
  <c r="BB82" i="28"/>
  <c r="BC82" i="28"/>
  <c r="BH82" i="28"/>
  <c r="BD82" i="28"/>
  <c r="BF82" i="28"/>
  <c r="BA82" i="28"/>
  <c r="AP84" i="28"/>
  <c r="AP85" i="28" s="1"/>
  <c r="AP88" i="28" s="1"/>
  <c r="AO84" i="28"/>
  <c r="AO85" i="28" s="1"/>
  <c r="AQ78" i="1"/>
  <c r="AQ70" i="1"/>
  <c r="J83" i="1"/>
  <c r="J70" i="1"/>
  <c r="BF83" i="1"/>
  <c r="BF70" i="1"/>
  <c r="AS70" i="1"/>
  <c r="AP83" i="1"/>
  <c r="AP70" i="1"/>
  <c r="AC70" i="1"/>
  <c r="P70" i="1"/>
  <c r="L83" i="1"/>
  <c r="I70" i="1"/>
  <c r="BJ78" i="1"/>
  <c r="BJ70" i="1"/>
  <c r="BC70" i="1"/>
  <c r="Q78" i="1"/>
  <c r="AA83" i="1"/>
  <c r="AH46" i="1"/>
  <c r="P46" i="1"/>
  <c r="BF78" i="1"/>
  <c r="BK78" i="1"/>
  <c r="BE70" i="1"/>
  <c r="AY78" i="1"/>
  <c r="AI78" i="1"/>
  <c r="AI70" i="1"/>
  <c r="AE83" i="1"/>
  <c r="AE70" i="1"/>
  <c r="V83" i="1"/>
  <c r="V70" i="1"/>
  <c r="R70" i="1"/>
  <c r="O70" i="1"/>
  <c r="H83" i="1"/>
  <c r="H70" i="1"/>
  <c r="AM83" i="1"/>
  <c r="AM70" i="1"/>
  <c r="T83" i="1"/>
  <c r="T70" i="1"/>
  <c r="F78" i="1"/>
  <c r="F70" i="1"/>
  <c r="AQ83" i="1"/>
  <c r="J82" i="1"/>
  <c r="BJ83" i="1"/>
  <c r="AX78" i="1"/>
  <c r="AX70" i="1"/>
  <c r="AT78" i="1"/>
  <c r="AH83" i="1"/>
  <c r="AH70" i="1"/>
  <c r="K70" i="1"/>
  <c r="E70" i="1"/>
  <c r="E78" i="1"/>
  <c r="I14" i="21"/>
  <c r="I17" i="21" s="1"/>
  <c r="I18" i="21" s="1"/>
  <c r="J12" i="21"/>
  <c r="J14" i="21"/>
  <c r="J17" i="21" s="1"/>
  <c r="BH30" i="8"/>
  <c r="AM78" i="1"/>
  <c r="BL30" i="8"/>
  <c r="BK83" i="1"/>
  <c r="J46" i="1"/>
  <c r="F45" i="1"/>
  <c r="G9" i="1"/>
  <c r="AA76" i="1"/>
  <c r="AH78" i="1"/>
  <c r="AV83" i="1"/>
  <c r="U14" i="10"/>
  <c r="M12" i="4"/>
  <c r="AY30" i="8"/>
  <c r="U36" i="8"/>
  <c r="H13" i="22"/>
  <c r="H24" i="22" s="1"/>
  <c r="BC42" i="18"/>
  <c r="AJ30" i="8"/>
  <c r="AZ30" i="8"/>
  <c r="N30" i="1"/>
  <c r="AG78" i="1"/>
  <c r="AP78" i="1"/>
  <c r="AE78" i="1"/>
  <c r="AB78" i="1"/>
  <c r="AX83" i="1"/>
  <c r="Q14" i="10"/>
  <c r="AE36" i="8"/>
  <c r="AC30" i="8"/>
  <c r="J30" i="8"/>
  <c r="AP36" i="8"/>
  <c r="V36" i="8"/>
  <c r="AU42" i="18"/>
  <c r="AE42" i="18"/>
  <c r="P83" i="1"/>
  <c r="P84" i="1" s="1"/>
  <c r="P85" i="1" s="1"/>
  <c r="F83" i="1"/>
  <c r="F82" i="1"/>
  <c r="E82" i="1"/>
  <c r="BK46" i="1"/>
  <c r="BG46" i="1"/>
  <c r="L46" i="1"/>
  <c r="AG46" i="1"/>
  <c r="N46" i="1"/>
  <c r="AM48" i="1"/>
  <c r="BE48" i="1"/>
  <c r="BA48" i="1"/>
  <c r="I47" i="1"/>
  <c r="AW46" i="1"/>
  <c r="N45" i="1"/>
  <c r="AA47" i="26"/>
  <c r="BG47" i="26"/>
  <c r="BC47" i="26"/>
  <c r="W47" i="26"/>
  <c r="G47" i="26"/>
  <c r="AY47" i="26"/>
  <c r="AI47" i="26"/>
  <c r="S47" i="26"/>
  <c r="AM47" i="26"/>
  <c r="BK47" i="26"/>
  <c r="AU47" i="26"/>
  <c r="AE47" i="26"/>
  <c r="O47" i="26"/>
  <c r="Z83" i="1"/>
  <c r="Z76" i="1"/>
  <c r="Z78" i="1"/>
  <c r="BI38" i="26"/>
  <c r="BI47" i="26"/>
  <c r="BE38" i="26"/>
  <c r="BE47" i="26"/>
  <c r="BA38" i="26"/>
  <c r="BA47" i="26"/>
  <c r="AW38" i="26"/>
  <c r="AW47" i="26"/>
  <c r="AS38" i="26"/>
  <c r="AS47" i="26"/>
  <c r="Y38" i="26"/>
  <c r="Q38" i="26"/>
  <c r="Q47" i="26"/>
  <c r="M38" i="26"/>
  <c r="M47" i="26"/>
  <c r="I38" i="26"/>
  <c r="I47" i="26"/>
  <c r="E38" i="26"/>
  <c r="E47" i="26"/>
  <c r="E48" i="26" s="1"/>
  <c r="L76" i="1"/>
  <c r="R76" i="1"/>
  <c r="AC76" i="1"/>
  <c r="H76" i="1"/>
  <c r="AY76" i="1"/>
  <c r="AI76" i="1"/>
  <c r="D80" i="1"/>
  <c r="Y76" i="1"/>
  <c r="BG76" i="1"/>
  <c r="AM76" i="1"/>
  <c r="BB76" i="1"/>
  <c r="AH76" i="1"/>
  <c r="J76" i="1"/>
  <c r="BH76" i="1"/>
  <c r="P76" i="1"/>
  <c r="BC76" i="1"/>
  <c r="AE76" i="1"/>
  <c r="AX76" i="1"/>
  <c r="BK76" i="1"/>
  <c r="AL76" i="1"/>
  <c r="AU76" i="1"/>
  <c r="G76" i="1"/>
  <c r="V76" i="1"/>
  <c r="AQ76" i="1"/>
  <c r="BF76" i="1"/>
  <c r="Y36" i="8"/>
  <c r="Y30" i="8"/>
  <c r="AV48" i="1"/>
  <c r="AF48" i="1"/>
  <c r="AF46" i="1"/>
  <c r="R83" i="1"/>
  <c r="R78" i="1"/>
  <c r="F76" i="1"/>
  <c r="V48" i="1"/>
  <c r="R48" i="1"/>
  <c r="AN48" i="1"/>
  <c r="AN46" i="1"/>
  <c r="U48" i="1"/>
  <c r="R30" i="8"/>
  <c r="R36" i="8"/>
  <c r="N36" i="8"/>
  <c r="N30" i="8"/>
  <c r="L82" i="1"/>
  <c r="E76" i="1"/>
  <c r="E96" i="1" s="1"/>
  <c r="K78" i="1"/>
  <c r="BJ76" i="1"/>
  <c r="BD78" i="1"/>
  <c r="AT76" i="1"/>
  <c r="AT83" i="1"/>
  <c r="AN76" i="1"/>
  <c r="AD83" i="1"/>
  <c r="V78" i="1"/>
  <c r="N82" i="1"/>
  <c r="N84" i="1" s="1"/>
  <c r="N85" i="1" s="1"/>
  <c r="N76" i="1"/>
  <c r="X12" i="4"/>
  <c r="T14" i="10"/>
  <c r="Q30" i="5"/>
  <c r="P12" i="4"/>
  <c r="Q36" i="8"/>
  <c r="Q30" i="8"/>
  <c r="E83" i="1"/>
  <c r="E84" i="1" s="1"/>
  <c r="E85" i="1" s="1"/>
  <c r="T76" i="1"/>
  <c r="L78" i="1"/>
  <c r="AA78" i="1"/>
  <c r="X83" i="1"/>
  <c r="X76" i="1"/>
  <c r="S76" i="1"/>
  <c r="E20" i="5"/>
  <c r="Y30" i="15"/>
  <c r="G8" i="24"/>
  <c r="G35" i="24" s="1"/>
  <c r="H6" i="24"/>
  <c r="H8" i="24" s="1"/>
  <c r="D32" i="14"/>
  <c r="AW42" i="18"/>
  <c r="AG42" i="18"/>
  <c r="BL36" i="18"/>
  <c r="BL42" i="18"/>
  <c r="X36" i="18"/>
  <c r="X42" i="18"/>
  <c r="P36" i="18"/>
  <c r="P42" i="18"/>
  <c r="U30" i="5"/>
  <c r="E30" i="5"/>
  <c r="BD47" i="26"/>
  <c r="V42" i="18"/>
  <c r="BF42" i="18"/>
  <c r="O42" i="18"/>
  <c r="H42" i="18"/>
  <c r="AM42" i="18"/>
  <c r="BJ42" i="18"/>
  <c r="BJ36" i="18"/>
  <c r="AI36" i="18"/>
  <c r="AI42" i="18"/>
  <c r="AB36" i="18"/>
  <c r="AB42" i="18"/>
  <c r="AY36" i="18"/>
  <c r="AY42" i="18"/>
  <c r="S36" i="18"/>
  <c r="S42" i="18"/>
  <c r="L36" i="18"/>
  <c r="L42" i="18"/>
  <c r="BH47" i="26"/>
  <c r="AR47" i="26"/>
  <c r="BL47" i="26"/>
  <c r="AV47" i="26"/>
  <c r="AZ47" i="26"/>
  <c r="AP47" i="26"/>
  <c r="AL47" i="26"/>
  <c r="AH47" i="26"/>
  <c r="AD47" i="26"/>
  <c r="Z47" i="26"/>
  <c r="V47" i="26"/>
  <c r="J47" i="26"/>
  <c r="F47" i="26"/>
  <c r="BA84" i="28"/>
  <c r="BA85" i="28" s="1"/>
  <c r="BA88" i="28" s="1"/>
  <c r="BL84" i="28"/>
  <c r="BL85" i="28" s="1"/>
  <c r="BL88" i="28" s="1"/>
  <c r="BE84" i="28"/>
  <c r="BE85" i="28" s="1"/>
  <c r="BE88" i="28" s="1"/>
  <c r="BF84" i="28"/>
  <c r="BF85" i="28" s="1"/>
  <c r="BC84" i="28"/>
  <c r="BC85" i="28" s="1"/>
  <c r="BC88" i="28" s="1"/>
  <c r="D37" i="28"/>
  <c r="E35" i="28" s="1"/>
  <c r="E38" i="28" s="1"/>
  <c r="E36" i="28" s="1"/>
  <c r="E37" i="28" s="1"/>
  <c r="F35" i="28" s="1"/>
  <c r="AI45" i="1"/>
  <c r="AI47" i="1" s="1"/>
  <c r="J18" i="21"/>
  <c r="AC82" i="1"/>
  <c r="G11" i="1"/>
  <c r="AJ82" i="1"/>
  <c r="M30" i="5"/>
  <c r="M30" i="15"/>
  <c r="AK45" i="1"/>
  <c r="AK47" i="1" s="1"/>
  <c r="F48" i="26"/>
  <c r="I6" i="24"/>
  <c r="I8" i="24" s="1"/>
  <c r="I35" i="24" s="1"/>
  <c r="L84" i="1"/>
  <c r="L85" i="1" s="1"/>
  <c r="P30" i="5"/>
  <c r="P30" i="15"/>
  <c r="H35" i="24"/>
  <c r="I88" i="28"/>
  <c r="K88" i="28"/>
  <c r="F36" i="29"/>
  <c r="G36" i="29"/>
  <c r="D18" i="34"/>
  <c r="H36" i="29"/>
  <c r="D30" i="34"/>
  <c r="I36" i="29"/>
  <c r="BJ47" i="35"/>
  <c r="BF47" i="35"/>
  <c r="BB47" i="35"/>
  <c r="AX47" i="35"/>
  <c r="AT47" i="35"/>
  <c r="AP47" i="35"/>
  <c r="AL47" i="35"/>
  <c r="AH47" i="35"/>
  <c r="AD47" i="35"/>
  <c r="Z47" i="35"/>
  <c r="V47" i="35"/>
  <c r="R47" i="35"/>
  <c r="N47" i="35"/>
  <c r="J47" i="35"/>
  <c r="F47" i="35"/>
  <c r="BI47" i="35"/>
  <c r="BE47" i="35"/>
  <c r="BA47" i="35"/>
  <c r="AW47" i="35"/>
  <c r="AS47" i="35"/>
  <c r="AO47" i="35"/>
  <c r="AK47" i="35"/>
  <c r="AG47" i="35"/>
  <c r="AC47" i="35"/>
  <c r="Y47" i="35"/>
  <c r="U47" i="35"/>
  <c r="Q47" i="35"/>
  <c r="M47" i="35"/>
  <c r="I47" i="35"/>
  <c r="E47" i="35"/>
  <c r="G29" i="35"/>
  <c r="D29" i="35" s="1"/>
  <c r="BL47" i="35"/>
  <c r="BH47" i="35"/>
  <c r="BD47" i="35"/>
  <c r="AZ47" i="35"/>
  <c r="AV47" i="35"/>
  <c r="AR47" i="35"/>
  <c r="AN47" i="35"/>
  <c r="AJ47" i="35"/>
  <c r="AF47" i="35"/>
  <c r="AB47" i="35"/>
  <c r="X47" i="35"/>
  <c r="T47" i="35"/>
  <c r="P47" i="35"/>
  <c r="L47" i="35"/>
  <c r="H47" i="35"/>
  <c r="BK47" i="35"/>
  <c r="AU47" i="35"/>
  <c r="AE47" i="35"/>
  <c r="O47" i="35"/>
  <c r="BG47" i="35"/>
  <c r="AQ47" i="35"/>
  <c r="AA47" i="35"/>
  <c r="K47" i="35"/>
  <c r="BC47" i="35"/>
  <c r="AM47" i="35"/>
  <c r="W47" i="35"/>
  <c r="G47" i="35"/>
  <c r="AI47" i="35"/>
  <c r="S47" i="35"/>
  <c r="AY47" i="35"/>
  <c r="AU46" i="35"/>
  <c r="AU90" i="35" s="1"/>
  <c r="G51" i="35"/>
  <c r="G92" i="35" s="1"/>
  <c r="V46" i="35"/>
  <c r="V90" i="35" s="1"/>
  <c r="O46" i="35"/>
  <c r="O90" i="35" s="1"/>
  <c r="K51" i="35"/>
  <c r="K92" i="35" s="1"/>
  <c r="J46" i="35"/>
  <c r="J90" i="35" s="1"/>
  <c r="BC46" i="35"/>
  <c r="BC90" i="35" s="1"/>
  <c r="BK51" i="35"/>
  <c r="BK92" i="35" s="1"/>
  <c r="AQ46" i="35"/>
  <c r="AY51" i="35"/>
  <c r="AY92" i="35" s="1"/>
  <c r="T46" i="35"/>
  <c r="T90" i="35" s="1"/>
  <c r="AJ46" i="35"/>
  <c r="AJ90" i="35" s="1"/>
  <c r="AZ46" i="35"/>
  <c r="AZ90" i="35" s="1"/>
  <c r="L51" i="35"/>
  <c r="L92" i="35" s="1"/>
  <c r="AB51" i="35"/>
  <c r="AB92" i="35" s="1"/>
  <c r="AR51" i="35"/>
  <c r="AR92" i="35" s="1"/>
  <c r="BH51" i="35"/>
  <c r="BH92" i="35" s="1"/>
  <c r="Q46" i="35"/>
  <c r="Q90" i="35" s="1"/>
  <c r="AG46" i="35"/>
  <c r="AG90" i="35" s="1"/>
  <c r="AW46" i="35"/>
  <c r="AW90" i="35" s="1"/>
  <c r="I51" i="35"/>
  <c r="I92" i="35" s="1"/>
  <c r="Y51" i="35"/>
  <c r="Y92" i="35" s="1"/>
  <c r="AO51" i="35"/>
  <c r="AO92" i="35" s="1"/>
  <c r="BE51" i="35"/>
  <c r="BE92" i="35" s="1"/>
  <c r="AH46" i="35"/>
  <c r="AX46" i="35"/>
  <c r="AX90" i="35" s="1"/>
  <c r="J51" i="35"/>
  <c r="J92" i="35" s="1"/>
  <c r="Z51" i="35"/>
  <c r="Z92" i="35" s="1"/>
  <c r="AP51" i="35"/>
  <c r="AP92" i="35" s="1"/>
  <c r="BF51" i="35"/>
  <c r="BF92" i="35" s="1"/>
  <c r="AM51" i="35"/>
  <c r="AM92" i="35" s="1"/>
  <c r="W46" i="35"/>
  <c r="W90" i="35" s="1"/>
  <c r="AA51" i="35"/>
  <c r="AA92" i="35" s="1"/>
  <c r="R46" i="35"/>
  <c r="O51" i="35"/>
  <c r="O92" i="35" s="1"/>
  <c r="K46" i="35"/>
  <c r="K90" i="35" s="1"/>
  <c r="BG46" i="35"/>
  <c r="BG90" i="35" s="1"/>
  <c r="H46" i="35"/>
  <c r="H90" i="35" s="1"/>
  <c r="X46" i="35"/>
  <c r="X90" i="35" s="1"/>
  <c r="AN46" i="35"/>
  <c r="AN90" i="35" s="1"/>
  <c r="BD46" i="35"/>
  <c r="BD90" i="35" s="1"/>
  <c r="P51" i="35"/>
  <c r="P92" i="35" s="1"/>
  <c r="AF51" i="35"/>
  <c r="AF92" i="35" s="1"/>
  <c r="AV51" i="35"/>
  <c r="AV92" i="35" s="1"/>
  <c r="BL51" i="35"/>
  <c r="BL92" i="35" s="1"/>
  <c r="E46" i="35"/>
  <c r="E90" i="35" s="1"/>
  <c r="U46" i="35"/>
  <c r="U90" i="35" s="1"/>
  <c r="AK46" i="35"/>
  <c r="AK90" i="35" s="1"/>
  <c r="BA46" i="35"/>
  <c r="BA90" i="35" s="1"/>
  <c r="M51" i="35"/>
  <c r="M92" i="35" s="1"/>
  <c r="AC51" i="35"/>
  <c r="AC92" i="35" s="1"/>
  <c r="AS51" i="35"/>
  <c r="AS92" i="35" s="1"/>
  <c r="BI51" i="35"/>
  <c r="BI92" i="35" s="1"/>
  <c r="AL46" i="35"/>
  <c r="AL90" i="35" s="1"/>
  <c r="BB46" i="35"/>
  <c r="BB90" i="35" s="1"/>
  <c r="N51" i="35"/>
  <c r="N92" i="35" s="1"/>
  <c r="AD51" i="35"/>
  <c r="AD92" i="35" s="1"/>
  <c r="AT51" i="35"/>
  <c r="AT92" i="35" s="1"/>
  <c r="BJ51" i="35"/>
  <c r="BJ92" i="35" s="1"/>
  <c r="AE46" i="35"/>
  <c r="AE90" i="35" s="1"/>
  <c r="BC51" i="35"/>
  <c r="BC92" i="35" s="1"/>
  <c r="N46" i="35"/>
  <c r="N90" i="35" s="1"/>
  <c r="W51" i="35"/>
  <c r="W92" i="35" s="1"/>
  <c r="AI46" i="35"/>
  <c r="AI90" i="35" s="1"/>
  <c r="AQ51" i="35"/>
  <c r="AQ92" i="35" s="1"/>
  <c r="Z46" i="35"/>
  <c r="Z90" i="35" s="1"/>
  <c r="AE51" i="35"/>
  <c r="AE92" i="35" s="1"/>
  <c r="S46" i="35"/>
  <c r="S90" i="35" s="1"/>
  <c r="S51" i="35"/>
  <c r="S92" i="35" s="1"/>
  <c r="L46" i="35"/>
  <c r="L90" i="35" s="1"/>
  <c r="AB46" i="35"/>
  <c r="AR46" i="35"/>
  <c r="AR90" i="35" s="1"/>
  <c r="BH46" i="35"/>
  <c r="BH90" i="35" s="1"/>
  <c r="T51" i="35"/>
  <c r="T92" i="35" s="1"/>
  <c r="AJ51" i="35"/>
  <c r="AJ92" i="35" s="1"/>
  <c r="AZ51" i="35"/>
  <c r="AZ92" i="35" s="1"/>
  <c r="I46" i="35"/>
  <c r="I90" i="35" s="1"/>
  <c r="Y46" i="35"/>
  <c r="Y90" i="35" s="1"/>
  <c r="AO46" i="35"/>
  <c r="AO90" i="35" s="1"/>
  <c r="BE46" i="35"/>
  <c r="BE90" i="35" s="1"/>
  <c r="Q51" i="35"/>
  <c r="Q92" i="35" s="1"/>
  <c r="AG51" i="35"/>
  <c r="AG92" i="35" s="1"/>
  <c r="AW51" i="35"/>
  <c r="AW92" i="35" s="1"/>
  <c r="AP46" i="35"/>
  <c r="AP90" i="35" s="1"/>
  <c r="BF46" i="35"/>
  <c r="BF90" i="35" s="1"/>
  <c r="R51" i="35"/>
  <c r="R92" i="35" s="1"/>
  <c r="AH51" i="35"/>
  <c r="AH92" i="35" s="1"/>
  <c r="AX51" i="35"/>
  <c r="AX92" i="35" s="1"/>
  <c r="F46" i="35"/>
  <c r="BK46" i="35"/>
  <c r="BK90" i="35" s="1"/>
  <c r="G46" i="35"/>
  <c r="AY46" i="35"/>
  <c r="AY90" i="35" s="1"/>
  <c r="BG51" i="35"/>
  <c r="BG92" i="35" s="1"/>
  <c r="AM46" i="35"/>
  <c r="AM90" i="35" s="1"/>
  <c r="AU51" i="35"/>
  <c r="AU92" i="35" s="1"/>
  <c r="AA46" i="35"/>
  <c r="AA90" i="35" s="1"/>
  <c r="AI51" i="35"/>
  <c r="AI92" i="35" s="1"/>
  <c r="P46" i="35"/>
  <c r="P90" i="35" s="1"/>
  <c r="AF46" i="35"/>
  <c r="AF90" i="35" s="1"/>
  <c r="AV46" i="35"/>
  <c r="AV90" i="35" s="1"/>
  <c r="BL46" i="35"/>
  <c r="BL90" i="35" s="1"/>
  <c r="H51" i="35"/>
  <c r="H92" i="35" s="1"/>
  <c r="X51" i="35"/>
  <c r="X92" i="35" s="1"/>
  <c r="AN51" i="35"/>
  <c r="AN92" i="35" s="1"/>
  <c r="BD51" i="35"/>
  <c r="BD92" i="35" s="1"/>
  <c r="M46" i="35"/>
  <c r="AC46" i="35"/>
  <c r="AC90" i="35" s="1"/>
  <c r="AS46" i="35"/>
  <c r="AS90" i="35" s="1"/>
  <c r="BI46" i="35"/>
  <c r="BI90" i="35" s="1"/>
  <c r="E51" i="35"/>
  <c r="E92" i="35" s="1"/>
  <c r="U51" i="35"/>
  <c r="U92" i="35" s="1"/>
  <c r="AK51" i="35"/>
  <c r="AK92" i="35" s="1"/>
  <c r="BA51" i="35"/>
  <c r="BA92" i="35" s="1"/>
  <c r="AD46" i="35"/>
  <c r="AD90" i="35" s="1"/>
  <c r="AT46" i="35"/>
  <c r="AT90" i="35" s="1"/>
  <c r="BJ46" i="35"/>
  <c r="BJ90" i="35" s="1"/>
  <c r="F51" i="35"/>
  <c r="F92" i="35" s="1"/>
  <c r="V51" i="35"/>
  <c r="V92" i="35" s="1"/>
  <c r="AL51" i="35"/>
  <c r="AL92" i="35" s="1"/>
  <c r="BB51" i="35"/>
  <c r="BB92" i="35" s="1"/>
  <c r="J36" i="29"/>
  <c r="M90" i="35"/>
  <c r="G90" i="35"/>
  <c r="F90" i="35"/>
  <c r="E48" i="35"/>
  <c r="AB90" i="35"/>
  <c r="R90" i="35"/>
  <c r="AH90" i="35"/>
  <c r="AQ90" i="35"/>
  <c r="P88" i="28"/>
  <c r="K36" i="29"/>
  <c r="E28" i="29"/>
  <c r="L36" i="29"/>
  <c r="Q88" i="28"/>
  <c r="M36" i="29"/>
  <c r="N36" i="29"/>
  <c r="O36" i="29"/>
  <c r="P36" i="29"/>
  <c r="Q36" i="29"/>
  <c r="R36" i="29"/>
  <c r="V88" i="28"/>
  <c r="S36" i="29"/>
  <c r="T36" i="29"/>
  <c r="AD88" i="28"/>
  <c r="AE88" i="28"/>
  <c r="AF88" i="28"/>
  <c r="AH88" i="28"/>
  <c r="AI88" i="28"/>
  <c r="AL88" i="28"/>
  <c r="AN88" i="28"/>
  <c r="AO88" i="28"/>
  <c r="AQ88" i="28"/>
  <c r="AR88" i="28"/>
  <c r="AV88" i="28"/>
  <c r="AX88" i="28"/>
  <c r="AZ88" i="28"/>
  <c r="BF88" i="28"/>
  <c r="D105" i="28"/>
  <c r="E103" i="28" s="1"/>
  <c r="E106" i="28" s="1"/>
  <c r="E104" i="28" s="1"/>
  <c r="BH42" i="28"/>
  <c r="BL42" i="28"/>
  <c r="AC42" i="1"/>
  <c r="N66" i="1"/>
  <c r="J42" i="1"/>
  <c r="AB66" i="1"/>
  <c r="Y42" i="1"/>
  <c r="F66" i="1"/>
  <c r="AL42" i="28"/>
  <c r="T66" i="1"/>
  <c r="X42" i="28"/>
  <c r="BC42" i="1"/>
  <c r="S42" i="1"/>
  <c r="AZ66" i="1"/>
  <c r="BD66" i="1"/>
  <c r="BC66" i="1"/>
  <c r="N42" i="1"/>
  <c r="O42" i="28"/>
  <c r="AK66" i="1"/>
  <c r="AN66" i="1"/>
  <c r="V42" i="1"/>
  <c r="BE66" i="1"/>
  <c r="Q42" i="28"/>
  <c r="AF42" i="1"/>
  <c r="BI42" i="1"/>
  <c r="AE66" i="1"/>
  <c r="AG42" i="28"/>
  <c r="G66" i="1"/>
  <c r="AI42" i="1"/>
  <c r="AE42" i="28"/>
  <c r="BG42" i="28"/>
  <c r="BK66" i="1"/>
  <c r="BE42" i="1"/>
  <c r="E20" i="16"/>
  <c r="AW66" i="1"/>
  <c r="K42" i="1"/>
  <c r="BH66" i="1"/>
  <c r="AS42" i="1"/>
  <c r="AB42" i="28"/>
  <c r="F42" i="28"/>
  <c r="BG66" i="1"/>
  <c r="O66" i="1"/>
  <c r="U42" i="1"/>
  <c r="G25" i="1"/>
  <c r="BB42" i="1"/>
  <c r="E25" i="1"/>
  <c r="BG42" i="1"/>
  <c r="G24" i="24"/>
  <c r="G42" i="28"/>
  <c r="AW42" i="28"/>
  <c r="AI42" i="28"/>
  <c r="BL66" i="1"/>
  <c r="Z42" i="28"/>
  <c r="AD66" i="1"/>
  <c r="AT42" i="1"/>
  <c r="I42" i="28"/>
  <c r="AZ42" i="28"/>
  <c r="W66" i="1"/>
  <c r="M42" i="1"/>
  <c r="L42" i="1"/>
  <c r="J25" i="1"/>
  <c r="S66" i="1"/>
  <c r="AQ66" i="1"/>
  <c r="AR42" i="1"/>
  <c r="AT66" i="1"/>
  <c r="Q42" i="1"/>
  <c r="AN42" i="1"/>
  <c r="P66" i="1"/>
  <c r="AF42" i="28"/>
  <c r="AU66" i="1"/>
  <c r="K25" i="1"/>
  <c r="AH42" i="1"/>
  <c r="J42" i="28"/>
  <c r="BL42" i="1"/>
  <c r="BF66" i="1"/>
  <c r="AD42" i="1"/>
  <c r="AR42" i="28"/>
  <c r="W42" i="28"/>
  <c r="L42" i="28"/>
  <c r="I25" i="1"/>
  <c r="H42" i="28"/>
  <c r="T42" i="28"/>
  <c r="BJ42" i="28"/>
  <c r="AH42" i="28"/>
  <c r="V42" i="28"/>
  <c r="M42" i="28"/>
  <c r="Z42" i="1"/>
  <c r="L66" i="1"/>
  <c r="BC42" i="28"/>
  <c r="H42" i="1"/>
  <c r="AW42" i="1"/>
  <c r="E42" i="1"/>
  <c r="BB42" i="28"/>
  <c r="BH42" i="1"/>
  <c r="AJ66" i="1"/>
  <c r="AF66" i="1"/>
  <c r="J66" i="1"/>
  <c r="AS66" i="1"/>
  <c r="BD42" i="1"/>
  <c r="BB66" i="1"/>
  <c r="AY42" i="28"/>
  <c r="AV66" i="1"/>
  <c r="AB42" i="1"/>
  <c r="AX66" i="1"/>
  <c r="BJ66" i="1"/>
  <c r="AY42" i="1"/>
  <c r="Y66" i="1"/>
  <c r="X42" i="1"/>
  <c r="G23" i="24"/>
  <c r="S42" i="28"/>
  <c r="P42" i="1"/>
  <c r="BA66" i="1"/>
  <c r="M66" i="1"/>
  <c r="N25" i="1"/>
  <c r="N42" i="28"/>
  <c r="AZ42" i="1"/>
  <c r="BD42" i="28"/>
  <c r="BI66" i="1"/>
  <c r="AJ42" i="1"/>
  <c r="AS42" i="28"/>
  <c r="AO66" i="1"/>
  <c r="P42" i="28"/>
  <c r="AU42" i="1"/>
  <c r="BI42" i="28"/>
  <c r="AM42" i="1"/>
  <c r="AT42" i="28"/>
  <c r="BA42" i="1"/>
  <c r="H66" i="1"/>
  <c r="L25" i="1"/>
  <c r="AC66" i="1"/>
  <c r="AA42" i="28"/>
  <c r="AA42" i="1"/>
  <c r="E66" i="1"/>
  <c r="AV42" i="28"/>
  <c r="AR66" i="1"/>
  <c r="AA66" i="1"/>
  <c r="U42" i="28"/>
  <c r="I66" i="1"/>
  <c r="AI66" i="1"/>
  <c r="E42" i="28"/>
  <c r="K66" i="1"/>
  <c r="BF42" i="28"/>
  <c r="F25" i="1"/>
  <c r="AO42" i="28"/>
  <c r="AD42" i="28"/>
  <c r="I42" i="1"/>
  <c r="K42" i="28"/>
  <c r="AO42" i="1"/>
  <c r="G42" i="1"/>
  <c r="AQ42" i="1"/>
  <c r="AX42" i="1"/>
  <c r="T42" i="1"/>
  <c r="AH66" i="1"/>
  <c r="AV42" i="1"/>
  <c r="X66" i="1"/>
  <c r="U66" i="1"/>
  <c r="Q66" i="1"/>
  <c r="AM42" i="28"/>
  <c r="BK42" i="28"/>
  <c r="AY66" i="1"/>
  <c r="R66" i="1"/>
  <c r="H25" i="1"/>
  <c r="V66" i="1"/>
  <c r="R42" i="1"/>
  <c r="AK42" i="1"/>
  <c r="AJ42" i="28"/>
  <c r="AG66" i="1"/>
  <c r="R42" i="28"/>
  <c r="AL66" i="1"/>
  <c r="F80" i="28"/>
  <c r="O42" i="1"/>
  <c r="Y42" i="28"/>
  <c r="BK42" i="1"/>
  <c r="AN42" i="28"/>
  <c r="M25" i="1"/>
  <c r="AL42" i="1"/>
  <c r="W42" i="1"/>
  <c r="AK42" i="28"/>
  <c r="AG42" i="1"/>
  <c r="AC42" i="28"/>
  <c r="AP66" i="1"/>
  <c r="AE42" i="1"/>
  <c r="AX42" i="28"/>
  <c r="AP42" i="28"/>
  <c r="Z66" i="1"/>
  <c r="BJ42" i="1"/>
  <c r="BE42" i="28"/>
  <c r="AP42" i="1"/>
  <c r="BA42" i="28"/>
  <c r="AQ42" i="28"/>
  <c r="F80" i="1"/>
  <c r="BF42" i="1"/>
  <c r="F42" i="1"/>
  <c r="AM66" i="1"/>
  <c r="AU42" i="28"/>
  <c r="E29" i="17" l="1"/>
  <c r="H48" i="1"/>
  <c r="H45" i="1"/>
  <c r="H46" i="1"/>
  <c r="O14" i="10"/>
  <c r="O12" i="4"/>
  <c r="O30" i="15" s="1"/>
  <c r="AN38" i="26"/>
  <c r="AN47" i="26"/>
  <c r="T38" i="26"/>
  <c r="T47" i="26"/>
  <c r="I44" i="31"/>
  <c r="I53" i="31"/>
  <c r="AG53" i="31"/>
  <c r="AG44" i="31"/>
  <c r="AS44" i="31"/>
  <c r="AS53" i="31"/>
  <c r="AW53" i="31"/>
  <c r="AW44" i="31"/>
  <c r="BI53" i="31"/>
  <c r="BI44" i="31"/>
  <c r="L16" i="31"/>
  <c r="D101" i="31"/>
  <c r="AA48" i="1"/>
  <c r="AA46" i="1"/>
  <c r="AA45" i="1"/>
  <c r="AA47" i="1" s="1"/>
  <c r="O46" i="1"/>
  <c r="O48" i="1"/>
  <c r="O45" i="1"/>
  <c r="O47" i="1" s="1"/>
  <c r="W12" i="4"/>
  <c r="W30" i="5" s="1"/>
  <c r="W14" i="10"/>
  <c r="K12" i="4"/>
  <c r="K14" i="10"/>
  <c r="F31" i="1"/>
  <c r="G31" i="1" s="1"/>
  <c r="H31" i="1" s="1"/>
  <c r="I31" i="1" s="1"/>
  <c r="J31" i="1" s="1"/>
  <c r="K31" i="1" s="1"/>
  <c r="L31" i="1" s="1"/>
  <c r="M31" i="1" s="1"/>
  <c r="N31" i="1" s="1"/>
  <c r="AX30" i="8"/>
  <c r="AX36" i="8"/>
  <c r="AF38" i="26"/>
  <c r="AF47" i="26"/>
  <c r="X38" i="26"/>
  <c r="X47" i="26"/>
  <c r="L38" i="26"/>
  <c r="L47" i="26"/>
  <c r="AO53" i="31"/>
  <c r="AO44" i="31"/>
  <c r="W48" i="1"/>
  <c r="W46" i="1"/>
  <c r="W45" i="1"/>
  <c r="AA14" i="10"/>
  <c r="AA12" i="4"/>
  <c r="S12" i="4"/>
  <c r="S30" i="5" s="1"/>
  <c r="S14" i="10"/>
  <c r="G14" i="10"/>
  <c r="G12" i="4"/>
  <c r="BB36" i="8"/>
  <c r="BB30" i="8"/>
  <c r="AJ38" i="26"/>
  <c r="AJ47" i="26"/>
  <c r="AB38" i="26"/>
  <c r="AB47" i="26"/>
  <c r="P38" i="26"/>
  <c r="P47" i="26"/>
  <c r="H38" i="26"/>
  <c r="H47" i="26"/>
  <c r="AK53" i="31"/>
  <c r="AK44" i="31"/>
  <c r="X30" i="15"/>
  <c r="X30" i="5"/>
  <c r="H9" i="1"/>
  <c r="AE82" i="1"/>
  <c r="AE84" i="1" s="1"/>
  <c r="AE85" i="1" s="1"/>
  <c r="AM45" i="1"/>
  <c r="AM47" i="1" s="1"/>
  <c r="AM82" i="1"/>
  <c r="AM84" i="1" s="1"/>
  <c r="AM85" i="1" s="1"/>
  <c r="AN45" i="1"/>
  <c r="AI82" i="1"/>
  <c r="AI84" i="1" s="1"/>
  <c r="AI85" i="1" s="1"/>
  <c r="AH82" i="1"/>
  <c r="AH84" i="1" s="1"/>
  <c r="AH85" i="1" s="1"/>
  <c r="AC45" i="1"/>
  <c r="AC47" i="1" s="1"/>
  <c r="AG82" i="1"/>
  <c r="I27" i="1"/>
  <c r="AG45" i="1"/>
  <c r="AF45" i="1"/>
  <c r="AK82" i="1"/>
  <c r="Y70" i="1"/>
  <c r="Y83" i="1"/>
  <c r="Y84" i="1" s="1"/>
  <c r="Y85" i="1" s="1"/>
  <c r="U70" i="1"/>
  <c r="U82" i="1"/>
  <c r="U78" i="1"/>
  <c r="U83" i="1"/>
  <c r="U76" i="1"/>
  <c r="Q70" i="1"/>
  <c r="Q76" i="1"/>
  <c r="Q82" i="1"/>
  <c r="Q84" i="1" s="1"/>
  <c r="Q85" i="1" s="1"/>
  <c r="Q83" i="1"/>
  <c r="M78" i="1"/>
  <c r="M70" i="1"/>
  <c r="M82" i="1"/>
  <c r="M76" i="1"/>
  <c r="I83" i="1"/>
  <c r="I76" i="1"/>
  <c r="I78" i="1"/>
  <c r="I82" i="1"/>
  <c r="I84" i="1" s="1"/>
  <c r="I85" i="1" s="1"/>
  <c r="G27" i="1"/>
  <c r="R82" i="1"/>
  <c r="X82" i="1"/>
  <c r="X84" i="1" s="1"/>
  <c r="X85" i="1" s="1"/>
  <c r="Z82" i="1"/>
  <c r="Z84" i="1" s="1"/>
  <c r="Z85" i="1" s="1"/>
  <c r="S82" i="1"/>
  <c r="X45" i="1"/>
  <c r="R45" i="1"/>
  <c r="R47" i="1" s="1"/>
  <c r="F11" i="1"/>
  <c r="Y45" i="1"/>
  <c r="Y47" i="1" s="1"/>
  <c r="U45" i="1"/>
  <c r="U47" i="1" s="1"/>
  <c r="V82" i="1"/>
  <c r="V84" i="1" s="1"/>
  <c r="V85" i="1" s="1"/>
  <c r="Z45" i="1"/>
  <c r="Z47" i="1" s="1"/>
  <c r="AA82" i="1"/>
  <c r="AA84" i="1" s="1"/>
  <c r="AA85" i="1" s="1"/>
  <c r="J30" i="1"/>
  <c r="J28" i="1"/>
  <c r="J27" i="1"/>
  <c r="F30" i="1"/>
  <c r="F27" i="1"/>
  <c r="F28" i="1"/>
  <c r="F29" i="1" s="1"/>
  <c r="BJ46" i="1"/>
  <c r="BJ48" i="1"/>
  <c r="AX48" i="1"/>
  <c r="AX45" i="1"/>
  <c r="AX47" i="1" s="1"/>
  <c r="AX46" i="1"/>
  <c r="AT48" i="1"/>
  <c r="AT46" i="1"/>
  <c r="AT45" i="1"/>
  <c r="AT47" i="1" s="1"/>
  <c r="AP48" i="1"/>
  <c r="AP46" i="1"/>
  <c r="AP45" i="1"/>
  <c r="AL48" i="1"/>
  <c r="AL46" i="1"/>
  <c r="AL45" i="1"/>
  <c r="AL47" i="1" s="1"/>
  <c r="AH48" i="1"/>
  <c r="AH45" i="1"/>
  <c r="AH47" i="1" s="1"/>
  <c r="AD48" i="1"/>
  <c r="AD45" i="1"/>
  <c r="AD47" i="1" s="1"/>
  <c r="BI36" i="18"/>
  <c r="BI42" i="18"/>
  <c r="BE36" i="18"/>
  <c r="BE42" i="18"/>
  <c r="BA36" i="18"/>
  <c r="BA42" i="18"/>
  <c r="AS36" i="18"/>
  <c r="AS42" i="18"/>
  <c r="AO36" i="18"/>
  <c r="AO42" i="18"/>
  <c r="AK36" i="18"/>
  <c r="AK42" i="18"/>
  <c r="I42" i="18"/>
  <c r="I36" i="18"/>
  <c r="E42" i="18"/>
  <c r="E43" i="18" s="1"/>
  <c r="E36" i="18"/>
  <c r="E37" i="18" s="1"/>
  <c r="AQ38" i="26"/>
  <c r="AQ47" i="26"/>
  <c r="AM46" i="28"/>
  <c r="H32" i="30"/>
  <c r="H26" i="30"/>
  <c r="AE32" i="30"/>
  <c r="AE26" i="30"/>
  <c r="AI32" i="30"/>
  <c r="AI26" i="30"/>
  <c r="AM32" i="30"/>
  <c r="AM26" i="30"/>
  <c r="AU32" i="30"/>
  <c r="AU26" i="30"/>
  <c r="AY32" i="30"/>
  <c r="AY26" i="30"/>
  <c r="BC32" i="30"/>
  <c r="BC26" i="30"/>
  <c r="BK32" i="30"/>
  <c r="BK26" i="30"/>
  <c r="E88" i="1"/>
  <c r="E91" i="1" s="1"/>
  <c r="BL78" i="1"/>
  <c r="BL76" i="1"/>
  <c r="BL70" i="1"/>
  <c r="BL83" i="1"/>
  <c r="BD70" i="1"/>
  <c r="BD76" i="1"/>
  <c r="AV78" i="1"/>
  <c r="AV70" i="1"/>
  <c r="AV76" i="1"/>
  <c r="AV82" i="1"/>
  <c r="AV84" i="1" s="1"/>
  <c r="AV85" i="1" s="1"/>
  <c r="AR70" i="1"/>
  <c r="AR78" i="1"/>
  <c r="AR76" i="1"/>
  <c r="AR82" i="1"/>
  <c r="AJ76" i="1"/>
  <c r="AJ70" i="1"/>
  <c r="AF82" i="1"/>
  <c r="AF76" i="1"/>
  <c r="AF83" i="1"/>
  <c r="AB70" i="1"/>
  <c r="AB83" i="1"/>
  <c r="AB76" i="1"/>
  <c r="AB36" i="8"/>
  <c r="AB30" i="8"/>
  <c r="X36" i="8"/>
  <c r="X30" i="8"/>
  <c r="T36" i="8"/>
  <c r="T30" i="8"/>
  <c r="P36" i="8"/>
  <c r="P30" i="8"/>
  <c r="E11" i="15"/>
  <c r="E14" i="15" s="1"/>
  <c r="F10" i="17"/>
  <c r="G9" i="17"/>
  <c r="P48" i="28"/>
  <c r="P46" i="28"/>
  <c r="P45" i="28"/>
  <c r="T48" i="28"/>
  <c r="T46" i="28"/>
  <c r="X48" i="28"/>
  <c r="X46" i="28"/>
  <c r="AB48" i="28"/>
  <c r="AB46" i="28"/>
  <c r="AI48" i="28"/>
  <c r="AI46" i="28"/>
  <c r="AQ48" i="28"/>
  <c r="AQ46" i="28"/>
  <c r="AY48" i="28"/>
  <c r="AY46" i="28"/>
  <c r="BK48" i="28"/>
  <c r="BK46" i="28"/>
  <c r="G8" i="29"/>
  <c r="G35" i="29" s="1"/>
  <c r="H6" i="29"/>
  <c r="E26" i="30"/>
  <c r="E32" i="30"/>
  <c r="E33" i="30" s="1"/>
  <c r="BH83" i="1"/>
  <c r="BH78" i="1"/>
  <c r="BH70" i="1"/>
  <c r="AZ70" i="1"/>
  <c r="AZ83" i="1"/>
  <c r="AZ82" i="1"/>
  <c r="AN83" i="1"/>
  <c r="AN84" i="1" s="1"/>
  <c r="AN85" i="1" s="1"/>
  <c r="AN82" i="1"/>
  <c r="AL82" i="1"/>
  <c r="AL84" i="1" s="1"/>
  <c r="AL85" i="1" s="1"/>
  <c r="AJ45" i="1"/>
  <c r="V45" i="1"/>
  <c r="V47" i="1" s="1"/>
  <c r="M83" i="1"/>
  <c r="E12" i="15"/>
  <c r="AB82" i="1"/>
  <c r="AB84" i="1" s="1"/>
  <c r="AB85" i="1" s="1"/>
  <c r="BD83" i="1"/>
  <c r="AR83" i="1"/>
  <c r="AZ78" i="1"/>
  <c r="AU36" i="8"/>
  <c r="AU30" i="8"/>
  <c r="AQ30" i="8"/>
  <c r="AQ36" i="8"/>
  <c r="AM36" i="8"/>
  <c r="AM30" i="8"/>
  <c r="J84" i="28"/>
  <c r="J85" i="28" s="1"/>
  <c r="J88" i="28" s="1"/>
  <c r="AQ26" i="30"/>
  <c r="Q45" i="28"/>
  <c r="AA45" i="28"/>
  <c r="AA47" i="28" s="1"/>
  <c r="G9" i="28"/>
  <c r="M45" i="28"/>
  <c r="M46" i="28"/>
  <c r="BH84" i="28"/>
  <c r="BH85" i="28" s="1"/>
  <c r="BH88" i="28" s="1"/>
  <c r="E39" i="26"/>
  <c r="AK84" i="28"/>
  <c r="AK85" i="28" s="1"/>
  <c r="AK88" i="28" s="1"/>
  <c r="O84" i="28"/>
  <c r="O85" i="28" s="1"/>
  <c r="O88" i="28" s="1"/>
  <c r="AA84" i="28"/>
  <c r="AA85" i="28" s="1"/>
  <c r="AA88" i="28" s="1"/>
  <c r="E35" i="33"/>
  <c r="D16" i="33" s="1"/>
  <c r="D17" i="33" s="1"/>
  <c r="D18" i="33" s="1"/>
  <c r="F84" i="1"/>
  <c r="F85" i="1" s="1"/>
  <c r="W42" i="18"/>
  <c r="F43" i="18"/>
  <c r="G43" i="18" s="1"/>
  <c r="H43" i="18" s="1"/>
  <c r="I43" i="18" s="1"/>
  <c r="P47" i="28"/>
  <c r="J84" i="1"/>
  <c r="J85" i="1" s="1"/>
  <c r="K42" i="18"/>
  <c r="E84" i="28"/>
  <c r="E85" i="28" s="1"/>
  <c r="E88" i="28" s="1"/>
  <c r="M84" i="28"/>
  <c r="M85" i="28" s="1"/>
  <c r="M88" i="28" s="1"/>
  <c r="AC84" i="28"/>
  <c r="AC85" i="28" s="1"/>
  <c r="AC88" i="28" s="1"/>
  <c r="AW84" i="28"/>
  <c r="AW85" i="28" s="1"/>
  <c r="AW88" i="28" s="1"/>
  <c r="W84" i="28"/>
  <c r="W85" i="28" s="1"/>
  <c r="W88" i="28" s="1"/>
  <c r="N47" i="1"/>
  <c r="AS84" i="28"/>
  <c r="AS85" i="28" s="1"/>
  <c r="AS88" i="28" s="1"/>
  <c r="S84" i="28"/>
  <c r="S85" i="28" s="1"/>
  <c r="S88" i="28" s="1"/>
  <c r="Y44" i="31"/>
  <c r="Q123" i="37"/>
  <c r="R45" i="37"/>
  <c r="D61" i="36"/>
  <c r="H61" i="36" s="1"/>
  <c r="AO48" i="1"/>
  <c r="AO46" i="1"/>
  <c r="AO45" i="1"/>
  <c r="AO36" i="8"/>
  <c r="AO30" i="8"/>
  <c r="AN42" i="18"/>
  <c r="AN36" i="18"/>
  <c r="P53" i="31"/>
  <c r="P44" i="31"/>
  <c r="AV53" i="31"/>
  <c r="AV44" i="31"/>
  <c r="BD53" i="31"/>
  <c r="BD44" i="31"/>
  <c r="AO76" i="1"/>
  <c r="R14" i="10"/>
  <c r="AD70" i="1"/>
  <c r="AD78" i="1"/>
  <c r="AD82" i="1"/>
  <c r="AD84" i="1" s="1"/>
  <c r="AD85" i="1" s="1"/>
  <c r="AD76" i="1"/>
  <c r="W70" i="1"/>
  <c r="W83" i="1"/>
  <c r="W82" i="1"/>
  <c r="W76" i="1"/>
  <c r="S78" i="1"/>
  <c r="S70" i="1"/>
  <c r="S83" i="1"/>
  <c r="S84" i="1" s="1"/>
  <c r="S85" i="1" s="1"/>
  <c r="O82" i="1"/>
  <c r="O83" i="1"/>
  <c r="O76" i="1"/>
  <c r="O78" i="1"/>
  <c r="K82" i="1"/>
  <c r="K76" i="1"/>
  <c r="K83" i="1"/>
  <c r="G82" i="1"/>
  <c r="G83" i="1"/>
  <c r="G70" i="1"/>
  <c r="G78" i="1"/>
  <c r="L30" i="1"/>
  <c r="L28" i="1"/>
  <c r="H30" i="1"/>
  <c r="H27" i="1"/>
  <c r="BH48" i="1"/>
  <c r="BH46" i="1"/>
  <c r="BD46" i="1"/>
  <c r="BD48" i="1"/>
  <c r="AZ48" i="1"/>
  <c r="AZ46" i="1"/>
  <c r="AZ45" i="1"/>
  <c r="AZ47" i="1" s="1"/>
  <c r="AV46" i="1"/>
  <c r="AV45" i="1"/>
  <c r="E27" i="1"/>
  <c r="E28" i="1"/>
  <c r="E29" i="1" s="1"/>
  <c r="BJ30" i="8"/>
  <c r="BJ36" i="8"/>
  <c r="BF30" i="8"/>
  <c r="BF36" i="8"/>
  <c r="G13" i="22"/>
  <c r="F13" i="22"/>
  <c r="F24" i="22" s="1"/>
  <c r="E13" i="22"/>
  <c r="H12" i="21"/>
  <c r="H14" i="21"/>
  <c r="H17" i="21" s="1"/>
  <c r="H18" i="21" s="1"/>
  <c r="Q47" i="28"/>
  <c r="AO48" i="28"/>
  <c r="AC26" i="30"/>
  <c r="AC32" i="30"/>
  <c r="AG26" i="30"/>
  <c r="AG32" i="30"/>
  <c r="AK26" i="30"/>
  <c r="AK32" i="30"/>
  <c r="AO26" i="30"/>
  <c r="AO32" i="30"/>
  <c r="AS26" i="30"/>
  <c r="AS32" i="30"/>
  <c r="BA26" i="30"/>
  <c r="BA32" i="30"/>
  <c r="BE26" i="30"/>
  <c r="BE32" i="30"/>
  <c r="BI26" i="30"/>
  <c r="BI32" i="30"/>
  <c r="AZ44" i="31"/>
  <c r="F37" i="18"/>
  <c r="E89" i="18"/>
  <c r="AS48" i="1"/>
  <c r="AS45" i="1"/>
  <c r="AS47" i="1" s="1"/>
  <c r="AK36" i="8"/>
  <c r="AK30" i="8"/>
  <c r="AR36" i="18"/>
  <c r="AR42" i="18"/>
  <c r="AB53" i="31"/>
  <c r="AB44" i="31"/>
  <c r="AS30" i="8"/>
  <c r="AV30" i="8"/>
  <c r="BI83" i="1"/>
  <c r="BI78" i="1"/>
  <c r="BI70" i="1"/>
  <c r="BE78" i="1"/>
  <c r="BE83" i="1"/>
  <c r="BA78" i="1"/>
  <c r="BA70" i="1"/>
  <c r="BA76" i="1"/>
  <c r="AW83" i="1"/>
  <c r="AW78" i="1"/>
  <c r="AW76" i="1"/>
  <c r="AS76" i="1"/>
  <c r="AS83" i="1"/>
  <c r="AO78" i="1"/>
  <c r="AO82" i="1"/>
  <c r="AO83" i="1"/>
  <c r="AK78" i="1"/>
  <c r="AK83" i="1"/>
  <c r="AK84" i="1" s="1"/>
  <c r="AK85" i="1" s="1"/>
  <c r="AK76" i="1"/>
  <c r="AK70" i="1"/>
  <c r="AG83" i="1"/>
  <c r="AG84" i="1" s="1"/>
  <c r="AG85" i="1" s="1"/>
  <c r="AG70" i="1"/>
  <c r="AG76" i="1"/>
  <c r="Q48" i="1"/>
  <c r="Q45" i="1"/>
  <c r="Q46" i="1"/>
  <c r="J45" i="1"/>
  <c r="J48" i="1"/>
  <c r="G48" i="1"/>
  <c r="G45" i="1"/>
  <c r="G47" i="1" s="1"/>
  <c r="V14" i="10"/>
  <c r="V12" i="4"/>
  <c r="V30" i="15" s="1"/>
  <c r="R30" i="15"/>
  <c r="R30" i="5"/>
  <c r="N14" i="10"/>
  <c r="N12" i="4"/>
  <c r="J12" i="4"/>
  <c r="J30" i="5" s="1"/>
  <c r="J14" i="10"/>
  <c r="F14" i="10"/>
  <c r="F12" i="4"/>
  <c r="E30" i="8"/>
  <c r="E31" i="8" s="1"/>
  <c r="F31" i="8" s="1"/>
  <c r="E36" i="8"/>
  <c r="E37" i="8" s="1"/>
  <c r="F37" i="8" s="1"/>
  <c r="G37" i="8" s="1"/>
  <c r="G46" i="28"/>
  <c r="G45" i="28"/>
  <c r="K45" i="28"/>
  <c r="K47" i="28" s="1"/>
  <c r="K48" i="28"/>
  <c r="O48" i="28"/>
  <c r="O46" i="28"/>
  <c r="O47" i="28" s="1"/>
  <c r="AK48" i="28"/>
  <c r="AK46" i="28"/>
  <c r="AW48" i="28"/>
  <c r="AW46" i="28"/>
  <c r="BA48" i="28"/>
  <c r="BA46" i="28"/>
  <c r="S32" i="30"/>
  <c r="S26" i="30"/>
  <c r="BC30" i="8"/>
  <c r="BC36" i="8"/>
  <c r="AG36" i="8"/>
  <c r="AG30" i="8"/>
  <c r="BL53" i="31"/>
  <c r="BL44" i="31"/>
  <c r="BD36" i="18"/>
  <c r="AC30" i="5"/>
  <c r="AC30" i="15"/>
  <c r="AW82" i="1"/>
  <c r="AW84" i="1" s="1"/>
  <c r="AW85" i="1" s="1"/>
  <c r="BE76" i="1"/>
  <c r="AS78" i="1"/>
  <c r="BA83" i="1"/>
  <c r="AW70" i="1"/>
  <c r="Z12" i="4"/>
  <c r="Z30" i="5" s="1"/>
  <c r="AE48" i="1"/>
  <c r="AE45" i="1"/>
  <c r="AE47" i="1" s="1"/>
  <c r="AB48" i="1"/>
  <c r="AB46" i="1"/>
  <c r="AB45" i="1"/>
  <c r="X48" i="1"/>
  <c r="X46" i="1"/>
  <c r="X47" i="1" s="1"/>
  <c r="T48" i="1"/>
  <c r="T45" i="1"/>
  <c r="T46" i="1"/>
  <c r="T47" i="1" s="1"/>
  <c r="AA30" i="8"/>
  <c r="AA36" i="8"/>
  <c r="O30" i="8"/>
  <c r="O36" i="8"/>
  <c r="K36" i="8"/>
  <c r="K30" i="8"/>
  <c r="H36" i="8"/>
  <c r="H30" i="8"/>
  <c r="E32" i="14"/>
  <c r="F32" i="14"/>
  <c r="AC36" i="18"/>
  <c r="AC42" i="18"/>
  <c r="Y36" i="18"/>
  <c r="Y42" i="18"/>
  <c r="U36" i="18"/>
  <c r="U42" i="18"/>
  <c r="Q36" i="18"/>
  <c r="Q42" i="18"/>
  <c r="M36" i="18"/>
  <c r="M42" i="18"/>
  <c r="E14" i="24"/>
  <c r="E21" i="24" s="1"/>
  <c r="E32" i="24"/>
  <c r="BJ38" i="26"/>
  <c r="BJ47" i="26"/>
  <c r="BB38" i="26"/>
  <c r="BB47" i="26"/>
  <c r="AG38" i="26"/>
  <c r="AG47" i="26"/>
  <c r="U38" i="26"/>
  <c r="U47" i="26"/>
  <c r="AS46" i="28"/>
  <c r="AW32" i="30"/>
  <c r="AF84" i="1"/>
  <c r="AF85" i="1" s="1"/>
  <c r="H47" i="1"/>
  <c r="L27" i="1"/>
  <c r="L29" i="1" s="1"/>
  <c r="F49" i="28"/>
  <c r="G49" i="28" s="1"/>
  <c r="H49" i="28" s="1"/>
  <c r="U84" i="28"/>
  <c r="U85" i="28" s="1"/>
  <c r="U88" i="28" s="1"/>
  <c r="G48" i="26"/>
  <c r="H48" i="26" s="1"/>
  <c r="I48" i="26" s="1"/>
  <c r="J48" i="26" s="1"/>
  <c r="F96" i="1"/>
  <c r="G96" i="1" s="1"/>
  <c r="H96" i="1" s="1"/>
  <c r="I96" i="1" s="1"/>
  <c r="J96" i="1" s="1"/>
  <c r="K96" i="1" s="1"/>
  <c r="L96" i="1" s="1"/>
  <c r="M96" i="1" s="1"/>
  <c r="N96" i="1" s="1"/>
  <c r="O96" i="1" s="1"/>
  <c r="P96" i="1" s="1"/>
  <c r="Q96" i="1" s="1"/>
  <c r="R96" i="1" s="1"/>
  <c r="S96" i="1" s="1"/>
  <c r="T96" i="1" s="1"/>
  <c r="U96" i="1" s="1"/>
  <c r="V96" i="1" s="1"/>
  <c r="W96" i="1" s="1"/>
  <c r="X96" i="1" s="1"/>
  <c r="Y96" i="1" s="1"/>
  <c r="Z96" i="1" s="1"/>
  <c r="AA96" i="1" s="1"/>
  <c r="AR84" i="1"/>
  <c r="AR85" i="1" s="1"/>
  <c r="H32" i="14"/>
  <c r="E41" i="29"/>
  <c r="AN47" i="1"/>
  <c r="R84" i="1"/>
  <c r="R85" i="1" s="1"/>
  <c r="BD84" i="28"/>
  <c r="BD85" i="28" s="1"/>
  <c r="BD88" i="28" s="1"/>
  <c r="F17" i="9"/>
  <c r="G17" i="9" s="1"/>
  <c r="H17" i="9" s="1"/>
  <c r="I17" i="9" s="1"/>
  <c r="J17" i="9" s="1"/>
  <c r="K17" i="9" s="1"/>
  <c r="L17" i="9" s="1"/>
  <c r="M17" i="9" s="1"/>
  <c r="N17" i="9" s="1"/>
  <c r="O17" i="9" s="1"/>
  <c r="P17" i="9" s="1"/>
  <c r="Q17" i="9" s="1"/>
  <c r="R17" i="9" s="1"/>
  <c r="S17" i="9" s="1"/>
  <c r="T17" i="9" s="1"/>
  <c r="U17" i="9" s="1"/>
  <c r="V17" i="9" s="1"/>
  <c r="W17" i="9" s="1"/>
  <c r="X17" i="9" s="1"/>
  <c r="Y17" i="9" s="1"/>
  <c r="Z17" i="9" s="1"/>
  <c r="AA17" i="9" s="1"/>
  <c r="AB17" i="9" s="1"/>
  <c r="AC17" i="9" s="1"/>
  <c r="E16" i="3"/>
  <c r="F16" i="3" s="1"/>
  <c r="E27" i="30"/>
  <c r="T53" i="35"/>
  <c r="T44" i="35"/>
  <c r="L48" i="28"/>
  <c r="L46" i="28"/>
  <c r="L45" i="28"/>
  <c r="S46" i="28"/>
  <c r="S45" i="28"/>
  <c r="S47" i="28" s="1"/>
  <c r="S48" i="28"/>
  <c r="BF48" i="28"/>
  <c r="BF46" i="28"/>
  <c r="BJ48" i="28"/>
  <c r="BJ46" i="28"/>
  <c r="AJ53" i="35"/>
  <c r="AJ44" i="35"/>
  <c r="Z30" i="15"/>
  <c r="AD36" i="8"/>
  <c r="AD30" i="8"/>
  <c r="W36" i="8"/>
  <c r="W30" i="8"/>
  <c r="S36" i="8"/>
  <c r="S30" i="8"/>
  <c r="BH36" i="18"/>
  <c r="BH42" i="18"/>
  <c r="AZ36" i="18"/>
  <c r="AZ42" i="18"/>
  <c r="AV36" i="18"/>
  <c r="AV42" i="18"/>
  <c r="AJ36" i="18"/>
  <c r="AJ42" i="18"/>
  <c r="AF36" i="18"/>
  <c r="AF42" i="18"/>
  <c r="BF38" i="26"/>
  <c r="BF47" i="26"/>
  <c r="AX38" i="26"/>
  <c r="AX47" i="26"/>
  <c r="AT38" i="26"/>
  <c r="AT47" i="26"/>
  <c r="AO38" i="26"/>
  <c r="AO47" i="26"/>
  <c r="AK38" i="26"/>
  <c r="AK47" i="26"/>
  <c r="AC38" i="26"/>
  <c r="AC47" i="26"/>
  <c r="R38" i="26"/>
  <c r="R47" i="26"/>
  <c r="N38" i="26"/>
  <c r="N47" i="26"/>
  <c r="K38" i="26"/>
  <c r="K47" i="26"/>
  <c r="E49" i="35"/>
  <c r="E138" i="35"/>
  <c r="AZ53" i="35"/>
  <c r="AZ44" i="35"/>
  <c r="J6" i="24"/>
  <c r="M84" i="1"/>
  <c r="M85" i="1" s="1"/>
  <c r="AB12" i="4"/>
  <c r="AY70" i="1"/>
  <c r="V30" i="5"/>
  <c r="AN78" i="1"/>
  <c r="AN70" i="1"/>
  <c r="AJ83" i="1"/>
  <c r="AJ78" i="1"/>
  <c r="AF78" i="1"/>
  <c r="AF70" i="1"/>
  <c r="AC78" i="1"/>
  <c r="AC83" i="1"/>
  <c r="AC84" i="1" s="1"/>
  <c r="AC85" i="1" s="1"/>
  <c r="S46" i="1"/>
  <c r="S48" i="1"/>
  <c r="S45" i="1"/>
  <c r="P45" i="1"/>
  <c r="P47" i="1" s="1"/>
  <c r="P48" i="1"/>
  <c r="BI36" i="8"/>
  <c r="BI30" i="8"/>
  <c r="G11" i="22"/>
  <c r="F12" i="22"/>
  <c r="F12" i="21"/>
  <c r="F14" i="21"/>
  <c r="F17" i="21" s="1"/>
  <c r="F18" i="21" s="1"/>
  <c r="E19" i="21" s="1"/>
  <c r="F19" i="21" s="1"/>
  <c r="AV26" i="30"/>
  <c r="Y32" i="30"/>
  <c r="F11" i="28"/>
  <c r="W45" i="28"/>
  <c r="W47" i="28" s="1"/>
  <c r="AB45" i="28"/>
  <c r="AB47" i="28" s="1"/>
  <c r="T45" i="28"/>
  <c r="T47" i="28" s="1"/>
  <c r="U45" i="28"/>
  <c r="U47" i="28" s="1"/>
  <c r="X45" i="28"/>
  <c r="X47" i="28" s="1"/>
  <c r="Y45" i="28"/>
  <c r="Y47" i="28" s="1"/>
  <c r="I48" i="28"/>
  <c r="I46" i="28"/>
  <c r="I47" i="28" s="1"/>
  <c r="BC48" i="28"/>
  <c r="BC46" i="28"/>
  <c r="BG78" i="1"/>
  <c r="BG70" i="1"/>
  <c r="BG83" i="1"/>
  <c r="BC78" i="1"/>
  <c r="BC83" i="1"/>
  <c r="AU83" i="1"/>
  <c r="AU70" i="1"/>
  <c r="AU78" i="1"/>
  <c r="AJ48" i="1"/>
  <c r="AJ46" i="1"/>
  <c r="AJ47" i="1" s="1"/>
  <c r="T30" i="15"/>
  <c r="T30" i="5"/>
  <c r="L12" i="4"/>
  <c r="L14" i="10"/>
  <c r="AI36" i="8"/>
  <c r="AI30" i="8"/>
  <c r="H8" i="12"/>
  <c r="H18" i="12" s="1"/>
  <c r="G18" i="12"/>
  <c r="G12" i="13"/>
  <c r="H12" i="13" s="1"/>
  <c r="F13" i="13"/>
  <c r="F27" i="14"/>
  <c r="G11" i="14"/>
  <c r="G21" i="14" s="1"/>
  <c r="F21" i="14"/>
  <c r="AJ48" i="28"/>
  <c r="AJ45" i="28"/>
  <c r="AJ47" i="28" s="1"/>
  <c r="AN48" i="28"/>
  <c r="AN46" i="28"/>
  <c r="AN45" i="28"/>
  <c r="AN47" i="28" s="1"/>
  <c r="AR46" i="28"/>
  <c r="AV48" i="28"/>
  <c r="AV46" i="28"/>
  <c r="AZ46" i="28"/>
  <c r="AB32" i="30"/>
  <c r="AB26" i="30"/>
  <c r="AJ32" i="30"/>
  <c r="AJ26" i="30"/>
  <c r="AN32" i="30"/>
  <c r="AN26" i="30"/>
  <c r="AR32" i="30"/>
  <c r="AR26" i="30"/>
  <c r="AZ32" i="30"/>
  <c r="AZ26" i="30"/>
  <c r="BD32" i="30"/>
  <c r="BD26" i="30"/>
  <c r="BH32" i="30"/>
  <c r="BH26" i="30"/>
  <c r="AJ84" i="1"/>
  <c r="AJ85" i="1" s="1"/>
  <c r="AF47" i="1"/>
  <c r="AG47" i="1"/>
  <c r="H12" i="4"/>
  <c r="K30" i="5"/>
  <c r="K30" i="15"/>
  <c r="W30" i="15"/>
  <c r="X70" i="1"/>
  <c r="X78" i="1"/>
  <c r="T82" i="1"/>
  <c r="T84" i="1" s="1"/>
  <c r="T85" i="1" s="1"/>
  <c r="T78" i="1"/>
  <c r="H82" i="1"/>
  <c r="H84" i="1" s="1"/>
  <c r="H85" i="1" s="1"/>
  <c r="H78" i="1"/>
  <c r="BI76" i="1"/>
  <c r="D71" i="1"/>
  <c r="AP76" i="1"/>
  <c r="AZ76" i="1"/>
  <c r="I30" i="1"/>
  <c r="I28" i="1"/>
  <c r="I29" i="1" s="1"/>
  <c r="E45" i="1"/>
  <c r="E46" i="1"/>
  <c r="E48" i="1"/>
  <c r="E49" i="1" s="1"/>
  <c r="F49" i="1" s="1"/>
  <c r="BI46" i="1"/>
  <c r="BI48" i="1"/>
  <c r="K46" i="1"/>
  <c r="K45" i="1"/>
  <c r="K48" i="1"/>
  <c r="AW36" i="8"/>
  <c r="AW30" i="8"/>
  <c r="AT36" i="8"/>
  <c r="AT30" i="8"/>
  <c r="L36" i="8"/>
  <c r="L30" i="8"/>
  <c r="I30" i="8"/>
  <c r="I36" i="8"/>
  <c r="Z36" i="18"/>
  <c r="Z42" i="18"/>
  <c r="N42" i="18"/>
  <c r="N36" i="18"/>
  <c r="J36" i="18"/>
  <c r="J42" i="18"/>
  <c r="AE45" i="28"/>
  <c r="AE47" i="28" s="1"/>
  <c r="AI45" i="28"/>
  <c r="AI47" i="28" s="1"/>
  <c r="G11" i="28"/>
  <c r="AK45" i="28"/>
  <c r="AK47" i="28" s="1"/>
  <c r="AM45" i="28"/>
  <c r="AM47" i="28" s="1"/>
  <c r="AH45" i="28"/>
  <c r="AH47" i="28" s="1"/>
  <c r="H9" i="28"/>
  <c r="AR45" i="28" s="1"/>
  <c r="AL45" i="28"/>
  <c r="AL47" i="28" s="1"/>
  <c r="V46" i="28"/>
  <c r="V45" i="28"/>
  <c r="Z48" i="28"/>
  <c r="Z46" i="28"/>
  <c r="Z45" i="28"/>
  <c r="AD48" i="28"/>
  <c r="AD46" i="28"/>
  <c r="AD45" i="28"/>
  <c r="AG46" i="28"/>
  <c r="AG45" i="28"/>
  <c r="F32" i="30"/>
  <c r="F33" i="30" s="1"/>
  <c r="G33" i="30" s="1"/>
  <c r="H33" i="30" s="1"/>
  <c r="I33" i="30" s="1"/>
  <c r="J33" i="30" s="1"/>
  <c r="K33" i="30" s="1"/>
  <c r="L33" i="30" s="1"/>
  <c r="M33" i="30" s="1"/>
  <c r="N33" i="30" s="1"/>
  <c r="F26" i="30"/>
  <c r="K32" i="30"/>
  <c r="K26" i="30"/>
  <c r="O32" i="30"/>
  <c r="O26" i="30"/>
  <c r="W32" i="30"/>
  <c r="W26" i="30"/>
  <c r="J47" i="1"/>
  <c r="AH30" i="8"/>
  <c r="F29" i="17"/>
  <c r="J48" i="28"/>
  <c r="L47" i="1"/>
  <c r="F47" i="28"/>
  <c r="N47" i="28"/>
  <c r="AQ53" i="31"/>
  <c r="AR44" i="31"/>
  <c r="T44" i="31"/>
  <c r="AE53" i="31"/>
  <c r="AU53" i="31"/>
  <c r="O53" i="31"/>
  <c r="AY53" i="31"/>
  <c r="BG53" i="31"/>
  <c r="AA53" i="31"/>
  <c r="BH44" i="31"/>
  <c r="Q44" i="31"/>
  <c r="BA44" i="31"/>
  <c r="BC53" i="31"/>
  <c r="G53" i="31"/>
  <c r="G54" i="31" s="1"/>
  <c r="K53" i="31"/>
  <c r="BE53" i="31"/>
  <c r="D134" i="35"/>
  <c r="D31" i="35"/>
  <c r="D34" i="35" s="1"/>
  <c r="D57" i="35" s="1"/>
  <c r="E122" i="35"/>
  <c r="E124" i="35" s="1"/>
  <c r="BL44" i="35"/>
  <c r="AV44" i="35"/>
  <c r="AF44" i="35"/>
  <c r="P44" i="35"/>
  <c r="E61" i="35"/>
  <c r="BH44" i="35"/>
  <c r="AR44" i="35"/>
  <c r="AB44" i="35"/>
  <c r="L44" i="35"/>
  <c r="BD44" i="35"/>
  <c r="AN44" i="35"/>
  <c r="X44" i="35"/>
  <c r="H44" i="35"/>
  <c r="L16" i="35"/>
  <c r="E57" i="36"/>
  <c r="E107" i="36"/>
  <c r="BJ47" i="36"/>
  <c r="AT47" i="36"/>
  <c r="AW56" i="36"/>
  <c r="AW107" i="36" s="1"/>
  <c r="E37" i="29"/>
  <c r="T37" i="29" s="1"/>
  <c r="T38" i="29" s="1"/>
  <c r="E21" i="29"/>
  <c r="E14" i="5"/>
  <c r="E12" i="5"/>
  <c r="E13" i="5" s="1"/>
  <c r="F11" i="5" s="1"/>
  <c r="BA93" i="35"/>
  <c r="R93" i="35"/>
  <c r="AH93" i="35"/>
  <c r="AX93" i="35"/>
  <c r="O93" i="35"/>
  <c r="AE93" i="35"/>
  <c r="AU93" i="35"/>
  <c r="BK93" i="35"/>
  <c r="AK93" i="35"/>
  <c r="BJ93" i="35"/>
  <c r="T93" i="35"/>
  <c r="AJ93" i="35"/>
  <c r="AZ93" i="35"/>
  <c r="I93" i="35"/>
  <c r="AO93" i="35"/>
  <c r="F93" i="35"/>
  <c r="V93" i="35"/>
  <c r="AL93" i="35"/>
  <c r="BB93" i="35"/>
  <c r="S93" i="35"/>
  <c r="AI93" i="35"/>
  <c r="AY93" i="35"/>
  <c r="M93" i="35"/>
  <c r="AS93" i="35"/>
  <c r="H93" i="35"/>
  <c r="X93" i="35"/>
  <c r="AN93" i="35"/>
  <c r="BD93" i="35"/>
  <c r="Q93" i="35"/>
  <c r="BE93" i="35"/>
  <c r="J93" i="35"/>
  <c r="Z93" i="35"/>
  <c r="AP93" i="35"/>
  <c r="G93" i="35"/>
  <c r="W93" i="35"/>
  <c r="AM93" i="35"/>
  <c r="BC93" i="35"/>
  <c r="U93" i="35"/>
  <c r="AW93" i="35"/>
  <c r="L93" i="35"/>
  <c r="AB93" i="35"/>
  <c r="AR93" i="35"/>
  <c r="BH93" i="35"/>
  <c r="AC93" i="35"/>
  <c r="E93" i="35"/>
  <c r="N93" i="35"/>
  <c r="AD93" i="35"/>
  <c r="AT93" i="35"/>
  <c r="K93" i="35"/>
  <c r="AA93" i="35"/>
  <c r="AQ93" i="35"/>
  <c r="BG93" i="35"/>
  <c r="Y93" i="35"/>
  <c r="BI93" i="35"/>
  <c r="P93" i="35"/>
  <c r="AF93" i="35"/>
  <c r="AV93" i="35"/>
  <c r="BL93" i="35"/>
  <c r="AG93" i="35"/>
  <c r="BF93" i="35"/>
  <c r="H11" i="14"/>
  <c r="H27" i="14" s="1"/>
  <c r="E18" i="5"/>
  <c r="X84" i="28"/>
  <c r="X85" i="28" s="1"/>
  <c r="X88" i="28" s="1"/>
  <c r="H84" i="28"/>
  <c r="H85" i="28" s="1"/>
  <c r="H88" i="28" s="1"/>
  <c r="R45" i="28"/>
  <c r="R47" i="28" s="1"/>
  <c r="J53" i="35"/>
  <c r="W84" i="1"/>
  <c r="W85" i="1" s="1"/>
  <c r="S30" i="15"/>
  <c r="AH53" i="35"/>
  <c r="BF47" i="36"/>
  <c r="AJ47" i="36"/>
  <c r="AC56" i="36"/>
  <c r="AC107" i="36" s="1"/>
  <c r="G29" i="1"/>
  <c r="Z36" i="8"/>
  <c r="E47" i="28"/>
  <c r="M47" i="28"/>
  <c r="BB53" i="35"/>
  <c r="BB47" i="36"/>
  <c r="U47" i="36"/>
  <c r="M56" i="36"/>
  <c r="M107" i="36" s="1"/>
  <c r="BK42" i="18"/>
  <c r="F35" i="34"/>
  <c r="AX47" i="36"/>
  <c r="E47" i="36"/>
  <c r="E48" i="36" s="1"/>
  <c r="E182" i="36" s="1"/>
  <c r="E17" i="16"/>
  <c r="F15" i="16" s="1"/>
  <c r="E105" i="28"/>
  <c r="F103" i="28" s="1"/>
  <c r="E92" i="1"/>
  <c r="E95" i="1" s="1"/>
  <c r="F38" i="28"/>
  <c r="F36" i="28" s="1"/>
  <c r="F37" i="28" s="1"/>
  <c r="G35" i="28" s="1"/>
  <c r="E19" i="5"/>
  <c r="F17" i="5" s="1"/>
  <c r="E37" i="15"/>
  <c r="D47" i="15"/>
  <c r="D48" i="15" s="1"/>
  <c r="D50" i="15" s="1"/>
  <c r="I8" i="12"/>
  <c r="G24" i="22"/>
  <c r="E13" i="10"/>
  <c r="E32" i="3"/>
  <c r="E29" i="15"/>
  <c r="E29" i="5"/>
  <c r="E19" i="3"/>
  <c r="E11" i="4"/>
  <c r="H13" i="13"/>
  <c r="I12" i="13"/>
  <c r="I30" i="5"/>
  <c r="I30" i="15"/>
  <c r="F16" i="12"/>
  <c r="F15" i="12"/>
  <c r="G13" i="12" s="1"/>
  <c r="BF46" i="1"/>
  <c r="H28" i="1"/>
  <c r="H29" i="1" s="1"/>
  <c r="K28" i="1"/>
  <c r="AL70" i="1"/>
  <c r="BL48" i="1"/>
  <c r="BB48" i="1"/>
  <c r="AQ48" i="1"/>
  <c r="AQ42" i="18"/>
  <c r="T42" i="18"/>
  <c r="AR36" i="8"/>
  <c r="O30" i="5"/>
  <c r="M28" i="1"/>
  <c r="M37" i="29"/>
  <c r="M38" i="29" s="1"/>
  <c r="I37" i="29"/>
  <c r="I38" i="29" s="1"/>
  <c r="S37" i="29"/>
  <c r="S38" i="29" s="1"/>
  <c r="K37" i="29"/>
  <c r="K38" i="29" s="1"/>
  <c r="U44" i="31"/>
  <c r="E44" i="31"/>
  <c r="E45" i="31" s="1"/>
  <c r="AD44" i="31"/>
  <c r="S53" i="31"/>
  <c r="AN44" i="31"/>
  <c r="H53" i="31"/>
  <c r="J53" i="31"/>
  <c r="L53" i="31"/>
  <c r="X44" i="31"/>
  <c r="AF53" i="31"/>
  <c r="AH53" i="31"/>
  <c r="AJ53" i="31"/>
  <c r="E89" i="35"/>
  <c r="AI53" i="31"/>
  <c r="W53" i="31"/>
  <c r="AC44" i="31"/>
  <c r="AM53" i="31"/>
  <c r="M44" i="31"/>
  <c r="F54" i="35"/>
  <c r="AA44" i="35"/>
  <c r="K44" i="35"/>
  <c r="K53" i="35"/>
  <c r="AQ53" i="35"/>
  <c r="AQ44" i="35"/>
  <c r="BG44" i="35"/>
  <c r="BG53" i="35"/>
  <c r="F44" i="35"/>
  <c r="F45" i="35" s="1"/>
  <c r="N44" i="35"/>
  <c r="R44" i="35"/>
  <c r="V44" i="35"/>
  <c r="Z44" i="35"/>
  <c r="AD44" i="35"/>
  <c r="AL44" i="35"/>
  <c r="AP44" i="35"/>
  <c r="AT44" i="35"/>
  <c r="AX44" i="35"/>
  <c r="BF44" i="35"/>
  <c r="BJ44" i="35"/>
  <c r="AF47" i="36"/>
  <c r="AR47" i="36"/>
  <c r="H56" i="36"/>
  <c r="H107" i="36" s="1"/>
  <c r="H47" i="36"/>
  <c r="L56" i="36"/>
  <c r="L107" i="36" s="1"/>
  <c r="L47" i="36"/>
  <c r="P56" i="36"/>
  <c r="P107" i="36" s="1"/>
  <c r="P47" i="36"/>
  <c r="T56" i="36"/>
  <c r="T107" i="36" s="1"/>
  <c r="T47" i="36"/>
  <c r="X56" i="36"/>
  <c r="X107" i="36" s="1"/>
  <c r="X47" i="36"/>
  <c r="AB56" i="36"/>
  <c r="AB107" i="36" s="1"/>
  <c r="AB47" i="36"/>
  <c r="AV56" i="36"/>
  <c r="AV107" i="36" s="1"/>
  <c r="AV47" i="36"/>
  <c r="AZ56" i="36"/>
  <c r="AZ107" i="36" s="1"/>
  <c r="AZ47" i="36"/>
  <c r="BD56" i="36"/>
  <c r="BD107" i="36" s="1"/>
  <c r="BD47" i="36"/>
  <c r="BH56" i="36"/>
  <c r="BH107" i="36" s="1"/>
  <c r="BH47" i="36"/>
  <c r="BL56" i="36"/>
  <c r="BL107" i="36" s="1"/>
  <c r="BL47" i="36"/>
  <c r="AN47" i="36"/>
  <c r="BK47" i="36"/>
  <c r="BG47" i="36"/>
  <c r="BC47" i="36"/>
  <c r="AY47" i="36"/>
  <c r="AU47" i="36"/>
  <c r="AQ47" i="36"/>
  <c r="AM47" i="36"/>
  <c r="AI47" i="36"/>
  <c r="AE47" i="36"/>
  <c r="Q47" i="36"/>
  <c r="BI56" i="36"/>
  <c r="BI107" i="36" s="1"/>
  <c r="AS56" i="36"/>
  <c r="AS107" i="36" s="1"/>
  <c r="Y56" i="36"/>
  <c r="Y107" i="36" s="1"/>
  <c r="I56" i="36"/>
  <c r="I107" i="36" s="1"/>
  <c r="F56" i="36"/>
  <c r="F47" i="36"/>
  <c r="J56" i="36"/>
  <c r="J107" i="36" s="1"/>
  <c r="J47" i="36"/>
  <c r="N56" i="36"/>
  <c r="N107" i="36" s="1"/>
  <c r="N47" i="36"/>
  <c r="R56" i="36"/>
  <c r="R107" i="36" s="1"/>
  <c r="R47" i="36"/>
  <c r="V56" i="36"/>
  <c r="V107" i="36" s="1"/>
  <c r="V47" i="36"/>
  <c r="Z56" i="36"/>
  <c r="Z107" i="36" s="1"/>
  <c r="Z47" i="36"/>
  <c r="AD56" i="36"/>
  <c r="AD47" i="36"/>
  <c r="AP47" i="36"/>
  <c r="AL47" i="36"/>
  <c r="AH47" i="36"/>
  <c r="BE56" i="36"/>
  <c r="BE107" i="36" s="1"/>
  <c r="AK56" i="36"/>
  <c r="AK107" i="36" s="1"/>
  <c r="G56" i="36"/>
  <c r="G107" i="36" s="1"/>
  <c r="G47" i="36"/>
  <c r="K56" i="36"/>
  <c r="K107" i="36" s="1"/>
  <c r="K47" i="36"/>
  <c r="O56" i="36"/>
  <c r="O107" i="36" s="1"/>
  <c r="O47" i="36"/>
  <c r="S56" i="36"/>
  <c r="S107" i="36" s="1"/>
  <c r="S47" i="36"/>
  <c r="W56" i="36"/>
  <c r="W107" i="36" s="1"/>
  <c r="W47" i="36"/>
  <c r="AA56" i="36"/>
  <c r="AA107" i="36" s="1"/>
  <c r="AA47" i="36"/>
  <c r="BA47" i="36"/>
  <c r="AO47" i="36"/>
  <c r="AG47" i="36"/>
  <c r="G10" i="17" l="1"/>
  <c r="G29" i="17" s="1"/>
  <c r="H9" i="17"/>
  <c r="K29" i="1"/>
  <c r="G27" i="14"/>
  <c r="AB96" i="1"/>
  <c r="AC96" i="1" s="1"/>
  <c r="AD96" i="1" s="1"/>
  <c r="AE96" i="1" s="1"/>
  <c r="AF96" i="1" s="1"/>
  <c r="AG96" i="1" s="1"/>
  <c r="AH96" i="1" s="1"/>
  <c r="AI96" i="1" s="1"/>
  <c r="AJ96" i="1" s="1"/>
  <c r="AK96" i="1" s="1"/>
  <c r="AL96" i="1" s="1"/>
  <c r="AM96" i="1" s="1"/>
  <c r="AN96" i="1" s="1"/>
  <c r="AO96" i="1" s="1"/>
  <c r="G47" i="28"/>
  <c r="AZ84" i="1"/>
  <c r="AZ85" i="1" s="1"/>
  <c r="I6" i="29"/>
  <c r="H8" i="29"/>
  <c r="H35" i="29" s="1"/>
  <c r="AP47" i="1"/>
  <c r="G30" i="5"/>
  <c r="G30" i="15"/>
  <c r="AA30" i="15"/>
  <c r="AA30" i="5"/>
  <c r="E13" i="15"/>
  <c r="F11" i="15" s="1"/>
  <c r="E28" i="15"/>
  <c r="U84" i="1"/>
  <c r="U85" i="1" s="1"/>
  <c r="AY45" i="1"/>
  <c r="AY47" i="1" s="1"/>
  <c r="AT82" i="1"/>
  <c r="AT84" i="1" s="1"/>
  <c r="AT85" i="1" s="1"/>
  <c r="AQ45" i="1"/>
  <c r="AQ47" i="1" s="1"/>
  <c r="AQ82" i="1"/>
  <c r="AQ84" i="1" s="1"/>
  <c r="AQ85" i="1" s="1"/>
  <c r="AS82" i="1"/>
  <c r="AS84" i="1" s="1"/>
  <c r="AS85" i="1" s="1"/>
  <c r="AU82" i="1"/>
  <c r="AU84" i="1" s="1"/>
  <c r="AU85" i="1" s="1"/>
  <c r="AU45" i="1"/>
  <c r="AU47" i="1" s="1"/>
  <c r="AY82" i="1"/>
  <c r="AY84" i="1" s="1"/>
  <c r="AY85" i="1" s="1"/>
  <c r="I9" i="1"/>
  <c r="AR45" i="1"/>
  <c r="AR47" i="1" s="1"/>
  <c r="AP82" i="1"/>
  <c r="AP84" i="1" s="1"/>
  <c r="AP85" i="1" s="1"/>
  <c r="K27" i="1"/>
  <c r="H11" i="1"/>
  <c r="AW45" i="1"/>
  <c r="AW47" i="1" s="1"/>
  <c r="AX82" i="1"/>
  <c r="AX84" i="1" s="1"/>
  <c r="AX85" i="1" s="1"/>
  <c r="G12" i="14"/>
  <c r="F27" i="30"/>
  <c r="J43" i="18"/>
  <c r="K43" i="18" s="1"/>
  <c r="L43" i="18" s="1"/>
  <c r="M43" i="18" s="1"/>
  <c r="N43" i="18" s="1"/>
  <c r="O43" i="18" s="1"/>
  <c r="P43" i="18" s="1"/>
  <c r="Q43" i="18" s="1"/>
  <c r="R43" i="18" s="1"/>
  <c r="S43" i="18" s="1"/>
  <c r="I49" i="28"/>
  <c r="F30" i="22"/>
  <c r="E83" i="26"/>
  <c r="F39" i="26"/>
  <c r="AC45" i="28"/>
  <c r="AC47" i="28" s="1"/>
  <c r="AF45" i="28"/>
  <c r="AF47" i="28" s="1"/>
  <c r="J29" i="1"/>
  <c r="W47" i="1"/>
  <c r="E36" i="33"/>
  <c r="F35" i="33"/>
  <c r="F36" i="33" s="1"/>
  <c r="D30" i="33"/>
  <c r="L30" i="33" s="1"/>
  <c r="L56" i="33" s="1"/>
  <c r="AG47" i="28"/>
  <c r="V47" i="28"/>
  <c r="AB47" i="1"/>
  <c r="AV47" i="1"/>
  <c r="AO47" i="1"/>
  <c r="L47" i="28"/>
  <c r="E28" i="5"/>
  <c r="AD47" i="28"/>
  <c r="J49" i="28"/>
  <c r="K49" i="28" s="1"/>
  <c r="L49" i="28" s="1"/>
  <c r="M49" i="28" s="1"/>
  <c r="N49" i="28" s="1"/>
  <c r="O49" i="28" s="1"/>
  <c r="P49" i="28" s="1"/>
  <c r="Q49" i="28" s="1"/>
  <c r="R49" i="28" s="1"/>
  <c r="S49" i="28" s="1"/>
  <c r="T49" i="28" s="1"/>
  <c r="U49" i="28" s="1"/>
  <c r="V49" i="28" s="1"/>
  <c r="W49" i="28" s="1"/>
  <c r="X49" i="28" s="1"/>
  <c r="Y49" i="28" s="1"/>
  <c r="Z49" i="28" s="1"/>
  <c r="AA49" i="28" s="1"/>
  <c r="AB49" i="28" s="1"/>
  <c r="AC49" i="28" s="1"/>
  <c r="AD49" i="28" s="1"/>
  <c r="AE49" i="28" s="1"/>
  <c r="AF49" i="28" s="1"/>
  <c r="AG49" i="28" s="1"/>
  <c r="AH49" i="28" s="1"/>
  <c r="AI49" i="28" s="1"/>
  <c r="AJ49" i="28" s="1"/>
  <c r="AK49" i="28" s="1"/>
  <c r="AL49" i="28" s="1"/>
  <c r="AM49" i="28" s="1"/>
  <c r="AN49" i="28" s="1"/>
  <c r="AO49" i="28" s="1"/>
  <c r="AP49" i="28" s="1"/>
  <c r="AQ49" i="28" s="1"/>
  <c r="AR49" i="28" s="1"/>
  <c r="AS49" i="28" s="1"/>
  <c r="AT49" i="28" s="1"/>
  <c r="AU49" i="28" s="1"/>
  <c r="AV49" i="28" s="1"/>
  <c r="AW49" i="28" s="1"/>
  <c r="AX49" i="28" s="1"/>
  <c r="AY49" i="28" s="1"/>
  <c r="AZ49" i="28" s="1"/>
  <c r="BA49" i="28" s="1"/>
  <c r="BB49" i="28" s="1"/>
  <c r="BC49" i="28" s="1"/>
  <c r="BD49" i="28" s="1"/>
  <c r="BE49" i="28" s="1"/>
  <c r="BF49" i="28" s="1"/>
  <c r="BG49" i="28" s="1"/>
  <c r="BH49" i="28" s="1"/>
  <c r="BI49" i="28" s="1"/>
  <c r="BJ49" i="28" s="1"/>
  <c r="BK49" i="28" s="1"/>
  <c r="BL49" i="28" s="1"/>
  <c r="AO84" i="1"/>
  <c r="AO85" i="1" s="1"/>
  <c r="O33" i="30"/>
  <c r="P33" i="30" s="1"/>
  <c r="Q33" i="30" s="1"/>
  <c r="R33" i="30" s="1"/>
  <c r="H37" i="8"/>
  <c r="Q47" i="1"/>
  <c r="G84" i="1"/>
  <c r="G85" i="1" s="1"/>
  <c r="K84" i="1"/>
  <c r="K85" i="1" s="1"/>
  <c r="BJ61" i="36"/>
  <c r="I61" i="36"/>
  <c r="BH61" i="36"/>
  <c r="AO61" i="36"/>
  <c r="AD61" i="36"/>
  <c r="AI61" i="36"/>
  <c r="AB61" i="36"/>
  <c r="E61" i="36"/>
  <c r="BG61" i="36"/>
  <c r="BB61" i="36"/>
  <c r="AZ61" i="36"/>
  <c r="AG61" i="36"/>
  <c r="AA61" i="36"/>
  <c r="V61" i="36"/>
  <c r="T61" i="36"/>
  <c r="BE61" i="36"/>
  <c r="Y61" i="36"/>
  <c r="AY61" i="36"/>
  <c r="S61" i="36"/>
  <c r="AT61" i="36"/>
  <c r="N61" i="36"/>
  <c r="AR61" i="36"/>
  <c r="L61" i="36"/>
  <c r="AW61" i="36"/>
  <c r="Q61" i="36"/>
  <c r="AQ61" i="36"/>
  <c r="K61" i="36"/>
  <c r="AL61" i="36"/>
  <c r="F61" i="36"/>
  <c r="AJ61" i="36"/>
  <c r="BI61" i="36"/>
  <c r="AS61" i="36"/>
  <c r="AC61" i="36"/>
  <c r="M61" i="36"/>
  <c r="BC61" i="36"/>
  <c r="AM61" i="36"/>
  <c r="W61" i="36"/>
  <c r="G61" i="36"/>
  <c r="AX61" i="36"/>
  <c r="AH61" i="36"/>
  <c r="R61" i="36"/>
  <c r="BL61" i="36"/>
  <c r="AV61" i="36"/>
  <c r="AF61" i="36"/>
  <c r="P61" i="36"/>
  <c r="BA61" i="36"/>
  <c r="AK61" i="36"/>
  <c r="U61" i="36"/>
  <c r="BK61" i="36"/>
  <c r="AU61" i="36"/>
  <c r="AE61" i="36"/>
  <c r="O61" i="36"/>
  <c r="BF61" i="36"/>
  <c r="AP61" i="36"/>
  <c r="Z61" i="36"/>
  <c r="J61" i="36"/>
  <c r="BD61" i="36"/>
  <c r="AN61" i="36"/>
  <c r="X61" i="36"/>
  <c r="AD107" i="36"/>
  <c r="R123" i="37"/>
  <c r="S45" i="37"/>
  <c r="Q37" i="29"/>
  <c r="Q38" i="29" s="1"/>
  <c r="J37" i="29"/>
  <c r="J38" i="29" s="1"/>
  <c r="S33" i="30"/>
  <c r="T33" i="30" s="1"/>
  <c r="U33" i="30" s="1"/>
  <c r="V33" i="30" s="1"/>
  <c r="W33" i="30" s="1"/>
  <c r="X33" i="30" s="1"/>
  <c r="Y33" i="30" s="1"/>
  <c r="Z33" i="30" s="1"/>
  <c r="AA33" i="30" s="1"/>
  <c r="AB33" i="30" s="1"/>
  <c r="AC33" i="30" s="1"/>
  <c r="AD33" i="30" s="1"/>
  <c r="AE33" i="30" s="1"/>
  <c r="AF33" i="30" s="1"/>
  <c r="AG33" i="30" s="1"/>
  <c r="AH33" i="30" s="1"/>
  <c r="AI33" i="30" s="1"/>
  <c r="AJ33" i="30" s="1"/>
  <c r="AK33" i="30" s="1"/>
  <c r="AL33" i="30" s="1"/>
  <c r="AM33" i="30" s="1"/>
  <c r="AN33" i="30" s="1"/>
  <c r="AO33" i="30" s="1"/>
  <c r="AP33" i="30" s="1"/>
  <c r="AQ33" i="30" s="1"/>
  <c r="AR33" i="30" s="1"/>
  <c r="AS33" i="30" s="1"/>
  <c r="AT33" i="30" s="1"/>
  <c r="AU33" i="30" s="1"/>
  <c r="AV33" i="30" s="1"/>
  <c r="AW33" i="30" s="1"/>
  <c r="AX33" i="30" s="1"/>
  <c r="AY33" i="30" s="1"/>
  <c r="AZ33" i="30" s="1"/>
  <c r="BA33" i="30" s="1"/>
  <c r="BB33" i="30" s="1"/>
  <c r="BC33" i="30" s="1"/>
  <c r="BD33" i="30" s="1"/>
  <c r="BE33" i="30" s="1"/>
  <c r="BF33" i="30" s="1"/>
  <c r="BG33" i="30" s="1"/>
  <c r="BH33" i="30" s="1"/>
  <c r="BI33" i="30" s="1"/>
  <c r="BJ33" i="30" s="1"/>
  <c r="BK33" i="30" s="1"/>
  <c r="BL33" i="30" s="1"/>
  <c r="AR47" i="28"/>
  <c r="E47" i="1"/>
  <c r="E24" i="22"/>
  <c r="E30" i="22"/>
  <c r="N37" i="29"/>
  <c r="N38" i="29" s="1"/>
  <c r="R37" i="29"/>
  <c r="R38" i="29" s="1"/>
  <c r="G37" i="29"/>
  <c r="G38" i="29" s="1"/>
  <c r="G39" i="29" s="1"/>
  <c r="O37" i="29"/>
  <c r="O38" i="29" s="1"/>
  <c r="E37" i="24"/>
  <c r="T37" i="24" s="1"/>
  <c r="F37" i="29"/>
  <c r="G37" i="18"/>
  <c r="F89" i="18"/>
  <c r="O84" i="1"/>
  <c r="O85" i="1" s="1"/>
  <c r="I37" i="8"/>
  <c r="J37" i="8" s="1"/>
  <c r="K37" i="8" s="1"/>
  <c r="L37" i="8" s="1"/>
  <c r="M37" i="8" s="1"/>
  <c r="N37" i="8" s="1"/>
  <c r="O37" i="8" s="1"/>
  <c r="P37" i="8" s="1"/>
  <c r="Q37" i="8" s="1"/>
  <c r="R37" i="8" s="1"/>
  <c r="S37" i="8" s="1"/>
  <c r="T37" i="8" s="1"/>
  <c r="U37" i="8" s="1"/>
  <c r="V37" i="8" s="1"/>
  <c r="W37" i="8" s="1"/>
  <c r="X37" i="8" s="1"/>
  <c r="Y37" i="8" s="1"/>
  <c r="Z37" i="8" s="1"/>
  <c r="AA37" i="8" s="1"/>
  <c r="AB37" i="8" s="1"/>
  <c r="AC37" i="8" s="1"/>
  <c r="AD37" i="8" s="1"/>
  <c r="AE37" i="8" s="1"/>
  <c r="AF37" i="8" s="1"/>
  <c r="AG37" i="8" s="1"/>
  <c r="AH37" i="8" s="1"/>
  <c r="AI37" i="8" s="1"/>
  <c r="AJ37" i="8" s="1"/>
  <c r="AK37" i="8" s="1"/>
  <c r="AL37" i="8" s="1"/>
  <c r="AM37" i="8" s="1"/>
  <c r="AN37" i="8" s="1"/>
  <c r="AO37" i="8" s="1"/>
  <c r="AP37" i="8" s="1"/>
  <c r="AQ37" i="8" s="1"/>
  <c r="AR37" i="8" s="1"/>
  <c r="AS37" i="8" s="1"/>
  <c r="AT37" i="8" s="1"/>
  <c r="AU37" i="8" s="1"/>
  <c r="AV37" i="8" s="1"/>
  <c r="AW37" i="8" s="1"/>
  <c r="AX37" i="8" s="1"/>
  <c r="AY37" i="8" s="1"/>
  <c r="AZ37" i="8" s="1"/>
  <c r="BA37" i="8" s="1"/>
  <c r="BB37" i="8" s="1"/>
  <c r="BC37" i="8" s="1"/>
  <c r="BD37" i="8" s="1"/>
  <c r="BE37" i="8" s="1"/>
  <c r="BF37" i="8" s="1"/>
  <c r="BG37" i="8" s="1"/>
  <c r="BH37" i="8" s="1"/>
  <c r="BI37" i="8" s="1"/>
  <c r="BJ37" i="8" s="1"/>
  <c r="BK37" i="8" s="1"/>
  <c r="BL37" i="8" s="1"/>
  <c r="H37" i="29"/>
  <c r="H38" i="29" s="1"/>
  <c r="H39" i="29" s="1"/>
  <c r="L37" i="29"/>
  <c r="L38" i="29" s="1"/>
  <c r="P37" i="29"/>
  <c r="P38" i="29" s="1"/>
  <c r="J30" i="15"/>
  <c r="G49" i="1"/>
  <c r="H49" i="1" s="1"/>
  <c r="I49" i="1" s="1"/>
  <c r="J49" i="1" s="1"/>
  <c r="K49" i="1" s="1"/>
  <c r="L49" i="1" s="1"/>
  <c r="M49" i="1" s="1"/>
  <c r="N49" i="1" s="1"/>
  <c r="O49" i="1" s="1"/>
  <c r="P49" i="1" s="1"/>
  <c r="Q49" i="1" s="1"/>
  <c r="R49" i="1" s="1"/>
  <c r="S49" i="1" s="1"/>
  <c r="T49" i="1" s="1"/>
  <c r="U49" i="1" s="1"/>
  <c r="V49" i="1" s="1"/>
  <c r="W49" i="1" s="1"/>
  <c r="X49" i="1" s="1"/>
  <c r="Y49" i="1" s="1"/>
  <c r="Z49" i="1" s="1"/>
  <c r="AA49" i="1" s="1"/>
  <c r="AB49" i="1" s="1"/>
  <c r="AC49" i="1" s="1"/>
  <c r="AD49" i="1" s="1"/>
  <c r="AE49" i="1" s="1"/>
  <c r="AF49" i="1" s="1"/>
  <c r="AG49" i="1" s="1"/>
  <c r="AH49" i="1" s="1"/>
  <c r="AI49" i="1" s="1"/>
  <c r="AJ49" i="1" s="1"/>
  <c r="AK49" i="1" s="1"/>
  <c r="AL49" i="1" s="1"/>
  <c r="AM49" i="1" s="1"/>
  <c r="AN49" i="1" s="1"/>
  <c r="AO49" i="1" s="1"/>
  <c r="AP49" i="1" s="1"/>
  <c r="AQ49" i="1" s="1"/>
  <c r="AR49" i="1" s="1"/>
  <c r="AS49" i="1" s="1"/>
  <c r="AT49" i="1" s="1"/>
  <c r="AU49" i="1" s="1"/>
  <c r="AV49" i="1" s="1"/>
  <c r="AW49" i="1" s="1"/>
  <c r="AX49" i="1" s="1"/>
  <c r="AY49" i="1" s="1"/>
  <c r="AZ49" i="1" s="1"/>
  <c r="BA49" i="1" s="1"/>
  <c r="BB49" i="1" s="1"/>
  <c r="BC49" i="1" s="1"/>
  <c r="BD49" i="1" s="1"/>
  <c r="BE49" i="1" s="1"/>
  <c r="BF49" i="1" s="1"/>
  <c r="BG49" i="1" s="1"/>
  <c r="BH49" i="1" s="1"/>
  <c r="BI49" i="1" s="1"/>
  <c r="BJ49" i="1" s="1"/>
  <c r="BK49" i="1" s="1"/>
  <c r="BL49" i="1" s="1"/>
  <c r="K48" i="26"/>
  <c r="L48" i="26" s="1"/>
  <c r="M48" i="26" s="1"/>
  <c r="N48" i="26" s="1"/>
  <c r="O48" i="26" s="1"/>
  <c r="P48" i="26" s="1"/>
  <c r="Q48" i="26" s="1"/>
  <c r="R48" i="26" s="1"/>
  <c r="S48" i="26" s="1"/>
  <c r="T48" i="26" s="1"/>
  <c r="U48" i="26" s="1"/>
  <c r="V48" i="26" s="1"/>
  <c r="W48" i="26" s="1"/>
  <c r="X48" i="26" s="1"/>
  <c r="Y48" i="26" s="1"/>
  <c r="Z48" i="26" s="1"/>
  <c r="AA48" i="26" s="1"/>
  <c r="AB48" i="26" s="1"/>
  <c r="AC48" i="26" s="1"/>
  <c r="AD48" i="26" s="1"/>
  <c r="AE48" i="26" s="1"/>
  <c r="AF48" i="26" s="1"/>
  <c r="AG48" i="26" s="1"/>
  <c r="AH48" i="26" s="1"/>
  <c r="AI48" i="26" s="1"/>
  <c r="AJ48" i="26" s="1"/>
  <c r="AK48" i="26" s="1"/>
  <c r="AL48" i="26" s="1"/>
  <c r="AM48" i="26" s="1"/>
  <c r="AN48" i="26" s="1"/>
  <c r="AO48" i="26" s="1"/>
  <c r="AP48" i="26" s="1"/>
  <c r="AQ48" i="26" s="1"/>
  <c r="AR48" i="26" s="1"/>
  <c r="AS48" i="26" s="1"/>
  <c r="AT48" i="26" s="1"/>
  <c r="AU48" i="26" s="1"/>
  <c r="AV48" i="26" s="1"/>
  <c r="AW48" i="26" s="1"/>
  <c r="AX48" i="26" s="1"/>
  <c r="AY48" i="26" s="1"/>
  <c r="AZ48" i="26" s="1"/>
  <c r="BA48" i="26" s="1"/>
  <c r="BB48" i="26" s="1"/>
  <c r="BC48" i="26" s="1"/>
  <c r="BD48" i="26" s="1"/>
  <c r="BE48" i="26" s="1"/>
  <c r="BF48" i="26" s="1"/>
  <c r="BG48" i="26" s="1"/>
  <c r="BH48" i="26" s="1"/>
  <c r="BI48" i="26" s="1"/>
  <c r="BJ48" i="26" s="1"/>
  <c r="BK48" i="26" s="1"/>
  <c r="BL48" i="26" s="1"/>
  <c r="F30" i="24"/>
  <c r="F33" i="24" s="1"/>
  <c r="E44" i="24"/>
  <c r="J12" i="24" s="1"/>
  <c r="F30" i="15"/>
  <c r="F30" i="5"/>
  <c r="N30" i="15"/>
  <c r="N30" i="5"/>
  <c r="AZ45" i="28"/>
  <c r="AZ47" i="28" s="1"/>
  <c r="G13" i="13"/>
  <c r="Q71" i="1"/>
  <c r="Q72" i="1" s="1"/>
  <c r="Q74" i="1" s="1"/>
  <c r="AC71" i="1"/>
  <c r="AC72" i="1" s="1"/>
  <c r="AC74" i="1" s="1"/>
  <c r="BA71" i="1"/>
  <c r="BA72" i="1" s="1"/>
  <c r="BA74" i="1" s="1"/>
  <c r="AQ71" i="1"/>
  <c r="AQ72" i="1" s="1"/>
  <c r="AQ74" i="1" s="1"/>
  <c r="L71" i="1"/>
  <c r="L72" i="1" s="1"/>
  <c r="L74" i="1" s="1"/>
  <c r="J71" i="1"/>
  <c r="J72" i="1" s="1"/>
  <c r="J74" i="1" s="1"/>
  <c r="V71" i="1"/>
  <c r="V72" i="1" s="1"/>
  <c r="V74" i="1" s="1"/>
  <c r="AH71" i="1"/>
  <c r="AH72" i="1" s="1"/>
  <c r="AH74" i="1" s="1"/>
  <c r="AP71" i="1"/>
  <c r="AP72" i="1" s="1"/>
  <c r="AP74" i="1" s="1"/>
  <c r="BJ71" i="1"/>
  <c r="BJ72" i="1" s="1"/>
  <c r="BJ74" i="1" s="1"/>
  <c r="AE71" i="1"/>
  <c r="AE72" i="1" s="1"/>
  <c r="AE74" i="1" s="1"/>
  <c r="AU71" i="1"/>
  <c r="AU72" i="1" s="1"/>
  <c r="AU74" i="1" s="1"/>
  <c r="H71" i="1"/>
  <c r="H72" i="1" s="1"/>
  <c r="H74" i="1" s="1"/>
  <c r="AB71" i="1"/>
  <c r="AB72" i="1" s="1"/>
  <c r="AB74" i="1" s="1"/>
  <c r="I71" i="1"/>
  <c r="I72" i="1" s="1"/>
  <c r="I74" i="1" s="1"/>
  <c r="U71" i="1"/>
  <c r="U72" i="1" s="1"/>
  <c r="U74" i="1" s="1"/>
  <c r="AG71" i="1"/>
  <c r="AG72" i="1" s="1"/>
  <c r="AG74" i="1" s="1"/>
  <c r="BE71" i="1"/>
  <c r="BE72" i="1" s="1"/>
  <c r="BE74" i="1" s="1"/>
  <c r="S71" i="1"/>
  <c r="S72" i="1" s="1"/>
  <c r="S74" i="1" s="1"/>
  <c r="AY71" i="1"/>
  <c r="AY72" i="1" s="1"/>
  <c r="AY74" i="1" s="1"/>
  <c r="T71" i="1"/>
  <c r="T72" i="1" s="1"/>
  <c r="T74" i="1" s="1"/>
  <c r="AF71" i="1"/>
  <c r="AF72" i="1" s="1"/>
  <c r="AF74" i="1" s="1"/>
  <c r="BD71" i="1"/>
  <c r="BD72" i="1" s="1"/>
  <c r="BD74" i="1" s="1"/>
  <c r="Z71" i="1"/>
  <c r="Z72" i="1" s="1"/>
  <c r="Z74" i="1" s="1"/>
  <c r="BB71" i="1"/>
  <c r="BB72" i="1" s="1"/>
  <c r="BB74" i="1" s="1"/>
  <c r="G71" i="1"/>
  <c r="G72" i="1" s="1"/>
  <c r="G74" i="1" s="1"/>
  <c r="BC71" i="1"/>
  <c r="BC72" i="1" s="1"/>
  <c r="BC74" i="1" s="1"/>
  <c r="AZ71" i="1"/>
  <c r="AZ72" i="1" s="1"/>
  <c r="AZ74" i="1" s="1"/>
  <c r="M71" i="1"/>
  <c r="M72" i="1" s="1"/>
  <c r="M74" i="1" s="1"/>
  <c r="AK71" i="1"/>
  <c r="AK72" i="1" s="1"/>
  <c r="AK74" i="1" s="1"/>
  <c r="AS71" i="1"/>
  <c r="AS72" i="1" s="1"/>
  <c r="AS74" i="1" s="1"/>
  <c r="E71" i="1"/>
  <c r="E72" i="1" s="1"/>
  <c r="E74" i="1" s="1"/>
  <c r="AA71" i="1"/>
  <c r="AA72" i="1" s="1"/>
  <c r="AA74" i="1" s="1"/>
  <c r="X71" i="1"/>
  <c r="X72" i="1" s="1"/>
  <c r="X74" i="1" s="1"/>
  <c r="AN71" i="1"/>
  <c r="AN72" i="1" s="1"/>
  <c r="AN74" i="1" s="1"/>
  <c r="BL71" i="1"/>
  <c r="BL72" i="1" s="1"/>
  <c r="BL74" i="1" s="1"/>
  <c r="N71" i="1"/>
  <c r="N72" i="1" s="1"/>
  <c r="N74" i="1" s="1"/>
  <c r="AD71" i="1"/>
  <c r="AD72" i="1" s="1"/>
  <c r="AD74" i="1" s="1"/>
  <c r="AT71" i="1"/>
  <c r="AT72" i="1" s="1"/>
  <c r="AT74" i="1" s="1"/>
  <c r="BF71" i="1"/>
  <c r="BF72" i="1" s="1"/>
  <c r="BF74" i="1" s="1"/>
  <c r="O71" i="1"/>
  <c r="O72" i="1" s="1"/>
  <c r="O74" i="1" s="1"/>
  <c r="BK71" i="1"/>
  <c r="BK72" i="1" s="1"/>
  <c r="BK74" i="1" s="1"/>
  <c r="AJ71" i="1"/>
  <c r="AJ72" i="1" s="1"/>
  <c r="AJ74" i="1" s="1"/>
  <c r="BH71" i="1"/>
  <c r="BH72" i="1" s="1"/>
  <c r="BH74" i="1" s="1"/>
  <c r="AW71" i="1"/>
  <c r="AW72" i="1" s="1"/>
  <c r="AW74" i="1" s="1"/>
  <c r="BG71" i="1"/>
  <c r="BG72" i="1" s="1"/>
  <c r="BG74" i="1" s="1"/>
  <c r="R71" i="1"/>
  <c r="R72" i="1" s="1"/>
  <c r="R74" i="1" s="1"/>
  <c r="P71" i="1"/>
  <c r="P72" i="1" s="1"/>
  <c r="P74" i="1" s="1"/>
  <c r="AI71" i="1"/>
  <c r="AI72" i="1" s="1"/>
  <c r="AI74" i="1" s="1"/>
  <c r="BI71" i="1"/>
  <c r="BI72" i="1" s="1"/>
  <c r="BI74" i="1" s="1"/>
  <c r="W71" i="1"/>
  <c r="W72" i="1" s="1"/>
  <c r="W74" i="1" s="1"/>
  <c r="AR71" i="1"/>
  <c r="AR72" i="1" s="1"/>
  <c r="AR74" i="1" s="1"/>
  <c r="AO71" i="1"/>
  <c r="AO72" i="1" s="1"/>
  <c r="AO74" i="1" s="1"/>
  <c r="F71" i="1"/>
  <c r="F72" i="1" s="1"/>
  <c r="F74" i="1" s="1"/>
  <c r="AX71" i="1"/>
  <c r="AX72" i="1" s="1"/>
  <c r="AX74" i="1" s="1"/>
  <c r="Y71" i="1"/>
  <c r="Y72" i="1" s="1"/>
  <c r="Y74" i="1" s="1"/>
  <c r="K71" i="1"/>
  <c r="K72" i="1" s="1"/>
  <c r="K74" i="1" s="1"/>
  <c r="AV71" i="1"/>
  <c r="AV72" i="1" s="1"/>
  <c r="AV74" i="1" s="1"/>
  <c r="AL71" i="1"/>
  <c r="AM71" i="1"/>
  <c r="AM72" i="1" s="1"/>
  <c r="AM74" i="1" s="1"/>
  <c r="H30" i="15"/>
  <c r="H30" i="5"/>
  <c r="G12" i="22"/>
  <c r="G30" i="22" s="1"/>
  <c r="G22" i="22"/>
  <c r="H11" i="22"/>
  <c r="AP96" i="1"/>
  <c r="AQ96" i="1" s="1"/>
  <c r="AR96" i="1" s="1"/>
  <c r="AS96" i="1" s="1"/>
  <c r="AT96" i="1" s="1"/>
  <c r="AU96" i="1" s="1"/>
  <c r="AV96" i="1" s="1"/>
  <c r="AW96" i="1" s="1"/>
  <c r="AX96" i="1" s="1"/>
  <c r="AY96" i="1" s="1"/>
  <c r="AZ96" i="1" s="1"/>
  <c r="BA96" i="1" s="1"/>
  <c r="BB96" i="1" s="1"/>
  <c r="BC96" i="1" s="1"/>
  <c r="BD96" i="1" s="1"/>
  <c r="BE96" i="1" s="1"/>
  <c r="BF96" i="1" s="1"/>
  <c r="BG96" i="1" s="1"/>
  <c r="BH96" i="1" s="1"/>
  <c r="BI96" i="1" s="1"/>
  <c r="BJ96" i="1" s="1"/>
  <c r="BK96" i="1" s="1"/>
  <c r="BL96" i="1" s="1"/>
  <c r="T43" i="18"/>
  <c r="U43" i="18" s="1"/>
  <c r="V43" i="18" s="1"/>
  <c r="W43" i="18" s="1"/>
  <c r="X43" i="18" s="1"/>
  <c r="Y43" i="18" s="1"/>
  <c r="Z43" i="18" s="1"/>
  <c r="AA43" i="18" s="1"/>
  <c r="AB43" i="18" s="1"/>
  <c r="AC43" i="18" s="1"/>
  <c r="AD43" i="18" s="1"/>
  <c r="AE43" i="18" s="1"/>
  <c r="AF43" i="18" s="1"/>
  <c r="AG43" i="18" s="1"/>
  <c r="AH43" i="18" s="1"/>
  <c r="AI43" i="18" s="1"/>
  <c r="AJ43" i="18" s="1"/>
  <c r="AK43" i="18" s="1"/>
  <c r="AL43" i="18" s="1"/>
  <c r="AM43" i="18" s="1"/>
  <c r="AN43" i="18" s="1"/>
  <c r="AO43" i="18" s="1"/>
  <c r="AP43" i="18" s="1"/>
  <c r="AQ43" i="18" s="1"/>
  <c r="AR43" i="18" s="1"/>
  <c r="AS43" i="18" s="1"/>
  <c r="AT43" i="18" s="1"/>
  <c r="AU43" i="18" s="1"/>
  <c r="AV43" i="18" s="1"/>
  <c r="AW43" i="18" s="1"/>
  <c r="AX43" i="18" s="1"/>
  <c r="AY43" i="18" s="1"/>
  <c r="AZ43" i="18" s="1"/>
  <c r="BA43" i="18" s="1"/>
  <c r="BB43" i="18" s="1"/>
  <c r="BC43" i="18" s="1"/>
  <c r="BD43" i="18" s="1"/>
  <c r="BE43" i="18" s="1"/>
  <c r="BF43" i="18" s="1"/>
  <c r="BG43" i="18" s="1"/>
  <c r="BH43" i="18" s="1"/>
  <c r="BI43" i="18" s="1"/>
  <c r="BJ43" i="18" s="1"/>
  <c r="BK43" i="18" s="1"/>
  <c r="BL43" i="18" s="1"/>
  <c r="AL72" i="1"/>
  <c r="AL74" i="1" s="1"/>
  <c r="AY45" i="28"/>
  <c r="AY47" i="28" s="1"/>
  <c r="AP45" i="28"/>
  <c r="AP47" i="28" s="1"/>
  <c r="AX45" i="28"/>
  <c r="AX47" i="28" s="1"/>
  <c r="AU45" i="28"/>
  <c r="AU47" i="28" s="1"/>
  <c r="AT45" i="28"/>
  <c r="AT47" i="28" s="1"/>
  <c r="AS45" i="28"/>
  <c r="AS47" i="28" s="1"/>
  <c r="H11" i="28"/>
  <c r="AQ45" i="28"/>
  <c r="AQ47" i="28" s="1"/>
  <c r="AW45" i="28"/>
  <c r="AW47" i="28" s="1"/>
  <c r="AO45" i="28"/>
  <c r="AO47" i="28" s="1"/>
  <c r="I9" i="28"/>
  <c r="AB30" i="15"/>
  <c r="AB30" i="5"/>
  <c r="G31" i="8"/>
  <c r="F33" i="8"/>
  <c r="Z47" i="28"/>
  <c r="K47" i="1"/>
  <c r="AV45" i="28"/>
  <c r="AV47" i="28" s="1"/>
  <c r="L30" i="15"/>
  <c r="L30" i="5"/>
  <c r="S47" i="1"/>
  <c r="K6" i="24"/>
  <c r="J8" i="24"/>
  <c r="J35" i="24" s="1"/>
  <c r="H54" i="31"/>
  <c r="I54" i="31" s="1"/>
  <c r="F57" i="36"/>
  <c r="G57" i="36" s="1"/>
  <c r="H57" i="36" s="1"/>
  <c r="I57" i="36" s="1"/>
  <c r="J57" i="36" s="1"/>
  <c r="K57" i="36" s="1"/>
  <c r="L57" i="36" s="1"/>
  <c r="M57" i="36" s="1"/>
  <c r="N57" i="36" s="1"/>
  <c r="O57" i="36" s="1"/>
  <c r="P57" i="36" s="1"/>
  <c r="Q57" i="36" s="1"/>
  <c r="R57" i="36" s="1"/>
  <c r="S57" i="36" s="1"/>
  <c r="T57" i="36" s="1"/>
  <c r="U57" i="36" s="1"/>
  <c r="V57" i="36" s="1"/>
  <c r="W57" i="36" s="1"/>
  <c r="X57" i="36" s="1"/>
  <c r="Y57" i="36" s="1"/>
  <c r="Z57" i="36" s="1"/>
  <c r="AA57" i="36" s="1"/>
  <c r="AB57" i="36" s="1"/>
  <c r="AC57" i="36" s="1"/>
  <c r="AD57" i="36" s="1"/>
  <c r="AE57" i="36" s="1"/>
  <c r="AF57" i="36" s="1"/>
  <c r="AG57" i="36" s="1"/>
  <c r="AH57" i="36" s="1"/>
  <c r="AI57" i="36" s="1"/>
  <c r="AJ57" i="36" s="1"/>
  <c r="AK57" i="36" s="1"/>
  <c r="AL57" i="36" s="1"/>
  <c r="AM57" i="36" s="1"/>
  <c r="AN57" i="36" s="1"/>
  <c r="AO57" i="36" s="1"/>
  <c r="AP57" i="36" s="1"/>
  <c r="AQ57" i="36" s="1"/>
  <c r="AR57" i="36" s="1"/>
  <c r="AS57" i="36" s="1"/>
  <c r="AT57" i="36" s="1"/>
  <c r="AU57" i="36" s="1"/>
  <c r="AV57" i="36" s="1"/>
  <c r="AW57" i="36" s="1"/>
  <c r="AX57" i="36" s="1"/>
  <c r="AY57" i="36" s="1"/>
  <c r="AZ57" i="36" s="1"/>
  <c r="BA57" i="36" s="1"/>
  <c r="BB57" i="36" s="1"/>
  <c r="BC57" i="36" s="1"/>
  <c r="BD57" i="36" s="1"/>
  <c r="BE57" i="36" s="1"/>
  <c r="BF57" i="36" s="1"/>
  <c r="BG57" i="36" s="1"/>
  <c r="BH57" i="36" s="1"/>
  <c r="BI57" i="36" s="1"/>
  <c r="BJ57" i="36" s="1"/>
  <c r="BK57" i="36" s="1"/>
  <c r="BL57" i="36" s="1"/>
  <c r="F107" i="36"/>
  <c r="E127" i="36"/>
  <c r="F48" i="36"/>
  <c r="F36" i="34"/>
  <c r="G35" i="34"/>
  <c r="F14" i="5"/>
  <c r="F12" i="5"/>
  <c r="F13" i="5" s="1"/>
  <c r="G11" i="5" s="1"/>
  <c r="G27" i="30"/>
  <c r="F29" i="30"/>
  <c r="H12" i="14"/>
  <c r="I11" i="14"/>
  <c r="H21" i="14"/>
  <c r="E93" i="1"/>
  <c r="F90" i="1" s="1"/>
  <c r="L21" i="29"/>
  <c r="S21" i="29"/>
  <c r="N21" i="29"/>
  <c r="I21" i="29"/>
  <c r="H21" i="29"/>
  <c r="O21" i="29"/>
  <c r="F21" i="29"/>
  <c r="T21" i="29"/>
  <c r="R21" i="29"/>
  <c r="K21" i="29"/>
  <c r="Q21" i="29"/>
  <c r="P21" i="29"/>
  <c r="J21" i="29"/>
  <c r="G21" i="29"/>
  <c r="M21" i="29"/>
  <c r="G38" i="28"/>
  <c r="G36" i="28" s="1"/>
  <c r="G37" i="28" s="1"/>
  <c r="H35" i="28" s="1"/>
  <c r="F89" i="35"/>
  <c r="G45" i="35"/>
  <c r="F48" i="35"/>
  <c r="G54" i="35"/>
  <c r="H54" i="35" s="1"/>
  <c r="I54" i="35" s="1"/>
  <c r="J54" i="35" s="1"/>
  <c r="K54" i="35" s="1"/>
  <c r="L54" i="35" s="1"/>
  <c r="M54" i="35" s="1"/>
  <c r="N54" i="35" s="1"/>
  <c r="O54" i="35" s="1"/>
  <c r="P54" i="35" s="1"/>
  <c r="Q54" i="35" s="1"/>
  <c r="R54" i="35" s="1"/>
  <c r="S54" i="35" s="1"/>
  <c r="T54" i="35" s="1"/>
  <c r="U54" i="35" s="1"/>
  <c r="V54" i="35" s="1"/>
  <c r="W54" i="35" s="1"/>
  <c r="X54" i="35" s="1"/>
  <c r="Y54" i="35" s="1"/>
  <c r="Z54" i="35" s="1"/>
  <c r="AA54" i="35" s="1"/>
  <c r="AB54" i="35" s="1"/>
  <c r="AC54" i="35" s="1"/>
  <c r="AD54" i="35" s="1"/>
  <c r="AE54" i="35" s="1"/>
  <c r="AF54" i="35" s="1"/>
  <c r="AG54" i="35" s="1"/>
  <c r="AH54" i="35" s="1"/>
  <c r="AI54" i="35" s="1"/>
  <c r="AJ54" i="35" s="1"/>
  <c r="AK54" i="35" s="1"/>
  <c r="AL54" i="35" s="1"/>
  <c r="AM54" i="35" s="1"/>
  <c r="AN54" i="35" s="1"/>
  <c r="AO54" i="35" s="1"/>
  <c r="AP54" i="35" s="1"/>
  <c r="AQ54" i="35" s="1"/>
  <c r="AR54" i="35" s="1"/>
  <c r="AS54" i="35" s="1"/>
  <c r="AT54" i="35" s="1"/>
  <c r="AU54" i="35" s="1"/>
  <c r="AV54" i="35" s="1"/>
  <c r="AW54" i="35" s="1"/>
  <c r="AX54" i="35" s="1"/>
  <c r="AY54" i="35" s="1"/>
  <c r="AZ54" i="35" s="1"/>
  <c r="BA54" i="35" s="1"/>
  <c r="BB54" i="35" s="1"/>
  <c r="BC54" i="35" s="1"/>
  <c r="BD54" i="35" s="1"/>
  <c r="BE54" i="35" s="1"/>
  <c r="BF54" i="35" s="1"/>
  <c r="BG54" i="35" s="1"/>
  <c r="BH54" i="35" s="1"/>
  <c r="BI54" i="35" s="1"/>
  <c r="BJ54" i="35" s="1"/>
  <c r="BK54" i="35" s="1"/>
  <c r="BL54" i="35" s="1"/>
  <c r="J54" i="31"/>
  <c r="K54" i="31" s="1"/>
  <c r="L54" i="31" s="1"/>
  <c r="M54" i="31" s="1"/>
  <c r="N54" i="31" s="1"/>
  <c r="O54" i="31" s="1"/>
  <c r="P54" i="31" s="1"/>
  <c r="Q54" i="31" s="1"/>
  <c r="R54" i="31" s="1"/>
  <c r="S54" i="31" s="1"/>
  <c r="T54" i="31" s="1"/>
  <c r="U54" i="31" s="1"/>
  <c r="V54" i="31" s="1"/>
  <c r="W54" i="31" s="1"/>
  <c r="X54" i="31" s="1"/>
  <c r="Y54" i="31" s="1"/>
  <c r="Z54" i="31" s="1"/>
  <c r="AA54" i="31" s="1"/>
  <c r="AB54" i="31" s="1"/>
  <c r="AC54" i="31" s="1"/>
  <c r="AD54" i="31" s="1"/>
  <c r="AE54" i="31" s="1"/>
  <c r="AF54" i="31" s="1"/>
  <c r="AG54" i="31" s="1"/>
  <c r="AH54" i="31" s="1"/>
  <c r="AI54" i="31" s="1"/>
  <c r="AJ54" i="31" s="1"/>
  <c r="AK54" i="31" s="1"/>
  <c r="AL54" i="31" s="1"/>
  <c r="AM54" i="31" s="1"/>
  <c r="AN54" i="31" s="1"/>
  <c r="AO54" i="31" s="1"/>
  <c r="AP54" i="31" s="1"/>
  <c r="AQ54" i="31" s="1"/>
  <c r="AR54" i="31" s="1"/>
  <c r="AS54" i="31" s="1"/>
  <c r="AT54" i="31" s="1"/>
  <c r="AU54" i="31" s="1"/>
  <c r="AV54" i="31" s="1"/>
  <c r="AW54" i="31" s="1"/>
  <c r="AX54" i="31" s="1"/>
  <c r="AY54" i="31" s="1"/>
  <c r="AZ54" i="31" s="1"/>
  <c r="BA54" i="31" s="1"/>
  <c r="BB54" i="31" s="1"/>
  <c r="BC54" i="31" s="1"/>
  <c r="BD54" i="31" s="1"/>
  <c r="BE54" i="31" s="1"/>
  <c r="BF54" i="31" s="1"/>
  <c r="BG54" i="31" s="1"/>
  <c r="BH54" i="31" s="1"/>
  <c r="BI54" i="31" s="1"/>
  <c r="BJ54" i="31" s="1"/>
  <c r="BK54" i="31" s="1"/>
  <c r="BL54" i="31" s="1"/>
  <c r="J21" i="24"/>
  <c r="T21" i="24"/>
  <c r="H21" i="24"/>
  <c r="I21" i="24"/>
  <c r="P21" i="24"/>
  <c r="G21" i="24"/>
  <c r="N21" i="24"/>
  <c r="K21" i="24"/>
  <c r="Q21" i="24"/>
  <c r="M21" i="24"/>
  <c r="S21" i="24"/>
  <c r="F21" i="24"/>
  <c r="L21" i="24"/>
  <c r="R21" i="24"/>
  <c r="O21" i="24"/>
  <c r="F29" i="15"/>
  <c r="F19" i="3"/>
  <c r="G16" i="3"/>
  <c r="F13" i="10"/>
  <c r="F29" i="5"/>
  <c r="F32" i="3"/>
  <c r="F11" i="4"/>
  <c r="G16" i="12"/>
  <c r="G15" i="12"/>
  <c r="H13" i="12" s="1"/>
  <c r="I13" i="13"/>
  <c r="J12" i="13"/>
  <c r="E40" i="15"/>
  <c r="E38" i="15" s="1"/>
  <c r="E39" i="15" s="1"/>
  <c r="F37" i="15" s="1"/>
  <c r="F88" i="1"/>
  <c r="F91" i="1" s="1"/>
  <c r="F92" i="1" s="1"/>
  <c r="F95" i="1" s="1"/>
  <c r="F45" i="31"/>
  <c r="E89" i="31"/>
  <c r="I18" i="12"/>
  <c r="J8" i="12"/>
  <c r="F18" i="5"/>
  <c r="F19" i="5" s="1"/>
  <c r="G17" i="5" s="1"/>
  <c r="F20" i="5"/>
  <c r="F106" i="28"/>
  <c r="F104" i="28" s="1"/>
  <c r="F105" i="28" s="1"/>
  <c r="G103" i="28" s="1"/>
  <c r="F38" i="29"/>
  <c r="F39" i="29" s="1"/>
  <c r="J37" i="24"/>
  <c r="L37" i="24"/>
  <c r="P37" i="24"/>
  <c r="N37" i="24"/>
  <c r="F18" i="16"/>
  <c r="F27" i="16" s="1"/>
  <c r="F28" i="16" s="1"/>
  <c r="F29" i="16" s="1"/>
  <c r="F30" i="16" s="1"/>
  <c r="F11" i="16" s="1"/>
  <c r="E36" i="13" a="1"/>
  <c r="F14" i="15" l="1"/>
  <c r="F12" i="15"/>
  <c r="G39" i="26"/>
  <c r="F83" i="26"/>
  <c r="I11" i="1"/>
  <c r="D14" i="1" s="1"/>
  <c r="D20" i="1" s="1"/>
  <c r="E18" i="1" s="1"/>
  <c r="E21" i="1" s="1"/>
  <c r="E19" i="1" s="1"/>
  <c r="E20" i="1" s="1"/>
  <c r="F18" i="1" s="1"/>
  <c r="F21" i="1" s="1"/>
  <c r="F19" i="1" s="1"/>
  <c r="F20" i="1" s="1"/>
  <c r="G18" i="1" s="1"/>
  <c r="G21" i="1" s="1"/>
  <c r="G19" i="1" s="1"/>
  <c r="G20" i="1" s="1"/>
  <c r="H18" i="1" s="1"/>
  <c r="BG45" i="1"/>
  <c r="BG47" i="1" s="1"/>
  <c r="BL82" i="1"/>
  <c r="BL84" i="1" s="1"/>
  <c r="BL85" i="1" s="1"/>
  <c r="BD45" i="1"/>
  <c r="BD47" i="1" s="1"/>
  <c r="BB45" i="1"/>
  <c r="BB47" i="1" s="1"/>
  <c r="BK82" i="1"/>
  <c r="BK84" i="1" s="1"/>
  <c r="BK85" i="1" s="1"/>
  <c r="BA45" i="1"/>
  <c r="BA47" i="1" s="1"/>
  <c r="BH82" i="1"/>
  <c r="BH84" i="1" s="1"/>
  <c r="BH85" i="1" s="1"/>
  <c r="BE45" i="1"/>
  <c r="BE47" i="1" s="1"/>
  <c r="N27" i="1"/>
  <c r="N29" i="1" s="1"/>
  <c r="BD82" i="1"/>
  <c r="BD84" i="1" s="1"/>
  <c r="BD85" i="1" s="1"/>
  <c r="BA82" i="1"/>
  <c r="BA84" i="1" s="1"/>
  <c r="BA85" i="1" s="1"/>
  <c r="BC82" i="1"/>
  <c r="BC84" i="1" s="1"/>
  <c r="BC85" i="1" s="1"/>
  <c r="BC45" i="1"/>
  <c r="BC47" i="1" s="1"/>
  <c r="BI45" i="1"/>
  <c r="BI47" i="1" s="1"/>
  <c r="BL45" i="1"/>
  <c r="BL47" i="1" s="1"/>
  <c r="M27" i="1"/>
  <c r="M29" i="1" s="1"/>
  <c r="D32" i="1" s="1"/>
  <c r="D37" i="1" s="1"/>
  <c r="E35" i="1" s="1"/>
  <c r="BE82" i="1"/>
  <c r="BE84" i="1" s="1"/>
  <c r="BE85" i="1" s="1"/>
  <c r="BB82" i="1"/>
  <c r="BB84" i="1" s="1"/>
  <c r="BB85" i="1" s="1"/>
  <c r="BJ45" i="1"/>
  <c r="BJ47" i="1" s="1"/>
  <c r="BG82" i="1"/>
  <c r="BG84" i="1" s="1"/>
  <c r="BG85" i="1" s="1"/>
  <c r="BH45" i="1"/>
  <c r="BH47" i="1" s="1"/>
  <c r="BF82" i="1"/>
  <c r="BF84" i="1" s="1"/>
  <c r="BF85" i="1" s="1"/>
  <c r="BK45" i="1"/>
  <c r="BK47" i="1" s="1"/>
  <c r="BJ82" i="1"/>
  <c r="BJ84" i="1" s="1"/>
  <c r="BJ85" i="1" s="1"/>
  <c r="BF45" i="1"/>
  <c r="BF47" i="1" s="1"/>
  <c r="BI82" i="1"/>
  <c r="BI84" i="1" s="1"/>
  <c r="BI85" i="1" s="1"/>
  <c r="H10" i="17"/>
  <c r="H29" i="17" s="1"/>
  <c r="I9" i="17"/>
  <c r="J6" i="29"/>
  <c r="I8" i="29"/>
  <c r="I35" i="29" s="1"/>
  <c r="I39" i="29" s="1"/>
  <c r="G35" i="33"/>
  <c r="R30" i="33"/>
  <c r="R56" i="33" s="1"/>
  <c r="Y30" i="33"/>
  <c r="Y56" i="33" s="1"/>
  <c r="X30" i="33"/>
  <c r="X56" i="33" s="1"/>
  <c r="G30" i="33"/>
  <c r="G56" i="33" s="1"/>
  <c r="I30" i="33"/>
  <c r="I56" i="33" s="1"/>
  <c r="O30" i="33"/>
  <c r="O56" i="33" s="1"/>
  <c r="Z30" i="33"/>
  <c r="Z56" i="33" s="1"/>
  <c r="V30" i="33"/>
  <c r="V56" i="33" s="1"/>
  <c r="K30" i="33"/>
  <c r="K56" i="33" s="1"/>
  <c r="H30" i="33"/>
  <c r="H56" i="33" s="1"/>
  <c r="F30" i="33"/>
  <c r="F56" i="33" s="1"/>
  <c r="U30" i="33"/>
  <c r="U56" i="33" s="1"/>
  <c r="J30" i="33"/>
  <c r="J56" i="33" s="1"/>
  <c r="Q30" i="33"/>
  <c r="Q56" i="33" s="1"/>
  <c r="P30" i="33"/>
  <c r="P56" i="33" s="1"/>
  <c r="N30" i="33"/>
  <c r="N56" i="33" s="1"/>
  <c r="AC30" i="33"/>
  <c r="AC56" i="33" s="1"/>
  <c r="AA30" i="33"/>
  <c r="AA56" i="33" s="1"/>
  <c r="E30" i="33"/>
  <c r="E63" i="33" s="1"/>
  <c r="S30" i="33"/>
  <c r="S56" i="33" s="1"/>
  <c r="W30" i="33"/>
  <c r="W56" i="33" s="1"/>
  <c r="AB30" i="33"/>
  <c r="AB56" i="33" s="1"/>
  <c r="M30" i="33"/>
  <c r="M56" i="33" s="1"/>
  <c r="T30" i="33"/>
  <c r="T56" i="33" s="1"/>
  <c r="G48" i="36"/>
  <c r="G182" i="36" s="1"/>
  <c r="F182" i="36"/>
  <c r="S123" i="37"/>
  <c r="T45" i="37"/>
  <c r="H37" i="24"/>
  <c r="F37" i="24"/>
  <c r="K37" i="24"/>
  <c r="Q37" i="24"/>
  <c r="G89" i="18"/>
  <c r="H37" i="18"/>
  <c r="O37" i="24"/>
  <c r="M37" i="24"/>
  <c r="S37" i="24"/>
  <c r="I37" i="24"/>
  <c r="R37" i="24"/>
  <c r="G37" i="24"/>
  <c r="E42" i="29"/>
  <c r="E19" i="29" s="1"/>
  <c r="G33" i="8"/>
  <c r="H31" i="8"/>
  <c r="K8" i="24"/>
  <c r="K35" i="24" s="1"/>
  <c r="L6" i="24"/>
  <c r="BL45" i="28"/>
  <c r="BL47" i="28" s="1"/>
  <c r="BI45" i="28"/>
  <c r="BI47" i="28" s="1"/>
  <c r="BH45" i="28"/>
  <c r="BH47" i="28" s="1"/>
  <c r="BG45" i="28"/>
  <c r="BG47" i="28" s="1"/>
  <c r="BB45" i="28"/>
  <c r="BB47" i="28" s="1"/>
  <c r="BK45" i="28"/>
  <c r="BK47" i="28" s="1"/>
  <c r="BE45" i="28"/>
  <c r="BE47" i="28" s="1"/>
  <c r="I11" i="28"/>
  <c r="D14" i="28" s="1"/>
  <c r="D20" i="28" s="1"/>
  <c r="E18" i="28" s="1"/>
  <c r="E21" i="28" s="1"/>
  <c r="E19" i="28" s="1"/>
  <c r="E20" i="28" s="1"/>
  <c r="F18" i="28" s="1"/>
  <c r="BD45" i="28"/>
  <c r="BD47" i="28" s="1"/>
  <c r="BA45" i="28"/>
  <c r="BA47" i="28" s="1"/>
  <c r="BF45" i="28"/>
  <c r="BF47" i="28" s="1"/>
  <c r="BJ45" i="28"/>
  <c r="BJ47" i="28" s="1"/>
  <c r="BC45" i="28"/>
  <c r="BC47" i="28" s="1"/>
  <c r="F70" i="8"/>
  <c r="F34" i="8"/>
  <c r="H12" i="22"/>
  <c r="H30" i="22" s="1"/>
  <c r="I11" i="22"/>
  <c r="H22" i="22"/>
  <c r="F127" i="36"/>
  <c r="G14" i="5"/>
  <c r="G12" i="5"/>
  <c r="G13" i="5" s="1"/>
  <c r="H11" i="5" s="1"/>
  <c r="F63" i="33"/>
  <c r="F30" i="30"/>
  <c r="F66" i="30"/>
  <c r="H27" i="30"/>
  <c r="G29" i="30"/>
  <c r="I27" i="14"/>
  <c r="I21" i="14"/>
  <c r="J11" i="14"/>
  <c r="I12" i="14"/>
  <c r="H35" i="34"/>
  <c r="G36" i="34"/>
  <c r="I36" i="13"/>
  <c r="H36" i="13"/>
  <c r="F36" i="13"/>
  <c r="J36" i="13"/>
  <c r="E36" i="13"/>
  <c r="G36" i="13"/>
  <c r="H38" i="28"/>
  <c r="H36" i="28" s="1"/>
  <c r="H37" i="28" s="1"/>
  <c r="I35" i="28" s="1"/>
  <c r="G106" i="28"/>
  <c r="G104" i="28" s="1"/>
  <c r="G105" i="28" s="1"/>
  <c r="H103" i="28" s="1"/>
  <c r="G18" i="5"/>
  <c r="G19" i="5" s="1"/>
  <c r="H17" i="5" s="1"/>
  <c r="G20" i="5"/>
  <c r="F93" i="1"/>
  <c r="G90" i="1" s="1"/>
  <c r="G13" i="10"/>
  <c r="G29" i="15"/>
  <c r="G11" i="4"/>
  <c r="G19" i="3"/>
  <c r="G29" i="5"/>
  <c r="H16" i="3"/>
  <c r="G32" i="3"/>
  <c r="G89" i="35"/>
  <c r="H45" i="35"/>
  <c r="G48" i="35"/>
  <c r="F12" i="16"/>
  <c r="F28" i="5"/>
  <c r="H35" i="33"/>
  <c r="G36" i="33"/>
  <c r="J13" i="13"/>
  <c r="J18" i="12"/>
  <c r="K8" i="12"/>
  <c r="K18" i="12" s="1"/>
  <c r="F89" i="31"/>
  <c r="G45" i="31"/>
  <c r="D68" i="35"/>
  <c r="D58" i="35" s="1"/>
  <c r="E38" i="1"/>
  <c r="E36" i="1" s="1"/>
  <c r="E37" i="1" s="1"/>
  <c r="F35" i="1" s="1"/>
  <c r="E42" i="24"/>
  <c r="E19" i="24" s="1"/>
  <c r="F40" i="15"/>
  <c r="F38" i="15" s="1"/>
  <c r="F39" i="15" s="1"/>
  <c r="G37" i="15" s="1"/>
  <c r="H16" i="12"/>
  <c r="H15" i="12"/>
  <c r="I13" i="12" s="1"/>
  <c r="D50" i="1"/>
  <c r="D55" i="1" s="1"/>
  <c r="E53" i="1" s="1"/>
  <c r="F49" i="35"/>
  <c r="F122" i="35"/>
  <c r="F124" i="35" s="1"/>
  <c r="F138" i="35"/>
  <c r="F61" i="35"/>
  <c r="J8" i="29" l="1"/>
  <c r="J35" i="29" s="1"/>
  <c r="J39" i="29" s="1"/>
  <c r="K6" i="29"/>
  <c r="H39" i="26"/>
  <c r="G83" i="26"/>
  <c r="J9" i="17"/>
  <c r="J10" i="17" s="1"/>
  <c r="J29" i="17" s="1"/>
  <c r="I10" i="17"/>
  <c r="I29" i="17" s="1"/>
  <c r="F13" i="15"/>
  <c r="G11" i="15" s="1"/>
  <c r="F28" i="15"/>
  <c r="D30" i="17"/>
  <c r="D20" i="17" s="1"/>
  <c r="E18" i="17" s="1"/>
  <c r="E21" i="17" s="1"/>
  <c r="H48" i="36"/>
  <c r="H182" i="36" s="1"/>
  <c r="G63" i="33"/>
  <c r="E56" i="33"/>
  <c r="D32" i="33"/>
  <c r="G127" i="36"/>
  <c r="U45" i="37"/>
  <c r="T123" i="37"/>
  <c r="I37" i="18"/>
  <c r="H89" i="18"/>
  <c r="D50" i="28"/>
  <c r="D55" i="28" s="1"/>
  <c r="E53" i="28" s="1"/>
  <c r="E56" i="28" s="1"/>
  <c r="E54" i="28" s="1"/>
  <c r="E55" i="28" s="1"/>
  <c r="F53" i="28" s="1"/>
  <c r="F56" i="28" s="1"/>
  <c r="F54" i="28" s="1"/>
  <c r="F55" i="28" s="1"/>
  <c r="G53" i="28" s="1"/>
  <c r="G56" i="28" s="1"/>
  <c r="G54" i="28" s="1"/>
  <c r="G55" i="28" s="1"/>
  <c r="H53" i="28" s="1"/>
  <c r="H56" i="28" s="1"/>
  <c r="H54" i="28" s="1"/>
  <c r="H55" i="28" s="1"/>
  <c r="I53" i="28" s="1"/>
  <c r="J11" i="22"/>
  <c r="I12" i="22"/>
  <c r="I30" i="22" s="1"/>
  <c r="I22" i="22"/>
  <c r="G70" i="8"/>
  <c r="G34" i="8"/>
  <c r="H33" i="8"/>
  <c r="I31" i="8"/>
  <c r="F21" i="28"/>
  <c r="F19" i="28" s="1"/>
  <c r="F20" i="28" s="1"/>
  <c r="G18" i="28" s="1"/>
  <c r="L8" i="24"/>
  <c r="L35" i="24" s="1"/>
  <c r="M6" i="24"/>
  <c r="H36" i="34"/>
  <c r="I35" i="34"/>
  <c r="H29" i="30"/>
  <c r="I27" i="30"/>
  <c r="G30" i="30"/>
  <c r="G66" i="30"/>
  <c r="H12" i="5"/>
  <c r="H13" i="5" s="1"/>
  <c r="I11" i="5" s="1"/>
  <c r="H14" i="5"/>
  <c r="J27" i="14"/>
  <c r="J12" i="14"/>
  <c r="J21" i="14"/>
  <c r="H21" i="1"/>
  <c r="H19" i="1" s="1"/>
  <c r="H20" i="1" s="1"/>
  <c r="I18" i="1" s="1"/>
  <c r="G40" i="15"/>
  <c r="G38" i="15" s="1"/>
  <c r="G39" i="15" s="1"/>
  <c r="H37" i="15" s="1"/>
  <c r="H106" i="28"/>
  <c r="H104" i="28" s="1"/>
  <c r="H105" i="28" s="1"/>
  <c r="I103" i="28" s="1"/>
  <c r="I15" i="12"/>
  <c r="J13" i="12" s="1"/>
  <c r="I16" i="12"/>
  <c r="H13" i="10"/>
  <c r="H11" i="4"/>
  <c r="H29" i="5"/>
  <c r="I16" i="3"/>
  <c r="H19" i="3"/>
  <c r="H29" i="15"/>
  <c r="H32" i="3"/>
  <c r="I38" i="28"/>
  <c r="I36" i="28" s="1"/>
  <c r="I37" i="28" s="1"/>
  <c r="J35" i="28" s="1"/>
  <c r="J15" i="13"/>
  <c r="J31" i="13" s="1"/>
  <c r="J26" i="13"/>
  <c r="G89" i="31"/>
  <c r="H45" i="31"/>
  <c r="F16" i="16"/>
  <c r="H20" i="5"/>
  <c r="H18" i="5"/>
  <c r="H19" i="5" s="1"/>
  <c r="I17" i="5" s="1"/>
  <c r="F15" i="13"/>
  <c r="F31" i="13" s="1"/>
  <c r="F26" i="13"/>
  <c r="I35" i="33"/>
  <c r="H36" i="33"/>
  <c r="H63" i="33"/>
  <c r="F38" i="1"/>
  <c r="F36" i="1" s="1"/>
  <c r="F37" i="1" s="1"/>
  <c r="G35" i="1" s="1"/>
  <c r="G138" i="35"/>
  <c r="G49" i="35"/>
  <c r="G61" i="35"/>
  <c r="G122" i="35"/>
  <c r="G124" i="35" s="1"/>
  <c r="G15" i="13"/>
  <c r="G31" i="13" s="1"/>
  <c r="G26" i="13"/>
  <c r="H26" i="13"/>
  <c r="H15" i="13"/>
  <c r="H31" i="13" s="1"/>
  <c r="E56" i="1"/>
  <c r="E54" i="1" s="1"/>
  <c r="E55" i="1" s="1"/>
  <c r="F53" i="1" s="1"/>
  <c r="H89" i="35"/>
  <c r="I45" i="35"/>
  <c r="H48" i="35"/>
  <c r="G88" i="1"/>
  <c r="G91" i="1" s="1"/>
  <c r="G92" i="1" s="1"/>
  <c r="G95" i="1" s="1"/>
  <c r="G28" i="5"/>
  <c r="E15" i="13"/>
  <c r="E31" i="13" s="1"/>
  <c r="E26" i="13"/>
  <c r="I26" i="13"/>
  <c r="I15" i="13"/>
  <c r="I31" i="13" s="1"/>
  <c r="H127" i="36" l="1"/>
  <c r="G14" i="15"/>
  <c r="G12" i="15"/>
  <c r="G28" i="15" s="1"/>
  <c r="G13" i="15"/>
  <c r="H11" i="15" s="1"/>
  <c r="H83" i="26"/>
  <c r="I39" i="26"/>
  <c r="L6" i="29"/>
  <c r="K8" i="29"/>
  <c r="K35" i="29" s="1"/>
  <c r="K39" i="29" s="1"/>
  <c r="E19" i="17"/>
  <c r="E24" i="17"/>
  <c r="I48" i="36"/>
  <c r="I182" i="36" s="1"/>
  <c r="E32" i="33"/>
  <c r="D51" i="33"/>
  <c r="U123" i="37"/>
  <c r="V45" i="37"/>
  <c r="I89" i="18"/>
  <c r="J37" i="18"/>
  <c r="G21" i="28"/>
  <c r="G19" i="28" s="1"/>
  <c r="G20" i="28" s="1"/>
  <c r="H18" i="28" s="1"/>
  <c r="H21" i="28" s="1"/>
  <c r="H19" i="28" s="1"/>
  <c r="H20" i="28" s="1"/>
  <c r="I18" i="28" s="1"/>
  <c r="I21" i="28" s="1"/>
  <c r="I19" i="28" s="1"/>
  <c r="I20" i="28" s="1"/>
  <c r="H34" i="8"/>
  <c r="H70" i="8"/>
  <c r="M8" i="24"/>
  <c r="M35" i="24" s="1"/>
  <c r="N6" i="24"/>
  <c r="I33" i="8"/>
  <c r="J31" i="8"/>
  <c r="J22" i="22"/>
  <c r="J12" i="22"/>
  <c r="J30" i="22" s="1"/>
  <c r="D31" i="22" s="1"/>
  <c r="D19" i="22" s="1"/>
  <c r="E17" i="22" s="1"/>
  <c r="I12" i="5"/>
  <c r="I13" i="5" s="1"/>
  <c r="J11" i="5" s="1"/>
  <c r="I14" i="5"/>
  <c r="H30" i="30"/>
  <c r="H66" i="30"/>
  <c r="J27" i="30"/>
  <c r="I29" i="30"/>
  <c r="I36" i="34"/>
  <c r="J35" i="34"/>
  <c r="G38" i="1"/>
  <c r="G36" i="1" s="1"/>
  <c r="G37" i="1" s="1"/>
  <c r="H35" i="1" s="1"/>
  <c r="F56" i="1"/>
  <c r="F54" i="1" s="1"/>
  <c r="F55" i="1" s="1"/>
  <c r="G53" i="1" s="1"/>
  <c r="I56" i="28"/>
  <c r="I54" i="28" s="1"/>
  <c r="I55" i="28" s="1"/>
  <c r="J53" i="28" s="1"/>
  <c r="I106" i="28"/>
  <c r="I104" i="28" s="1"/>
  <c r="I105" i="28" s="1"/>
  <c r="J103" i="28" s="1"/>
  <c r="I21" i="1"/>
  <c r="I19" i="1" s="1"/>
  <c r="I20" i="1" s="1"/>
  <c r="I20" i="5"/>
  <c r="I18" i="5"/>
  <c r="I45" i="31"/>
  <c r="H89" i="31"/>
  <c r="H40" i="15"/>
  <c r="H38" i="15" s="1"/>
  <c r="H39" i="15" s="1"/>
  <c r="I37" i="15" s="1"/>
  <c r="G93" i="1"/>
  <c r="H90" i="1" s="1"/>
  <c r="H28" i="5"/>
  <c r="I11" i="4"/>
  <c r="I19" i="3"/>
  <c r="J16" i="3"/>
  <c r="I13" i="10"/>
  <c r="I29" i="5"/>
  <c r="I29" i="15"/>
  <c r="I32" i="3"/>
  <c r="J15" i="12"/>
  <c r="K13" i="12" s="1"/>
  <c r="J16" i="12"/>
  <c r="J38" i="28"/>
  <c r="J36" i="28" s="1"/>
  <c r="J37" i="28" s="1"/>
  <c r="K35" i="28" s="1"/>
  <c r="D32" i="13"/>
  <c r="D20" i="13" s="1"/>
  <c r="E18" i="13" s="1"/>
  <c r="H49" i="35"/>
  <c r="H61" i="35"/>
  <c r="H122" i="35"/>
  <c r="H124" i="35" s="1"/>
  <c r="H138" i="35"/>
  <c r="F17" i="16"/>
  <c r="G15" i="16" s="1"/>
  <c r="F32" i="16"/>
  <c r="I89" i="35"/>
  <c r="J45" i="35"/>
  <c r="I48" i="35"/>
  <c r="J35" i="33"/>
  <c r="I36" i="33"/>
  <c r="I63" i="33"/>
  <c r="E27" i="17" l="1"/>
  <c r="E20" i="17"/>
  <c r="F18" i="17" s="1"/>
  <c r="F21" i="17" s="1"/>
  <c r="E26" i="17"/>
  <c r="H12" i="15"/>
  <c r="H28" i="15" s="1"/>
  <c r="H14" i="15"/>
  <c r="M6" i="29"/>
  <c r="L8" i="29"/>
  <c r="L35" i="29" s="1"/>
  <c r="L39" i="29" s="1"/>
  <c r="J39" i="26"/>
  <c r="I83" i="26"/>
  <c r="I127" i="36"/>
  <c r="J48" i="36"/>
  <c r="J182" i="36" s="1"/>
  <c r="V123" i="37"/>
  <c r="W45" i="37"/>
  <c r="J89" i="18"/>
  <c r="K37" i="18"/>
  <c r="E20" i="22"/>
  <c r="O6" i="24"/>
  <c r="N8" i="24"/>
  <c r="N35" i="24" s="1"/>
  <c r="I34" i="8"/>
  <c r="I70" i="8"/>
  <c r="I28" i="5"/>
  <c r="J33" i="8"/>
  <c r="K31" i="8"/>
  <c r="J12" i="5"/>
  <c r="J13" i="5" s="1"/>
  <c r="K11" i="5" s="1"/>
  <c r="J14" i="5"/>
  <c r="I30" i="30"/>
  <c r="I66" i="30"/>
  <c r="J36" i="34"/>
  <c r="K35" i="34"/>
  <c r="K27" i="30"/>
  <c r="J29" i="30"/>
  <c r="I40" i="15"/>
  <c r="I38" i="15" s="1"/>
  <c r="I39" i="15" s="1"/>
  <c r="J37" i="15" s="1"/>
  <c r="J106" i="28"/>
  <c r="J104" i="28" s="1"/>
  <c r="J105" i="28" s="1"/>
  <c r="K103" i="28" s="1"/>
  <c r="K38" i="28"/>
  <c r="K36" i="28" s="1"/>
  <c r="K37" i="28" s="1"/>
  <c r="L35" i="28" s="1"/>
  <c r="J56" i="28"/>
  <c r="J54" i="28" s="1"/>
  <c r="J55" i="28" s="1"/>
  <c r="K53" i="28" s="1"/>
  <c r="I122" i="35"/>
  <c r="I124" i="35" s="1"/>
  <c r="I138" i="35"/>
  <c r="I49" i="35"/>
  <c r="I61" i="35"/>
  <c r="G56" i="1"/>
  <c r="G54" i="1" s="1"/>
  <c r="G55" i="1" s="1"/>
  <c r="H53" i="1" s="1"/>
  <c r="J89" i="35"/>
  <c r="K45" i="35"/>
  <c r="J48" i="35"/>
  <c r="E21" i="13"/>
  <c r="K16" i="12"/>
  <c r="K15" i="12"/>
  <c r="H88" i="1"/>
  <c r="H91" i="1" s="1"/>
  <c r="H92" i="1" s="1"/>
  <c r="H95" i="1" s="1"/>
  <c r="G18" i="16"/>
  <c r="G27" i="16" s="1"/>
  <c r="G28" i="16" s="1"/>
  <c r="G29" i="16" s="1"/>
  <c r="G30" i="16" s="1"/>
  <c r="G11" i="16" s="1"/>
  <c r="J19" i="3"/>
  <c r="J11" i="4"/>
  <c r="J32" i="3"/>
  <c r="J29" i="15"/>
  <c r="J29" i="5"/>
  <c r="K16" i="3"/>
  <c r="J13" i="10"/>
  <c r="J45" i="31"/>
  <c r="I89" i="31"/>
  <c r="H38" i="1"/>
  <c r="H36" i="1" s="1"/>
  <c r="H37" i="1" s="1"/>
  <c r="I35" i="1" s="1"/>
  <c r="F24" i="17"/>
  <c r="F19" i="17"/>
  <c r="F27" i="17" s="1"/>
  <c r="K35" i="33"/>
  <c r="J36" i="33"/>
  <c r="J63" i="33"/>
  <c r="I19" i="5"/>
  <c r="J17" i="5" s="1"/>
  <c r="M8" i="29" l="1"/>
  <c r="M35" i="29" s="1"/>
  <c r="M39" i="29" s="1"/>
  <c r="N6" i="29"/>
  <c r="H13" i="15"/>
  <c r="I11" i="15" s="1"/>
  <c r="K39" i="26"/>
  <c r="J83" i="26"/>
  <c r="J127" i="36"/>
  <c r="K48" i="36"/>
  <c r="K182" i="36" s="1"/>
  <c r="W123" i="37"/>
  <c r="X45" i="37"/>
  <c r="L37" i="18"/>
  <c r="K89" i="18"/>
  <c r="O8" i="24"/>
  <c r="O35" i="24" s="1"/>
  <c r="P6" i="24"/>
  <c r="L31" i="8"/>
  <c r="K33" i="8"/>
  <c r="J34" i="8"/>
  <c r="J70" i="8"/>
  <c r="E23" i="22"/>
  <c r="E18" i="22"/>
  <c r="J30" i="30"/>
  <c r="J66" i="30"/>
  <c r="K29" i="30"/>
  <c r="L27" i="30"/>
  <c r="K36" i="34"/>
  <c r="L35" i="34"/>
  <c r="K14" i="5"/>
  <c r="K12" i="5"/>
  <c r="K13" i="5" s="1"/>
  <c r="L11" i="5" s="1"/>
  <c r="H56" i="1"/>
  <c r="H54" i="1" s="1"/>
  <c r="H55" i="1" s="1"/>
  <c r="I53" i="1" s="1"/>
  <c r="I38" i="1"/>
  <c r="I36" i="1" s="1"/>
  <c r="I37" i="1" s="1"/>
  <c r="J35" i="1" s="1"/>
  <c r="K56" i="28"/>
  <c r="K54" i="28" s="1"/>
  <c r="K55" i="28" s="1"/>
  <c r="L53" i="28" s="1"/>
  <c r="L38" i="28"/>
  <c r="L36" i="28" s="1"/>
  <c r="L37" i="28" s="1"/>
  <c r="M35" i="28" s="1"/>
  <c r="G12" i="16"/>
  <c r="K36" i="33"/>
  <c r="L35" i="33"/>
  <c r="K63" i="33"/>
  <c r="E19" i="13"/>
  <c r="E29" i="13" s="1"/>
  <c r="E24" i="13"/>
  <c r="J122" i="35"/>
  <c r="J124" i="35" s="1"/>
  <c r="J138" i="35"/>
  <c r="J61" i="35"/>
  <c r="J49" i="35"/>
  <c r="K13" i="10"/>
  <c r="K32" i="3"/>
  <c r="L16" i="3"/>
  <c r="K19" i="3"/>
  <c r="K11" i="4"/>
  <c r="K29" i="15"/>
  <c r="K29" i="5"/>
  <c r="J20" i="5"/>
  <c r="J18" i="5"/>
  <c r="J19" i="5" s="1"/>
  <c r="K17" i="5" s="1"/>
  <c r="H93" i="1"/>
  <c r="I90" i="1" s="1"/>
  <c r="K89" i="35"/>
  <c r="L45" i="35"/>
  <c r="K48" i="35"/>
  <c r="J40" i="15"/>
  <c r="J38" i="15" s="1"/>
  <c r="J39" i="15" s="1"/>
  <c r="K37" i="15" s="1"/>
  <c r="F26" i="17"/>
  <c r="F20" i="17"/>
  <c r="G18" i="17" s="1"/>
  <c r="J89" i="31"/>
  <c r="K45" i="31"/>
  <c r="K106" i="28"/>
  <c r="K104" i="28" s="1"/>
  <c r="K105" i="28" s="1"/>
  <c r="L103" i="28" s="1"/>
  <c r="L48" i="36" l="1"/>
  <c r="L182" i="36" s="1"/>
  <c r="I14" i="15"/>
  <c r="I12" i="15"/>
  <c r="I28" i="15" s="1"/>
  <c r="I13" i="15"/>
  <c r="J11" i="15" s="1"/>
  <c r="N8" i="29"/>
  <c r="N35" i="29" s="1"/>
  <c r="N39" i="29" s="1"/>
  <c r="O6" i="29"/>
  <c r="L39" i="26"/>
  <c r="K83" i="26"/>
  <c r="K127" i="36"/>
  <c r="X123" i="37"/>
  <c r="Y45" i="37"/>
  <c r="L89" i="18"/>
  <c r="M37" i="18"/>
  <c r="M31" i="8"/>
  <c r="L33" i="8"/>
  <c r="K70" i="8"/>
  <c r="K34" i="8"/>
  <c r="Q6" i="24"/>
  <c r="P8" i="24"/>
  <c r="P35" i="24" s="1"/>
  <c r="E26" i="22"/>
  <c r="E27" i="22" s="1"/>
  <c r="E19" i="22"/>
  <c r="F17" i="22" s="1"/>
  <c r="L29" i="30"/>
  <c r="M27" i="30"/>
  <c r="K66" i="30"/>
  <c r="K30" i="30"/>
  <c r="M35" i="34"/>
  <c r="L36" i="34"/>
  <c r="L14" i="5"/>
  <c r="L12" i="5"/>
  <c r="L13" i="5" s="1"/>
  <c r="M11" i="5" s="1"/>
  <c r="M38" i="28"/>
  <c r="M36" i="28" s="1"/>
  <c r="M37" i="28" s="1"/>
  <c r="N35" i="28" s="1"/>
  <c r="L106" i="28"/>
  <c r="L104" i="28" s="1"/>
  <c r="L105" i="28" s="1"/>
  <c r="M103" i="28" s="1"/>
  <c r="K40" i="15"/>
  <c r="K38" i="15" s="1"/>
  <c r="K39" i="15" s="1"/>
  <c r="L37" i="15" s="1"/>
  <c r="L56" i="28"/>
  <c r="L54" i="28" s="1"/>
  <c r="L55" i="28" s="1"/>
  <c r="M53" i="28" s="1"/>
  <c r="I56" i="1"/>
  <c r="I54" i="1" s="1"/>
  <c r="I55" i="1" s="1"/>
  <c r="J53" i="1" s="1"/>
  <c r="L45" i="31"/>
  <c r="K89" i="31"/>
  <c r="L89" i="35"/>
  <c r="M45" i="35"/>
  <c r="L48" i="35"/>
  <c r="J28" i="5"/>
  <c r="E27" i="13"/>
  <c r="E28" i="13" s="1"/>
  <c r="E20" i="13"/>
  <c r="F18" i="13" s="1"/>
  <c r="L36" i="33"/>
  <c r="M35" i="33"/>
  <c r="L63" i="33"/>
  <c r="G21" i="17"/>
  <c r="K18" i="5"/>
  <c r="K20" i="5"/>
  <c r="I88" i="1"/>
  <c r="I91" i="1" s="1"/>
  <c r="I92" i="1" s="1"/>
  <c r="I95" i="1" s="1"/>
  <c r="G16" i="16"/>
  <c r="J37" i="1"/>
  <c r="K35" i="1" s="1"/>
  <c r="J38" i="1"/>
  <c r="J36" i="1" s="1"/>
  <c r="K138" i="35"/>
  <c r="K49" i="35"/>
  <c r="K61" i="35"/>
  <c r="K122" i="35"/>
  <c r="K124" i="35" s="1"/>
  <c r="L32" i="3"/>
  <c r="L29" i="5"/>
  <c r="L13" i="10"/>
  <c r="L11" i="4"/>
  <c r="M16" i="3"/>
  <c r="L19" i="3"/>
  <c r="L29" i="15"/>
  <c r="L127" i="36" l="1"/>
  <c r="M48" i="36"/>
  <c r="M182" i="36" s="1"/>
  <c r="J12" i="15"/>
  <c r="J14" i="15"/>
  <c r="L83" i="26"/>
  <c r="M39" i="26"/>
  <c r="P6" i="29"/>
  <c r="O8" i="29"/>
  <c r="O35" i="29" s="1"/>
  <c r="O39" i="29" s="1"/>
  <c r="Y123" i="37"/>
  <c r="Z45" i="37"/>
  <c r="N37" i="18"/>
  <c r="M89" i="18"/>
  <c r="E28" i="22"/>
  <c r="D34" i="22"/>
  <c r="E35" i="22" s="1"/>
  <c r="E37" i="22" s="1"/>
  <c r="D33" i="22"/>
  <c r="L34" i="8"/>
  <c r="L70" i="8"/>
  <c r="F20" i="22"/>
  <c r="R6" i="24"/>
  <c r="Q8" i="24"/>
  <c r="Q35" i="24" s="1"/>
  <c r="M33" i="8"/>
  <c r="N31" i="8"/>
  <c r="N35" i="34"/>
  <c r="M36" i="34"/>
  <c r="M14" i="5"/>
  <c r="M12" i="5"/>
  <c r="M13" i="5" s="1"/>
  <c r="N11" i="5" s="1"/>
  <c r="N27" i="30"/>
  <c r="M29" i="30"/>
  <c r="K28" i="5"/>
  <c r="L30" i="30"/>
  <c r="L66" i="30"/>
  <c r="N38" i="28"/>
  <c r="N36" i="28" s="1"/>
  <c r="N37" i="28" s="1"/>
  <c r="J56" i="1"/>
  <c r="J54" i="1" s="1"/>
  <c r="J55" i="1" s="1"/>
  <c r="K53" i="1" s="1"/>
  <c r="G17" i="16"/>
  <c r="H15" i="16" s="1"/>
  <c r="G32" i="16"/>
  <c r="G24" i="17"/>
  <c r="G19" i="17"/>
  <c r="G27" i="17" s="1"/>
  <c r="M32" i="3"/>
  <c r="M13" i="10"/>
  <c r="M29" i="15"/>
  <c r="N16" i="3"/>
  <c r="M19" i="3"/>
  <c r="M29" i="5"/>
  <c r="M11" i="4"/>
  <c r="K38" i="1"/>
  <c r="K36" i="1" s="1"/>
  <c r="K37" i="1" s="1"/>
  <c r="L35" i="1" s="1"/>
  <c r="F21" i="13"/>
  <c r="M56" i="28"/>
  <c r="M54" i="28" s="1"/>
  <c r="M55" i="28" s="1"/>
  <c r="N53" i="28" s="1"/>
  <c r="M106" i="28"/>
  <c r="M104" i="28" s="1"/>
  <c r="M105" i="28" s="1"/>
  <c r="N103" i="28" s="1"/>
  <c r="I93" i="1"/>
  <c r="J90" i="1" s="1"/>
  <c r="K19" i="5"/>
  <c r="L17" i="5" s="1"/>
  <c r="L138" i="35"/>
  <c r="L49" i="35"/>
  <c r="L61" i="35"/>
  <c r="L122" i="35"/>
  <c r="L124" i="35" s="1"/>
  <c r="L89" i="31"/>
  <c r="M45" i="31"/>
  <c r="N35" i="33"/>
  <c r="M36" i="33"/>
  <c r="M63" i="33"/>
  <c r="M89" i="35"/>
  <c r="N45" i="35"/>
  <c r="M48" i="35"/>
  <c r="L40" i="15"/>
  <c r="L38" i="15" s="1"/>
  <c r="L39" i="15" s="1"/>
  <c r="M37" i="15" s="1"/>
  <c r="M127" i="36" l="1"/>
  <c r="N48" i="36"/>
  <c r="N182" i="36" s="1"/>
  <c r="N39" i="26"/>
  <c r="M83" i="26"/>
  <c r="P8" i="29"/>
  <c r="P35" i="29" s="1"/>
  <c r="P39" i="29" s="1"/>
  <c r="Q6" i="29"/>
  <c r="J13" i="15"/>
  <c r="K11" i="15" s="1"/>
  <c r="J28" i="15"/>
  <c r="Z123" i="37"/>
  <c r="AA45" i="37"/>
  <c r="N89" i="18"/>
  <c r="O37" i="18"/>
  <c r="N33" i="8"/>
  <c r="O31" i="8"/>
  <c r="S6" i="24"/>
  <c r="R8" i="24"/>
  <c r="M34" i="8"/>
  <c r="M70" i="8"/>
  <c r="F18" i="22"/>
  <c r="F23" i="22"/>
  <c r="M66" i="30"/>
  <c r="M30" i="30"/>
  <c r="N29" i="30"/>
  <c r="O27" i="30"/>
  <c r="N14" i="5"/>
  <c r="N12" i="5"/>
  <c r="N13" i="5" s="1"/>
  <c r="O11" i="5" s="1"/>
  <c r="O35" i="34"/>
  <c r="N36" i="34"/>
  <c r="N106" i="28"/>
  <c r="N104" i="28" s="1"/>
  <c r="N105" i="28" s="1"/>
  <c r="O103" i="28" s="1"/>
  <c r="N56" i="28"/>
  <c r="N54" i="28" s="1"/>
  <c r="N55" i="28" s="1"/>
  <c r="O53" i="28" s="1"/>
  <c r="L38" i="1"/>
  <c r="L36" i="1" s="1"/>
  <c r="L37" i="1" s="1"/>
  <c r="M35" i="1" s="1"/>
  <c r="K56" i="1"/>
  <c r="K54" i="1" s="1"/>
  <c r="K55" i="1" s="1"/>
  <c r="L53" i="1" s="1"/>
  <c r="M40" i="15"/>
  <c r="M38" i="15" s="1"/>
  <c r="M39" i="15" s="1"/>
  <c r="N37" i="15" s="1"/>
  <c r="O35" i="33"/>
  <c r="N36" i="33"/>
  <c r="N63" i="33"/>
  <c r="N11" i="4"/>
  <c r="N13" i="10"/>
  <c r="N29" i="5"/>
  <c r="N29" i="15"/>
  <c r="N32" i="3"/>
  <c r="N19" i="3"/>
  <c r="O16" i="3"/>
  <c r="M122" i="35"/>
  <c r="M124" i="35" s="1"/>
  <c r="M138" i="35"/>
  <c r="M49" i="35"/>
  <c r="M61" i="35"/>
  <c r="N45" i="31"/>
  <c r="M89" i="31"/>
  <c r="L18" i="5"/>
  <c r="L19" i="5" s="1"/>
  <c r="M17" i="5" s="1"/>
  <c r="L20" i="5"/>
  <c r="H18" i="16"/>
  <c r="H27" i="16" s="1"/>
  <c r="H28" i="16" s="1"/>
  <c r="H29" i="16" s="1"/>
  <c r="H30" i="16" s="1"/>
  <c r="H11" i="16" s="1"/>
  <c r="N89" i="35"/>
  <c r="O45" i="35"/>
  <c r="N48" i="35"/>
  <c r="J88" i="1"/>
  <c r="J91" i="1" s="1"/>
  <c r="J92" i="1" s="1"/>
  <c r="J95" i="1" s="1"/>
  <c r="F19" i="13"/>
  <c r="F24" i="13"/>
  <c r="G26" i="17"/>
  <c r="G20" i="17"/>
  <c r="H18" i="17" s="1"/>
  <c r="N127" i="36"/>
  <c r="O48" i="36" l="1"/>
  <c r="O182" i="36" s="1"/>
  <c r="R6" i="29"/>
  <c r="Q8" i="29"/>
  <c r="Q35" i="29" s="1"/>
  <c r="Q39" i="29" s="1"/>
  <c r="K14" i="15"/>
  <c r="K12" i="15"/>
  <c r="N83" i="26"/>
  <c r="O39" i="26"/>
  <c r="AA123" i="37"/>
  <c r="AB45" i="37"/>
  <c r="O89" i="18"/>
  <c r="P37" i="18"/>
  <c r="F26" i="22"/>
  <c r="F27" i="22" s="1"/>
  <c r="F19" i="22"/>
  <c r="G17" i="22" s="1"/>
  <c r="S8" i="24"/>
  <c r="S35" i="24" s="1"/>
  <c r="T6" i="24"/>
  <c r="T8" i="24" s="1"/>
  <c r="T35" i="24" s="1"/>
  <c r="O33" i="8"/>
  <c r="P31" i="8"/>
  <c r="R35" i="24"/>
  <c r="N70" i="8"/>
  <c r="N34" i="8"/>
  <c r="O36" i="34"/>
  <c r="P35" i="34"/>
  <c r="P27" i="30"/>
  <c r="O29" i="30"/>
  <c r="N66" i="30"/>
  <c r="N30" i="30"/>
  <c r="O14" i="5"/>
  <c r="O12" i="5"/>
  <c r="O13" i="5" s="1"/>
  <c r="P11" i="5" s="1"/>
  <c r="O106" i="28"/>
  <c r="O104" i="28" s="1"/>
  <c r="O105" i="28" s="1"/>
  <c r="P103" i="28" s="1"/>
  <c r="M38" i="1"/>
  <c r="M36" i="1" s="1"/>
  <c r="M37" i="1" s="1"/>
  <c r="N35" i="1" s="1"/>
  <c r="O89" i="35"/>
  <c r="P45" i="35"/>
  <c r="O48" i="35"/>
  <c r="F27" i="13"/>
  <c r="F20" i="13"/>
  <c r="G18" i="13" s="1"/>
  <c r="L28" i="5"/>
  <c r="N89" i="31"/>
  <c r="O45" i="31"/>
  <c r="M20" i="5"/>
  <c r="M18" i="5"/>
  <c r="M19" i="5" s="1"/>
  <c r="N17" i="5" s="1"/>
  <c r="L56" i="1"/>
  <c r="L54" i="1" s="1"/>
  <c r="L55" i="1" s="1"/>
  <c r="M53" i="1" s="1"/>
  <c r="O56" i="28"/>
  <c r="O54" i="28" s="1"/>
  <c r="O55" i="28" s="1"/>
  <c r="P53" i="28" s="1"/>
  <c r="P48" i="36"/>
  <c r="P182" i="36" s="1"/>
  <c r="O127" i="36"/>
  <c r="H21" i="17"/>
  <c r="F29" i="13"/>
  <c r="J93" i="1"/>
  <c r="K90" i="1" s="1"/>
  <c r="N138" i="35"/>
  <c r="N61" i="35"/>
  <c r="N49" i="35"/>
  <c r="N122" i="35"/>
  <c r="N124" i="35" s="1"/>
  <c r="H12" i="16"/>
  <c r="P35" i="33"/>
  <c r="O36" i="33"/>
  <c r="O63" i="33"/>
  <c r="F28" i="13"/>
  <c r="O19" i="3"/>
  <c r="O11" i="4"/>
  <c r="O29" i="15"/>
  <c r="O29" i="5"/>
  <c r="P16" i="3"/>
  <c r="O32" i="3"/>
  <c r="O13" i="10"/>
  <c r="N40" i="15"/>
  <c r="N38" i="15" s="1"/>
  <c r="N39" i="15" s="1"/>
  <c r="O37" i="15" s="1"/>
  <c r="K28" i="15" l="1"/>
  <c r="K13" i="15"/>
  <c r="L11" i="15" s="1"/>
  <c r="O83" i="26"/>
  <c r="P39" i="26"/>
  <c r="S6" i="29"/>
  <c r="R8" i="29"/>
  <c r="R35" i="29" s="1"/>
  <c r="R39" i="29" s="1"/>
  <c r="AC45" i="37"/>
  <c r="AB123" i="37"/>
  <c r="P89" i="18"/>
  <c r="Q37" i="18"/>
  <c r="P33" i="8"/>
  <c r="Q31" i="8"/>
  <c r="G20" i="22"/>
  <c r="E17" i="24"/>
  <c r="O70" i="8"/>
  <c r="O34" i="8"/>
  <c r="E10" i="24"/>
  <c r="E34" i="22"/>
  <c r="F35" i="22" s="1"/>
  <c r="F37" i="22" s="1"/>
  <c r="F28" i="22"/>
  <c r="E33" i="22"/>
  <c r="O30" i="30"/>
  <c r="O66" i="30"/>
  <c r="P36" i="34"/>
  <c r="Q35" i="34"/>
  <c r="P12" i="5"/>
  <c r="P13" i="5" s="1"/>
  <c r="Q11" i="5" s="1"/>
  <c r="P14" i="5"/>
  <c r="P29" i="30"/>
  <c r="Q27" i="30"/>
  <c r="M56" i="1"/>
  <c r="M54" i="1" s="1"/>
  <c r="M55" i="1" s="1"/>
  <c r="N53" i="1" s="1"/>
  <c r="P56" i="28"/>
  <c r="P54" i="28" s="1"/>
  <c r="P55" i="28" s="1"/>
  <c r="Q53" i="28" s="1"/>
  <c r="N20" i="5"/>
  <c r="N18" i="5"/>
  <c r="P106" i="28"/>
  <c r="P104" i="28" s="1"/>
  <c r="P105" i="28" s="1"/>
  <c r="Q103" i="28" s="1"/>
  <c r="D34" i="13"/>
  <c r="E35" i="13" s="1"/>
  <c r="E37" i="13" s="1"/>
  <c r="P36" i="33"/>
  <c r="Q35" i="33"/>
  <c r="P63" i="33"/>
  <c r="M28" i="5"/>
  <c r="O89" i="31"/>
  <c r="P45" i="31"/>
  <c r="G21" i="13"/>
  <c r="O138" i="35"/>
  <c r="O49" i="35"/>
  <c r="O61" i="35"/>
  <c r="O122" i="35"/>
  <c r="O124" i="35" s="1"/>
  <c r="H16" i="16"/>
  <c r="O40" i="15"/>
  <c r="O38" i="15" s="1"/>
  <c r="O39" i="15" s="1"/>
  <c r="P37" i="15" s="1"/>
  <c r="P11" i="4"/>
  <c r="P19" i="3"/>
  <c r="P13" i="10"/>
  <c r="P29" i="15"/>
  <c r="P29" i="5"/>
  <c r="Q16" i="3"/>
  <c r="P32" i="3"/>
  <c r="K88" i="1"/>
  <c r="K91" i="1" s="1"/>
  <c r="K92" i="1" s="1"/>
  <c r="K95" i="1" s="1"/>
  <c r="H24" i="17"/>
  <c r="H19" i="17"/>
  <c r="H27" i="17" s="1"/>
  <c r="Q48" i="36"/>
  <c r="Q182" i="36" s="1"/>
  <c r="P127" i="36"/>
  <c r="Q45" i="35"/>
  <c r="P89" i="35"/>
  <c r="P48" i="35"/>
  <c r="N38" i="1"/>
  <c r="N36" i="1" s="1"/>
  <c r="N37" i="1" s="1"/>
  <c r="P83" i="26" l="1"/>
  <c r="Q39" i="26"/>
  <c r="L12" i="15"/>
  <c r="L14" i="15"/>
  <c r="T6" i="29"/>
  <c r="T8" i="29" s="1"/>
  <c r="T35" i="29" s="1"/>
  <c r="T39" i="29" s="1"/>
  <c r="S8" i="29"/>
  <c r="AC123" i="37"/>
  <c r="AD45" i="37"/>
  <c r="Q89" i="18"/>
  <c r="R37" i="18"/>
  <c r="G23" i="22"/>
  <c r="G18" i="22"/>
  <c r="R31" i="8"/>
  <c r="Q33" i="8"/>
  <c r="E23" i="24"/>
  <c r="E24" i="24"/>
  <c r="E26" i="24" s="1"/>
  <c r="F26" i="24" s="1"/>
  <c r="P70" i="8"/>
  <c r="P34" i="8"/>
  <c r="N28" i="5"/>
  <c r="R27" i="30"/>
  <c r="Q29" i="30"/>
  <c r="Q12" i="5"/>
  <c r="Q13" i="5" s="1"/>
  <c r="R11" i="5" s="1"/>
  <c r="Q14" i="5"/>
  <c r="P66" i="30"/>
  <c r="P30" i="30"/>
  <c r="Q36" i="34"/>
  <c r="R35" i="34"/>
  <c r="K93" i="1"/>
  <c r="L90" i="1" s="1"/>
  <c r="L88" i="1" s="1"/>
  <c r="L91" i="1" s="1"/>
  <c r="L92" i="1" s="1"/>
  <c r="P40" i="15"/>
  <c r="P38" i="15" s="1"/>
  <c r="P39" i="15" s="1"/>
  <c r="Q37" i="15" s="1"/>
  <c r="Q106" i="28"/>
  <c r="Q104" i="28" s="1"/>
  <c r="Q105" i="28" s="1"/>
  <c r="R103" i="28" s="1"/>
  <c r="P122" i="35"/>
  <c r="P124" i="35" s="1"/>
  <c r="P138" i="35"/>
  <c r="P49" i="35"/>
  <c r="P61" i="35"/>
  <c r="Q56" i="28"/>
  <c r="Q54" i="28" s="1"/>
  <c r="Q55" i="28" s="1"/>
  <c r="R53" i="28" s="1"/>
  <c r="Q89" i="35"/>
  <c r="R45" i="35"/>
  <c r="Q48" i="35"/>
  <c r="R48" i="36"/>
  <c r="R182" i="36" s="1"/>
  <c r="Q127" i="36"/>
  <c r="H26" i="17"/>
  <c r="H20" i="17"/>
  <c r="I18" i="17" s="1"/>
  <c r="Q29" i="5"/>
  <c r="R16" i="3"/>
  <c r="Q19" i="3"/>
  <c r="Q11" i="4"/>
  <c r="Q29" i="15"/>
  <c r="Q32" i="3"/>
  <c r="Q13" i="10"/>
  <c r="H17" i="16"/>
  <c r="I15" i="16" s="1"/>
  <c r="H32" i="16"/>
  <c r="P89" i="31"/>
  <c r="Q45" i="31"/>
  <c r="N19" i="5"/>
  <c r="O17" i="5" s="1"/>
  <c r="G24" i="13"/>
  <c r="G19" i="13"/>
  <c r="G29" i="13" s="1"/>
  <c r="R35" i="33"/>
  <c r="Q36" i="33"/>
  <c r="Q63" i="33"/>
  <c r="N56" i="1"/>
  <c r="N54" i="1" s="1"/>
  <c r="N55" i="1" s="1"/>
  <c r="O53" i="1" s="1"/>
  <c r="L28" i="15" l="1"/>
  <c r="L13" i="15"/>
  <c r="M11" i="15" s="1"/>
  <c r="S35" i="29"/>
  <c r="S39" i="29" s="1"/>
  <c r="E17" i="29"/>
  <c r="E10" i="29"/>
  <c r="R39" i="26"/>
  <c r="Q83" i="26"/>
  <c r="AD123" i="37"/>
  <c r="AE45" i="37"/>
  <c r="R89" i="18"/>
  <c r="S37" i="18"/>
  <c r="S31" i="8"/>
  <c r="R33" i="8"/>
  <c r="Q34" i="8"/>
  <c r="Q70" i="8"/>
  <c r="G26" i="24"/>
  <c r="F27" i="24"/>
  <c r="F31" i="24" s="1"/>
  <c r="G26" i="22"/>
  <c r="G27" i="22" s="1"/>
  <c r="G19" i="22"/>
  <c r="H17" i="22" s="1"/>
  <c r="R36" i="34"/>
  <c r="S35" i="34"/>
  <c r="Q30" i="30"/>
  <c r="Q66" i="30"/>
  <c r="S27" i="30"/>
  <c r="R29" i="30"/>
  <c r="R14" i="5"/>
  <c r="R12" i="5"/>
  <c r="R13" i="5" s="1"/>
  <c r="S11" i="5" s="1"/>
  <c r="L95" i="1"/>
  <c r="L93" i="1"/>
  <c r="M90" i="1" s="1"/>
  <c r="Q40" i="15"/>
  <c r="Q38" i="15" s="1"/>
  <c r="Q39" i="15" s="1"/>
  <c r="R37" i="15" s="1"/>
  <c r="R56" i="28"/>
  <c r="R54" i="28" s="1"/>
  <c r="R55" i="28" s="1"/>
  <c r="S53" i="28" s="1"/>
  <c r="O56" i="1"/>
  <c r="O54" i="1" s="1"/>
  <c r="O55" i="1" s="1"/>
  <c r="P53" i="1" s="1"/>
  <c r="I18" i="16"/>
  <c r="I27" i="16" s="1"/>
  <c r="I28" i="16" s="1"/>
  <c r="I29" i="16" s="1"/>
  <c r="I30" i="16" s="1"/>
  <c r="I11" i="16" s="1"/>
  <c r="R106" i="28"/>
  <c r="R104" i="28" s="1"/>
  <c r="R105" i="28" s="1"/>
  <c r="S103" i="28" s="1"/>
  <c r="Q89" i="31"/>
  <c r="R45" i="31"/>
  <c r="R13" i="10"/>
  <c r="R29" i="15"/>
  <c r="R11" i="4"/>
  <c r="R29" i="5"/>
  <c r="S16" i="3"/>
  <c r="R32" i="3"/>
  <c r="R19" i="3"/>
  <c r="S48" i="36"/>
  <c r="S182" i="36" s="1"/>
  <c r="R127" i="36"/>
  <c r="S35" i="33"/>
  <c r="R36" i="33"/>
  <c r="R63" i="33"/>
  <c r="O18" i="5"/>
  <c r="O20" i="5"/>
  <c r="I21" i="17"/>
  <c r="Q122" i="35"/>
  <c r="Q124" i="35" s="1"/>
  <c r="Q138" i="35"/>
  <c r="Q49" i="35"/>
  <c r="Q61" i="35"/>
  <c r="G27" i="13"/>
  <c r="G28" i="13" s="1"/>
  <c r="G20" i="13"/>
  <c r="H18" i="13" s="1"/>
  <c r="S45" i="35"/>
  <c r="R89" i="35"/>
  <c r="R48" i="35"/>
  <c r="R83" i="26" l="1"/>
  <c r="S39" i="26"/>
  <c r="M12" i="15"/>
  <c r="M14" i="15"/>
  <c r="O28" i="5"/>
  <c r="AE123" i="37"/>
  <c r="AF45" i="37"/>
  <c r="S89" i="18"/>
  <c r="T37" i="18"/>
  <c r="F33" i="22"/>
  <c r="F34" i="22"/>
  <c r="G35" i="22" s="1"/>
  <c r="G37" i="22" s="1"/>
  <c r="G28" i="22"/>
  <c r="H20" i="22"/>
  <c r="O19" i="5"/>
  <c r="P17" i="5" s="1"/>
  <c r="F32" i="24"/>
  <c r="G30" i="24" s="1"/>
  <c r="G33" i="24" s="1"/>
  <c r="F36" i="24"/>
  <c r="F38" i="24" s="1"/>
  <c r="F39" i="24" s="1"/>
  <c r="R34" i="8"/>
  <c r="R70" i="8"/>
  <c r="H26" i="24"/>
  <c r="G27" i="24"/>
  <c r="S33" i="8"/>
  <c r="T31" i="8"/>
  <c r="S29" i="30"/>
  <c r="T27" i="30"/>
  <c r="S12" i="5"/>
  <c r="S13" i="5" s="1"/>
  <c r="T11" i="5" s="1"/>
  <c r="S14" i="5"/>
  <c r="T35" i="34"/>
  <c r="S36" i="34"/>
  <c r="R30" i="30"/>
  <c r="R66" i="30"/>
  <c r="S56" i="28"/>
  <c r="S54" i="28" s="1"/>
  <c r="S55" i="28" s="1"/>
  <c r="T53" i="28" s="1"/>
  <c r="E34" i="13"/>
  <c r="F35" i="13" s="1"/>
  <c r="F37" i="13" s="1"/>
  <c r="P56" i="1"/>
  <c r="P54" i="1" s="1"/>
  <c r="P55" i="1" s="1"/>
  <c r="Q53" i="1" s="1"/>
  <c r="R40" i="15"/>
  <c r="R38" i="15" s="1"/>
  <c r="R39" i="15" s="1"/>
  <c r="S37" i="15" s="1"/>
  <c r="S106" i="28"/>
  <c r="S104" i="28" s="1"/>
  <c r="S105" i="28" s="1"/>
  <c r="T103" i="28" s="1"/>
  <c r="H21" i="13"/>
  <c r="S45" i="31"/>
  <c r="R89" i="31"/>
  <c r="R122" i="35"/>
  <c r="R124" i="35" s="1"/>
  <c r="R138" i="35"/>
  <c r="R61" i="35"/>
  <c r="R49" i="35"/>
  <c r="T35" i="33"/>
  <c r="S36" i="33"/>
  <c r="S63" i="33"/>
  <c r="S29" i="15"/>
  <c r="S11" i="4"/>
  <c r="S19" i="3"/>
  <c r="S13" i="10"/>
  <c r="S29" i="5"/>
  <c r="S32" i="3"/>
  <c r="T16" i="3"/>
  <c r="P20" i="5"/>
  <c r="P18" i="5"/>
  <c r="I12" i="16"/>
  <c r="M88" i="1"/>
  <c r="M91" i="1" s="1"/>
  <c r="M92" i="1" s="1"/>
  <c r="M95" i="1" s="1"/>
  <c r="S89" i="35"/>
  <c r="T45" i="35"/>
  <c r="S48" i="35"/>
  <c r="I24" i="17"/>
  <c r="I19" i="17"/>
  <c r="I27" i="17" s="1"/>
  <c r="T48" i="36"/>
  <c r="T182" i="36" s="1"/>
  <c r="S127" i="36"/>
  <c r="M28" i="15" l="1"/>
  <c r="M13" i="15"/>
  <c r="N11" i="15" s="1"/>
  <c r="S83" i="26"/>
  <c r="T39" i="26"/>
  <c r="AF123" i="37"/>
  <c r="AG45" i="37"/>
  <c r="T89" i="18"/>
  <c r="U37" i="18"/>
  <c r="G31" i="24"/>
  <c r="G32" i="24" s="1"/>
  <c r="H30" i="24" s="1"/>
  <c r="H33" i="24" s="1"/>
  <c r="H18" i="22"/>
  <c r="H23" i="22"/>
  <c r="H27" i="24"/>
  <c r="I26" i="24"/>
  <c r="G36" i="24"/>
  <c r="G38" i="24" s="1"/>
  <c r="G39" i="24" s="1"/>
  <c r="U31" i="8"/>
  <c r="T33" i="8"/>
  <c r="P28" i="5"/>
  <c r="S70" i="8"/>
  <c r="S34" i="8"/>
  <c r="T29" i="30"/>
  <c r="U27" i="30"/>
  <c r="M93" i="1"/>
  <c r="N90" i="1" s="1"/>
  <c r="N88" i="1" s="1"/>
  <c r="N91" i="1" s="1"/>
  <c r="N92" i="1" s="1"/>
  <c r="N95" i="1" s="1"/>
  <c r="S30" i="30"/>
  <c r="S66" i="30"/>
  <c r="U35" i="34"/>
  <c r="T36" i="34"/>
  <c r="T12" i="5"/>
  <c r="T13" i="5" s="1"/>
  <c r="U11" i="5" s="1"/>
  <c r="T14" i="5"/>
  <c r="T56" i="28"/>
  <c r="T54" i="28" s="1"/>
  <c r="T55" i="28" s="1"/>
  <c r="U53" i="28" s="1"/>
  <c r="T106" i="28"/>
  <c r="T104" i="28" s="1"/>
  <c r="T105" i="28" s="1"/>
  <c r="U103" i="28" s="1"/>
  <c r="U48" i="36"/>
  <c r="U182" i="36" s="1"/>
  <c r="T127" i="36"/>
  <c r="I26" i="17"/>
  <c r="I20" i="17"/>
  <c r="J18" i="17" s="1"/>
  <c r="S89" i="31"/>
  <c r="T45" i="31"/>
  <c r="H24" i="13"/>
  <c r="H19" i="13"/>
  <c r="H29" i="13" s="1"/>
  <c r="S40" i="15"/>
  <c r="S38" i="15" s="1"/>
  <c r="S39" i="15" s="1"/>
  <c r="S49" i="35"/>
  <c r="S61" i="35"/>
  <c r="S122" i="35"/>
  <c r="S124" i="35" s="1"/>
  <c r="S138" i="35"/>
  <c r="U45" i="35"/>
  <c r="T89" i="35"/>
  <c r="T48" i="35"/>
  <c r="P19" i="5"/>
  <c r="Q17" i="5" s="1"/>
  <c r="I16" i="16"/>
  <c r="T29" i="5"/>
  <c r="T32" i="3"/>
  <c r="T13" i="10"/>
  <c r="T11" i="4"/>
  <c r="T19" i="3"/>
  <c r="U16" i="3"/>
  <c r="T29" i="15"/>
  <c r="U35" i="33"/>
  <c r="T36" i="33"/>
  <c r="T63" i="33"/>
  <c r="Q56" i="1"/>
  <c r="Q54" i="1" s="1"/>
  <c r="Q55" i="1" s="1"/>
  <c r="R53" i="1" s="1"/>
  <c r="N14" i="15" l="1"/>
  <c r="N12" i="15"/>
  <c r="T83" i="26"/>
  <c r="U39" i="26"/>
  <c r="H31" i="24"/>
  <c r="H32" i="24" s="1"/>
  <c r="I30" i="24" s="1"/>
  <c r="I33" i="24" s="1"/>
  <c r="AG123" i="37"/>
  <c r="AH45" i="37"/>
  <c r="U89" i="18"/>
  <c r="V37" i="18"/>
  <c r="U33" i="8"/>
  <c r="V31" i="8"/>
  <c r="T34" i="8"/>
  <c r="T70" i="8"/>
  <c r="H26" i="22"/>
  <c r="H27" i="22" s="1"/>
  <c r="H19" i="22"/>
  <c r="I17" i="22" s="1"/>
  <c r="J26" i="24"/>
  <c r="I27" i="24"/>
  <c r="I31" i="24" s="1"/>
  <c r="I32" i="24" s="1"/>
  <c r="J30" i="24" s="1"/>
  <c r="H36" i="24"/>
  <c r="H38" i="24" s="1"/>
  <c r="H39" i="24" s="1"/>
  <c r="N93" i="1"/>
  <c r="O90" i="1" s="1"/>
  <c r="O88" i="1" s="1"/>
  <c r="O91" i="1" s="1"/>
  <c r="V27" i="30"/>
  <c r="U29" i="30"/>
  <c r="U12" i="5"/>
  <c r="U13" i="5" s="1"/>
  <c r="V11" i="5" s="1"/>
  <c r="U14" i="5"/>
  <c r="T66" i="30"/>
  <c r="T30" i="30"/>
  <c r="V35" i="34"/>
  <c r="U36" i="34"/>
  <c r="U56" i="28"/>
  <c r="U54" i="28" s="1"/>
  <c r="U55" i="28" s="1"/>
  <c r="V53" i="28" s="1"/>
  <c r="R56" i="1"/>
  <c r="R54" i="1" s="1"/>
  <c r="R55" i="1" s="1"/>
  <c r="S53" i="1" s="1"/>
  <c r="U106" i="28"/>
  <c r="U104" i="28" s="1"/>
  <c r="U105" i="28" s="1"/>
  <c r="V103" i="28" s="1"/>
  <c r="T61" i="35"/>
  <c r="T122" i="35"/>
  <c r="T124" i="35" s="1"/>
  <c r="T138" i="35"/>
  <c r="T49" i="35"/>
  <c r="D42" i="15"/>
  <c r="T37" i="15"/>
  <c r="V35" i="33"/>
  <c r="U36" i="33"/>
  <c r="U63" i="33"/>
  <c r="U29" i="15"/>
  <c r="V16" i="3"/>
  <c r="U19" i="3"/>
  <c r="U29" i="5"/>
  <c r="U11" i="4"/>
  <c r="U32" i="3"/>
  <c r="U13" i="10"/>
  <c r="I17" i="16"/>
  <c r="J15" i="16" s="1"/>
  <c r="I32" i="16"/>
  <c r="H27" i="13"/>
  <c r="H20" i="13"/>
  <c r="I18" i="13" s="1"/>
  <c r="T89" i="31"/>
  <c r="U45" i="31"/>
  <c r="J21" i="17"/>
  <c r="V48" i="36"/>
  <c r="V182" i="36" s="1"/>
  <c r="U127" i="36"/>
  <c r="Q20" i="5"/>
  <c r="Q18" i="5"/>
  <c r="Q19" i="5" s="1"/>
  <c r="R17" i="5" s="1"/>
  <c r="U89" i="35"/>
  <c r="V45" i="35"/>
  <c r="U48" i="35"/>
  <c r="H28" i="13"/>
  <c r="V39" i="26" l="1"/>
  <c r="U83" i="26"/>
  <c r="N28" i="15"/>
  <c r="N13" i="15"/>
  <c r="O11" i="15" s="1"/>
  <c r="AH123" i="37"/>
  <c r="AI45" i="37"/>
  <c r="W37" i="18"/>
  <c r="V89" i="18"/>
  <c r="I20" i="22"/>
  <c r="W31" i="8"/>
  <c r="V33" i="8"/>
  <c r="K26" i="24"/>
  <c r="J27" i="24"/>
  <c r="G34" i="22"/>
  <c r="H35" i="22" s="1"/>
  <c r="H37" i="22" s="1"/>
  <c r="H28" i="22"/>
  <c r="G33" i="22"/>
  <c r="U34" i="8"/>
  <c r="U70" i="8"/>
  <c r="J33" i="24"/>
  <c r="I36" i="24"/>
  <c r="I38" i="24" s="1"/>
  <c r="I39" i="24" s="1"/>
  <c r="V12" i="5"/>
  <c r="V13" i="5" s="1"/>
  <c r="W11" i="5" s="1"/>
  <c r="V14" i="5"/>
  <c r="W27" i="30"/>
  <c r="V29" i="30"/>
  <c r="O92" i="1"/>
  <c r="O95" i="1" s="1"/>
  <c r="V36" i="34"/>
  <c r="W35" i="34"/>
  <c r="Q28" i="5"/>
  <c r="U66" i="30"/>
  <c r="U30" i="30"/>
  <c r="V106" i="28"/>
  <c r="V104" i="28" s="1"/>
  <c r="V105" i="28" s="1"/>
  <c r="W103" i="28" s="1"/>
  <c r="V56" i="28"/>
  <c r="V54" i="28" s="1"/>
  <c r="V55" i="28" s="1"/>
  <c r="W53" i="28" s="1"/>
  <c r="F34" i="13"/>
  <c r="G35" i="13" s="1"/>
  <c r="G37" i="13" s="1"/>
  <c r="R18" i="5"/>
  <c r="R20" i="5"/>
  <c r="S56" i="1"/>
  <c r="S54" i="1" s="1"/>
  <c r="S55" i="1" s="1"/>
  <c r="T53" i="1" s="1"/>
  <c r="U89" i="31"/>
  <c r="V45" i="31"/>
  <c r="V36" i="33"/>
  <c r="W35" i="33"/>
  <c r="V63" i="33"/>
  <c r="T40" i="15"/>
  <c r="T38" i="15" s="1"/>
  <c r="T39" i="15" s="1"/>
  <c r="U37" i="15" s="1"/>
  <c r="W45" i="35"/>
  <c r="V89" i="35"/>
  <c r="V48" i="35"/>
  <c r="W48" i="36"/>
  <c r="W182" i="36" s="1"/>
  <c r="V127" i="36"/>
  <c r="V29" i="5"/>
  <c r="V19" i="3"/>
  <c r="V32" i="3"/>
  <c r="V29" i="15"/>
  <c r="V13" i="10"/>
  <c r="W16" i="3"/>
  <c r="V11" i="4"/>
  <c r="I21" i="13"/>
  <c r="J18" i="16"/>
  <c r="J27" i="16" s="1"/>
  <c r="J28" i="16" s="1"/>
  <c r="J29" i="16" s="1"/>
  <c r="J30" i="16" s="1"/>
  <c r="J11" i="16" s="1"/>
  <c r="U61" i="35"/>
  <c r="U122" i="35"/>
  <c r="U124" i="35" s="1"/>
  <c r="U138" i="35"/>
  <c r="U49" i="35"/>
  <c r="J24" i="17"/>
  <c r="J19" i="17"/>
  <c r="O12" i="15" l="1"/>
  <c r="O28" i="15" s="1"/>
  <c r="O14" i="15"/>
  <c r="O13" i="15"/>
  <c r="P11" i="15" s="1"/>
  <c r="W39" i="26"/>
  <c r="V83" i="26"/>
  <c r="AI123" i="37"/>
  <c r="AJ45" i="37"/>
  <c r="X37" i="18"/>
  <c r="W89" i="18"/>
  <c r="X31" i="8"/>
  <c r="W33" i="8"/>
  <c r="J31" i="24"/>
  <c r="J32" i="24" s="1"/>
  <c r="K30" i="24" s="1"/>
  <c r="K33" i="24" s="1"/>
  <c r="V34" i="8"/>
  <c r="V70" i="8"/>
  <c r="K27" i="24"/>
  <c r="L26" i="24"/>
  <c r="I18" i="22"/>
  <c r="I23" i="22"/>
  <c r="W12" i="5"/>
  <c r="W13" i="5" s="1"/>
  <c r="X11" i="5" s="1"/>
  <c r="W14" i="5"/>
  <c r="R28" i="5"/>
  <c r="O93" i="1"/>
  <c r="P90" i="1" s="1"/>
  <c r="P88" i="1" s="1"/>
  <c r="P91" i="1" s="1"/>
  <c r="P92" i="1" s="1"/>
  <c r="P93" i="1" s="1"/>
  <c r="Q90" i="1" s="1"/>
  <c r="P14" i="15"/>
  <c r="P12" i="15"/>
  <c r="W36" i="34"/>
  <c r="X35" i="34"/>
  <c r="V66" i="30"/>
  <c r="V30" i="30"/>
  <c r="X27" i="30"/>
  <c r="W29" i="30"/>
  <c r="U40" i="15"/>
  <c r="U38" i="15" s="1"/>
  <c r="U39" i="15" s="1"/>
  <c r="V37" i="15" s="1"/>
  <c r="W56" i="28"/>
  <c r="W54" i="28" s="1"/>
  <c r="W55" i="28" s="1"/>
  <c r="X53" i="28" s="1"/>
  <c r="W106" i="28"/>
  <c r="W104" i="28" s="1"/>
  <c r="W105" i="28" s="1"/>
  <c r="X103" i="28" s="1"/>
  <c r="J26" i="17"/>
  <c r="J20" i="17"/>
  <c r="I24" i="13"/>
  <c r="I19" i="13"/>
  <c r="X16" i="3"/>
  <c r="W19" i="3"/>
  <c r="W13" i="10"/>
  <c r="W32" i="3"/>
  <c r="W29" i="5"/>
  <c r="W11" i="4"/>
  <c r="W29" i="15"/>
  <c r="V49" i="35"/>
  <c r="V122" i="35"/>
  <c r="V124" i="35" s="1"/>
  <c r="V138" i="35"/>
  <c r="V61" i="35"/>
  <c r="X35" i="33"/>
  <c r="W36" i="33"/>
  <c r="W63" i="33"/>
  <c r="T56" i="1"/>
  <c r="T54" i="1" s="1"/>
  <c r="T55" i="1" s="1"/>
  <c r="U53" i="1" s="1"/>
  <c r="J12" i="16"/>
  <c r="X48" i="36"/>
  <c r="X182" i="36" s="1"/>
  <c r="W127" i="36"/>
  <c r="X45" i="35"/>
  <c r="W89" i="35"/>
  <c r="W48" i="35"/>
  <c r="R19" i="5"/>
  <c r="S17" i="5" s="1"/>
  <c r="J27" i="17"/>
  <c r="W45" i="31"/>
  <c r="V89" i="31"/>
  <c r="K31" i="24" l="1"/>
  <c r="K32" i="24" s="1"/>
  <c r="L30" i="24" s="1"/>
  <c r="L33" i="24" s="1"/>
  <c r="W83" i="26"/>
  <c r="X39" i="26"/>
  <c r="P28" i="15"/>
  <c r="J36" i="24"/>
  <c r="J38" i="24" s="1"/>
  <c r="J39" i="24" s="1"/>
  <c r="AK45" i="37"/>
  <c r="AJ123" i="37"/>
  <c r="P95" i="1"/>
  <c r="X89" i="18"/>
  <c r="Y37" i="18"/>
  <c r="K36" i="24"/>
  <c r="K38" i="24" s="1"/>
  <c r="K39" i="24" s="1"/>
  <c r="W70" i="8"/>
  <c r="W34" i="8"/>
  <c r="L27" i="24"/>
  <c r="L31" i="24" s="1"/>
  <c r="M26" i="24"/>
  <c r="I26" i="22"/>
  <c r="I27" i="22" s="1"/>
  <c r="I19" i="22"/>
  <c r="J17" i="22" s="1"/>
  <c r="Y31" i="8"/>
  <c r="X33" i="8"/>
  <c r="X12" i="5"/>
  <c r="X13" i="5" s="1"/>
  <c r="Y11" i="5" s="1"/>
  <c r="X14" i="5"/>
  <c r="W30" i="30"/>
  <c r="W66" i="30"/>
  <c r="X36" i="34"/>
  <c r="Y35" i="34"/>
  <c r="X29" i="30"/>
  <c r="Y27" i="30"/>
  <c r="P13" i="15"/>
  <c r="Q11" i="15" s="1"/>
  <c r="X56" i="28"/>
  <c r="X54" i="28" s="1"/>
  <c r="X55" i="28" s="1"/>
  <c r="Y53" i="28" s="1"/>
  <c r="V40" i="15"/>
  <c r="V38" i="15" s="1"/>
  <c r="V39" i="15" s="1"/>
  <c r="W37" i="15" s="1"/>
  <c r="J16" i="16"/>
  <c r="E22" i="16"/>
  <c r="E23" i="16" s="1"/>
  <c r="F13" i="16"/>
  <c r="U56" i="1"/>
  <c r="U54" i="1" s="1"/>
  <c r="U55" i="1" s="1"/>
  <c r="V53" i="1" s="1"/>
  <c r="Y35" i="33"/>
  <c r="X36" i="33"/>
  <c r="X63" i="33"/>
  <c r="I27" i="13"/>
  <c r="I20" i="13"/>
  <c r="J18" i="13" s="1"/>
  <c r="Y48" i="36"/>
  <c r="Y182" i="36" s="1"/>
  <c r="X127" i="36"/>
  <c r="S20" i="5"/>
  <c r="S18" i="5"/>
  <c r="S19" i="5" s="1"/>
  <c r="T17" i="5" s="1"/>
  <c r="X89" i="35"/>
  <c r="Y45" i="35"/>
  <c r="X48" i="35"/>
  <c r="I29" i="13"/>
  <c r="I28" i="13"/>
  <c r="X106" i="28"/>
  <c r="X104" i="28" s="1"/>
  <c r="X105" i="28" s="1"/>
  <c r="Y103" i="28" s="1"/>
  <c r="Q88" i="1"/>
  <c r="Q91" i="1" s="1"/>
  <c r="W89" i="31"/>
  <c r="X45" i="31"/>
  <c r="W49" i="35"/>
  <c r="W61" i="35"/>
  <c r="W122" i="35"/>
  <c r="W124" i="35" s="1"/>
  <c r="W138" i="35"/>
  <c r="X29" i="15"/>
  <c r="X29" i="5"/>
  <c r="Y16" i="3"/>
  <c r="X13" i="10"/>
  <c r="X19" i="3"/>
  <c r="X11" i="4"/>
  <c r="X32" i="3"/>
  <c r="Y39" i="26" l="1"/>
  <c r="X83" i="26"/>
  <c r="AK123" i="37"/>
  <c r="AL45" i="37"/>
  <c r="Z37" i="18"/>
  <c r="Y89" i="18"/>
  <c r="L32" i="24"/>
  <c r="M30" i="24" s="1"/>
  <c r="M33" i="24" s="1"/>
  <c r="L36" i="24"/>
  <c r="L38" i="24" s="1"/>
  <c r="L39" i="24" s="1"/>
  <c r="J20" i="22"/>
  <c r="Z31" i="8"/>
  <c r="Y33" i="8"/>
  <c r="H33" i="22"/>
  <c r="H34" i="22"/>
  <c r="I35" i="22" s="1"/>
  <c r="I37" i="22" s="1"/>
  <c r="I28" i="22"/>
  <c r="X70" i="8"/>
  <c r="X34" i="8"/>
  <c r="N26" i="24"/>
  <c r="M27" i="24"/>
  <c r="Z27" i="30"/>
  <c r="Y29" i="30"/>
  <c r="X66" i="30"/>
  <c r="X30" i="30"/>
  <c r="Q14" i="15"/>
  <c r="Q12" i="15"/>
  <c r="Q13" i="15" s="1"/>
  <c r="R11" i="15" s="1"/>
  <c r="Y36" i="34"/>
  <c r="Z35" i="34"/>
  <c r="Y14" i="5"/>
  <c r="Y12" i="5"/>
  <c r="Y13" i="5" s="1"/>
  <c r="Z11" i="5" s="1"/>
  <c r="W40" i="15"/>
  <c r="W38" i="15" s="1"/>
  <c r="W39" i="15" s="1"/>
  <c r="X37" i="15" s="1"/>
  <c r="Y106" i="28"/>
  <c r="Y104" i="28" s="1"/>
  <c r="Y105" i="28" s="1"/>
  <c r="Z103" i="28" s="1"/>
  <c r="Z45" i="35"/>
  <c r="Y89" i="35"/>
  <c r="Y48" i="35"/>
  <c r="Y29" i="5"/>
  <c r="Y11" i="4"/>
  <c r="Y32" i="3"/>
  <c r="Y19" i="3"/>
  <c r="Y29" i="15"/>
  <c r="Z16" i="3"/>
  <c r="Y13" i="10"/>
  <c r="Q92" i="1"/>
  <c r="Q95" i="1" s="1"/>
  <c r="G34" i="13"/>
  <c r="H35" i="13" s="1"/>
  <c r="H37" i="13" s="1"/>
  <c r="Y45" i="31"/>
  <c r="X89" i="31"/>
  <c r="T18" i="5"/>
  <c r="T19" i="5" s="1"/>
  <c r="U17" i="5" s="1"/>
  <c r="T20" i="5"/>
  <c r="Y56" i="28"/>
  <c r="Y54" i="28" s="1"/>
  <c r="Y55" i="28" s="1"/>
  <c r="Z53" i="28" s="1"/>
  <c r="X49" i="35"/>
  <c r="X61" i="35"/>
  <c r="X122" i="35"/>
  <c r="X124" i="35" s="1"/>
  <c r="X138" i="35"/>
  <c r="S28" i="5"/>
  <c r="Z48" i="36"/>
  <c r="Z182" i="36" s="1"/>
  <c r="Y127" i="36"/>
  <c r="Z35" i="33"/>
  <c r="Y36" i="33"/>
  <c r="Y63" i="33"/>
  <c r="J21" i="13"/>
  <c r="V56" i="1"/>
  <c r="V54" i="1" s="1"/>
  <c r="V55" i="1" s="1"/>
  <c r="W53" i="1" s="1"/>
  <c r="J17" i="16"/>
  <c r="J32" i="16"/>
  <c r="M31" i="24" l="1"/>
  <c r="Z39" i="26"/>
  <c r="Y83" i="26"/>
  <c r="AL123" i="37"/>
  <c r="AM45" i="37"/>
  <c r="AA37" i="18"/>
  <c r="Z89" i="18"/>
  <c r="J23" i="22"/>
  <c r="J18" i="22"/>
  <c r="N27" i="24"/>
  <c r="O26" i="24"/>
  <c r="Y34" i="8"/>
  <c r="Y70" i="8"/>
  <c r="Q28" i="15"/>
  <c r="AA31" i="8"/>
  <c r="Z33" i="8"/>
  <c r="Y66" i="30"/>
  <c r="Y30" i="30"/>
  <c r="Z14" i="5"/>
  <c r="Z12" i="5"/>
  <c r="Z13" i="5" s="1"/>
  <c r="AA11" i="5" s="1"/>
  <c r="AA35" i="34"/>
  <c r="Z36" i="34"/>
  <c r="AA27" i="30"/>
  <c r="Z29" i="30"/>
  <c r="R14" i="15"/>
  <c r="R12" i="15"/>
  <c r="W56" i="1"/>
  <c r="W54" i="1" s="1"/>
  <c r="W55" i="1" s="1"/>
  <c r="X53" i="1" s="1"/>
  <c r="Z106" i="28"/>
  <c r="Z104" i="28" s="1"/>
  <c r="Z105" i="28" s="1"/>
  <c r="AA103" i="28" s="1"/>
  <c r="J24" i="13"/>
  <c r="J19" i="13"/>
  <c r="Z36" i="33"/>
  <c r="AA35" i="33"/>
  <c r="Z63" i="33"/>
  <c r="Z45" i="31"/>
  <c r="Y89" i="31"/>
  <c r="T28" i="5"/>
  <c r="Z89" i="35"/>
  <c r="AA45" i="35"/>
  <c r="Z48" i="35"/>
  <c r="Z56" i="28"/>
  <c r="Z54" i="28" s="1"/>
  <c r="Z55" i="28" s="1"/>
  <c r="AA53" i="28" s="1"/>
  <c r="Z13" i="10"/>
  <c r="AA16" i="3"/>
  <c r="Z11" i="4"/>
  <c r="Z32" i="3"/>
  <c r="Z19" i="3"/>
  <c r="Z29" i="15"/>
  <c r="Z29" i="5"/>
  <c r="AA48" i="36"/>
  <c r="AA182" i="36" s="1"/>
  <c r="Z127" i="36"/>
  <c r="U20" i="5"/>
  <c r="U18" i="5"/>
  <c r="Y138" i="35"/>
  <c r="Y49" i="35"/>
  <c r="Y61" i="35"/>
  <c r="Y122" i="35"/>
  <c r="Y124" i="35" s="1"/>
  <c r="X40" i="15"/>
  <c r="X38" i="15" s="1"/>
  <c r="X39" i="15" s="1"/>
  <c r="Y37" i="15" s="1"/>
  <c r="Q93" i="1"/>
  <c r="R90" i="1" s="1"/>
  <c r="Z83" i="26" l="1"/>
  <c r="AA39" i="26"/>
  <c r="M32" i="24"/>
  <c r="N30" i="24" s="1"/>
  <c r="N33" i="24" s="1"/>
  <c r="N31" i="24" s="1"/>
  <c r="N32" i="24" s="1"/>
  <c r="O30" i="24" s="1"/>
  <c r="M36" i="24"/>
  <c r="M38" i="24" s="1"/>
  <c r="M39" i="24" s="1"/>
  <c r="AM123" i="37"/>
  <c r="AN45" i="37"/>
  <c r="R28" i="15"/>
  <c r="AA89" i="18"/>
  <c r="AB37" i="18"/>
  <c r="O27" i="24"/>
  <c r="P26" i="24"/>
  <c r="N36" i="24"/>
  <c r="N38" i="24" s="1"/>
  <c r="N39" i="24" s="1"/>
  <c r="AB31" i="8"/>
  <c r="AA33" i="8"/>
  <c r="J26" i="22"/>
  <c r="J27" i="22" s="1"/>
  <c r="J19" i="22"/>
  <c r="U28" i="5"/>
  <c r="Z70" i="8"/>
  <c r="Z34" i="8"/>
  <c r="R13" i="15"/>
  <c r="S11" i="15" s="1"/>
  <c r="AB35" i="34"/>
  <c r="AA36" i="34"/>
  <c r="Z66" i="30"/>
  <c r="Z30" i="30"/>
  <c r="AA12" i="5"/>
  <c r="AA13" i="5" s="1"/>
  <c r="AB11" i="5" s="1"/>
  <c r="AA14" i="5"/>
  <c r="AB27" i="30"/>
  <c r="AA29" i="30"/>
  <c r="Y40" i="15"/>
  <c r="Y38" i="15" s="1"/>
  <c r="Y39" i="15" s="1"/>
  <c r="Z37" i="15" s="1"/>
  <c r="R88" i="1"/>
  <c r="R91" i="1" s="1"/>
  <c r="R92" i="1" s="1"/>
  <c r="AA56" i="28"/>
  <c r="AA54" i="28" s="1"/>
  <c r="AA55" i="28" s="1"/>
  <c r="AB53" i="28" s="1"/>
  <c r="U19" i="5"/>
  <c r="V17" i="5" s="1"/>
  <c r="AA32" i="3"/>
  <c r="AA13" i="10"/>
  <c r="AA29" i="5"/>
  <c r="AB16" i="3"/>
  <c r="AA19" i="3"/>
  <c r="AA11" i="4"/>
  <c r="AA29" i="15"/>
  <c r="Z138" i="35"/>
  <c r="Z61" i="35"/>
  <c r="Z49" i="35"/>
  <c r="Z122" i="35"/>
  <c r="Z124" i="35" s="1"/>
  <c r="Z89" i="31"/>
  <c r="AA45" i="31"/>
  <c r="J27" i="13"/>
  <c r="J28" i="13" s="1"/>
  <c r="J20" i="13"/>
  <c r="AA106" i="28"/>
  <c r="AA104" i="28" s="1"/>
  <c r="AA105" i="28" s="1"/>
  <c r="AB103" i="28" s="1"/>
  <c r="AB48" i="36"/>
  <c r="AB182" i="36" s="1"/>
  <c r="AA127" i="36"/>
  <c r="AB45" i="35"/>
  <c r="AA89" i="35"/>
  <c r="AA48" i="35"/>
  <c r="O33" i="24"/>
  <c r="J29" i="13"/>
  <c r="AA36" i="33"/>
  <c r="AB35" i="33"/>
  <c r="AA63" i="33"/>
  <c r="X56" i="1"/>
  <c r="X54" i="1" s="1"/>
  <c r="X55" i="1" s="1"/>
  <c r="Y53" i="1" s="1"/>
  <c r="AA83" i="26" l="1"/>
  <c r="AB39" i="26"/>
  <c r="AN123" i="37"/>
  <c r="AO45" i="37"/>
  <c r="AB89" i="18"/>
  <c r="AC37" i="18"/>
  <c r="AC31" i="8"/>
  <c r="AB33" i="8"/>
  <c r="I34" i="22"/>
  <c r="J35" i="22" s="1"/>
  <c r="J37" i="22" s="1"/>
  <c r="D37" i="22" s="1"/>
  <c r="I33" i="22"/>
  <c r="J28" i="22"/>
  <c r="P27" i="24"/>
  <c r="Q26" i="24"/>
  <c r="AA70" i="8"/>
  <c r="AA34" i="8"/>
  <c r="AB12" i="5"/>
  <c r="AB13" i="5" s="1"/>
  <c r="AC11" i="5" s="1"/>
  <c r="AB14" i="5"/>
  <c r="AA30" i="30"/>
  <c r="AA66" i="30"/>
  <c r="AC35" i="34"/>
  <c r="AB36" i="34"/>
  <c r="AB29" i="30"/>
  <c r="AC27" i="30"/>
  <c r="S12" i="15"/>
  <c r="S14" i="15"/>
  <c r="AB106" i="28"/>
  <c r="AB104" i="28" s="1"/>
  <c r="AB105" i="28" s="1"/>
  <c r="AC103" i="28" s="1"/>
  <c r="Y56" i="1"/>
  <c r="Y54" i="1" s="1"/>
  <c r="Y55" i="1" s="1"/>
  <c r="Z53" i="1" s="1"/>
  <c r="R95" i="1"/>
  <c r="R93" i="1"/>
  <c r="S90" i="1" s="1"/>
  <c r="AA49" i="35"/>
  <c r="AA61" i="35"/>
  <c r="AA122" i="35"/>
  <c r="AA124" i="35" s="1"/>
  <c r="AA138" i="35"/>
  <c r="AC48" i="36"/>
  <c r="AC182" i="36" s="1"/>
  <c r="AB127" i="36"/>
  <c r="V18" i="5"/>
  <c r="V20" i="5"/>
  <c r="AC35" i="33"/>
  <c r="AB36" i="33"/>
  <c r="AB63" i="33"/>
  <c r="O31" i="24"/>
  <c r="O32" i="24" s="1"/>
  <c r="P30" i="24" s="1"/>
  <c r="AC45" i="35"/>
  <c r="AB89" i="35"/>
  <c r="AB48" i="35"/>
  <c r="I34" i="13"/>
  <c r="J35" i="13" s="1"/>
  <c r="J37" i="13" s="1"/>
  <c r="H34" i="13"/>
  <c r="I35" i="13" s="1"/>
  <c r="I37" i="13" s="1"/>
  <c r="AB29" i="15"/>
  <c r="AB19" i="3"/>
  <c r="AC16" i="3"/>
  <c r="AB29" i="5"/>
  <c r="AB11" i="4"/>
  <c r="AB13" i="10"/>
  <c r="AB32" i="3"/>
  <c r="AB45" i="31"/>
  <c r="AA89" i="31"/>
  <c r="AB56" i="28"/>
  <c r="AB54" i="28" s="1"/>
  <c r="AB55" i="28" s="1"/>
  <c r="AC53" i="28" s="1"/>
  <c r="Z40" i="15"/>
  <c r="Z38" i="15" s="1"/>
  <c r="Z39" i="15" s="1"/>
  <c r="AA37" i="15" s="1"/>
  <c r="AB83" i="26" l="1"/>
  <c r="AC39" i="26"/>
  <c r="AO123" i="37"/>
  <c r="AP45" i="37"/>
  <c r="AD37" i="18"/>
  <c r="AC89" i="18"/>
  <c r="S28" i="15"/>
  <c r="Q27" i="24"/>
  <c r="R26" i="24"/>
  <c r="AB34" i="8"/>
  <c r="AB70" i="8"/>
  <c r="AC33" i="8"/>
  <c r="AD31" i="8"/>
  <c r="V28" i="5"/>
  <c r="S13" i="15"/>
  <c r="T11" i="15" s="1"/>
  <c r="AD27" i="30"/>
  <c r="AC29" i="30"/>
  <c r="AB30" i="30"/>
  <c r="AB66" i="30"/>
  <c r="AC36" i="34"/>
  <c r="D37" i="34" s="1"/>
  <c r="I13" i="34" s="1"/>
  <c r="D39" i="34" a="1"/>
  <c r="D39" i="34" s="1"/>
  <c r="AC14" i="5"/>
  <c r="AC12" i="5"/>
  <c r="AC13" i="5"/>
  <c r="AC56" i="28"/>
  <c r="AC54" i="28" s="1"/>
  <c r="AC55" i="28" s="1"/>
  <c r="AD53" i="28" s="1"/>
  <c r="AC106" i="28"/>
  <c r="AC104" i="28" s="1"/>
  <c r="AC105" i="28" s="1"/>
  <c r="AD103" i="28" s="1"/>
  <c r="AA40" i="15"/>
  <c r="AA38" i="15" s="1"/>
  <c r="AA39" i="15" s="1"/>
  <c r="AB37" i="15" s="1"/>
  <c r="AB89" i="31"/>
  <c r="AC45" i="31"/>
  <c r="AC32" i="3"/>
  <c r="AC29" i="5"/>
  <c r="AC19" i="3"/>
  <c r="AC11" i="4"/>
  <c r="AC29" i="15"/>
  <c r="D32" i="15" s="1" a="1"/>
  <c r="D32" i="15" s="1"/>
  <c r="D34" i="15" s="1"/>
  <c r="AC13" i="10"/>
  <c r="AD48" i="36"/>
  <c r="AD182" i="36" s="1"/>
  <c r="AC127" i="36"/>
  <c r="AB49" i="35"/>
  <c r="AB61" i="35"/>
  <c r="AB122" i="35"/>
  <c r="AB124" i="35" s="1"/>
  <c r="AB138" i="35"/>
  <c r="O36" i="24"/>
  <c r="O38" i="24" s="1"/>
  <c r="O39" i="24" s="1"/>
  <c r="V19" i="5"/>
  <c r="W17" i="5" s="1"/>
  <c r="Z56" i="1"/>
  <c r="Z54" i="1" s="1"/>
  <c r="Z55" i="1" s="1"/>
  <c r="AA53" i="1" s="1"/>
  <c r="D37" i="13"/>
  <c r="AC89" i="35"/>
  <c r="AD45" i="35"/>
  <c r="AC48" i="35"/>
  <c r="AC36" i="33"/>
  <c r="D37" i="33" s="1"/>
  <c r="I13" i="33" s="1"/>
  <c r="AC63" i="33"/>
  <c r="D39" i="33" a="1"/>
  <c r="D39" i="33" s="1"/>
  <c r="S88" i="1"/>
  <c r="S91" i="1" s="1"/>
  <c r="S92" i="1" s="1"/>
  <c r="S95" i="1" s="1"/>
  <c r="P33" i="24"/>
  <c r="AC83" i="26" l="1"/>
  <c r="AD39" i="26"/>
  <c r="AP123" i="37"/>
  <c r="AQ45" i="37"/>
  <c r="AD89" i="18"/>
  <c r="AE37" i="18"/>
  <c r="AE31" i="8"/>
  <c r="AD33" i="8"/>
  <c r="R27" i="24"/>
  <c r="S26" i="24"/>
  <c r="AC70" i="8"/>
  <c r="AC34" i="8"/>
  <c r="D44" i="34"/>
  <c r="D46" i="34" s="1"/>
  <c r="D48" i="34" s="1"/>
  <c r="D40" i="34"/>
  <c r="D41" i="34" s="1"/>
  <c r="D42" i="34" s="1"/>
  <c r="AC30" i="30"/>
  <c r="AC66" i="30"/>
  <c r="T14" i="15"/>
  <c r="T12" i="15"/>
  <c r="T28" i="15" s="1"/>
  <c r="AD29" i="30"/>
  <c r="AE27" i="30"/>
  <c r="AD106" i="28"/>
  <c r="AD104" i="28" s="1"/>
  <c r="AD105" i="28" s="1"/>
  <c r="AE103" i="28" s="1"/>
  <c r="AD56" i="28"/>
  <c r="AD54" i="28" s="1"/>
  <c r="AD55" i="28" s="1"/>
  <c r="AE53" i="28" s="1"/>
  <c r="AA56" i="1"/>
  <c r="AA54" i="1" s="1"/>
  <c r="AA55" i="1" s="1"/>
  <c r="AB53" i="1" s="1"/>
  <c r="S93" i="1"/>
  <c r="T90" i="1" s="1"/>
  <c r="AE45" i="35"/>
  <c r="AD89" i="35"/>
  <c r="AD48" i="35"/>
  <c r="W20" i="5"/>
  <c r="W18" i="5"/>
  <c r="W19" i="5" s="1"/>
  <c r="X17" i="5" s="1"/>
  <c r="D32" i="5" a="1"/>
  <c r="D32" i="5" s="1"/>
  <c r="D34" i="5" s="1"/>
  <c r="AC89" i="31"/>
  <c r="AD45" i="31"/>
  <c r="P31" i="24"/>
  <c r="P32" i="24" s="1"/>
  <c r="Q30" i="24" s="1"/>
  <c r="D44" i="33"/>
  <c r="D46" i="33" s="1"/>
  <c r="D48" i="33" s="1"/>
  <c r="D40" i="33"/>
  <c r="D41" i="33" s="1"/>
  <c r="D42" i="33" s="1"/>
  <c r="AC122" i="35"/>
  <c r="AC124" i="35" s="1"/>
  <c r="AC138" i="35"/>
  <c r="AC49" i="35"/>
  <c r="AC61" i="35"/>
  <c r="D13" i="4" a="1"/>
  <c r="D13" i="4" s="1"/>
  <c r="AE48" i="36"/>
  <c r="AE182" i="36" s="1"/>
  <c r="AD127" i="36"/>
  <c r="D21" i="3"/>
  <c r="D25" i="3" s="1"/>
  <c r="AB40" i="15"/>
  <c r="AB38" i="15" s="1"/>
  <c r="AB39" i="15" s="1"/>
  <c r="AC37" i="15" s="1"/>
  <c r="AE39" i="26" l="1"/>
  <c r="AD83" i="26"/>
  <c r="AQ123" i="37"/>
  <c r="AR45" i="37"/>
  <c r="AE89" i="18"/>
  <c r="AF37" i="18"/>
  <c r="AD34" i="8"/>
  <c r="AD70" i="8"/>
  <c r="T26" i="24"/>
  <c r="T27" i="24" s="1"/>
  <c r="S27" i="24"/>
  <c r="E28" i="24" s="1"/>
  <c r="AE33" i="8"/>
  <c r="AF31" i="8"/>
  <c r="AF27" i="30"/>
  <c r="AE29" i="30"/>
  <c r="G48" i="34"/>
  <c r="N48" i="34"/>
  <c r="R48" i="34"/>
  <c r="V48" i="34"/>
  <c r="E48" i="34"/>
  <c r="K48" i="34"/>
  <c r="O48" i="34"/>
  <c r="S48" i="34"/>
  <c r="W48" i="34"/>
  <c r="AA48" i="34"/>
  <c r="H48" i="34"/>
  <c r="L48" i="34"/>
  <c r="P48" i="34"/>
  <c r="T48" i="34"/>
  <c r="X48" i="34"/>
  <c r="AB48" i="34"/>
  <c r="J48" i="34"/>
  <c r="Z48" i="34"/>
  <c r="F48" i="34"/>
  <c r="I48" i="34"/>
  <c r="M48" i="34"/>
  <c r="Q48" i="34"/>
  <c r="U48" i="34"/>
  <c r="Y48" i="34"/>
  <c r="AC48" i="34"/>
  <c r="P36" i="24"/>
  <c r="P38" i="24" s="1"/>
  <c r="P39" i="24" s="1"/>
  <c r="AD66" i="30"/>
  <c r="AD30" i="30"/>
  <c r="T13" i="15"/>
  <c r="U11" i="15" s="1"/>
  <c r="AE106" i="28"/>
  <c r="AE104" i="28" s="1"/>
  <c r="AE105" i="28" s="1"/>
  <c r="AF103" i="28" s="1"/>
  <c r="X20" i="5"/>
  <c r="X18" i="5"/>
  <c r="X19" i="5" s="1"/>
  <c r="Y17" i="5" s="1"/>
  <c r="D14" i="4"/>
  <c r="D15" i="4" s="1"/>
  <c r="D16" i="4" s="1"/>
  <c r="D18" i="4"/>
  <c r="D20" i="4" s="1"/>
  <c r="D22" i="4" s="1"/>
  <c r="E34" i="5"/>
  <c r="F34" i="5"/>
  <c r="G34" i="5"/>
  <c r="H34" i="5"/>
  <c r="I34" i="5"/>
  <c r="J34" i="5"/>
  <c r="K34" i="5"/>
  <c r="L34" i="5"/>
  <c r="M34" i="5"/>
  <c r="N34" i="5"/>
  <c r="O34" i="5"/>
  <c r="P34" i="5"/>
  <c r="Q34" i="5"/>
  <c r="R34" i="5"/>
  <c r="S34" i="5"/>
  <c r="T34" i="5"/>
  <c r="U34" i="5"/>
  <c r="V34" i="5"/>
  <c r="AE89" i="35"/>
  <c r="AF45" i="35"/>
  <c r="AE48" i="35"/>
  <c r="AD89" i="31"/>
  <c r="AE45" i="31"/>
  <c r="T88" i="1"/>
  <c r="T91" i="1" s="1"/>
  <c r="T92" i="1" s="1"/>
  <c r="AE56" i="28"/>
  <c r="AE54" i="28" s="1"/>
  <c r="AE55" i="28" s="1"/>
  <c r="AF53" i="28" s="1"/>
  <c r="AC40" i="15"/>
  <c r="AC38" i="15" s="1"/>
  <c r="AC39" i="15" s="1"/>
  <c r="AF48" i="36"/>
  <c r="AF182" i="36" s="1"/>
  <c r="AE127" i="36"/>
  <c r="E23" i="3"/>
  <c r="D33" i="3"/>
  <c r="F48" i="33"/>
  <c r="E48" i="33"/>
  <c r="G48" i="33"/>
  <c r="H48" i="33"/>
  <c r="I48" i="33"/>
  <c r="J48" i="33"/>
  <c r="K48" i="33"/>
  <c r="L48" i="33"/>
  <c r="M48" i="33"/>
  <c r="N48" i="33"/>
  <c r="O48" i="33"/>
  <c r="P48" i="33"/>
  <c r="Q48" i="33"/>
  <c r="R48" i="33"/>
  <c r="S48" i="33"/>
  <c r="T48" i="33"/>
  <c r="U48" i="33"/>
  <c r="V48" i="33"/>
  <c r="W48" i="33"/>
  <c r="X48" i="33"/>
  <c r="Y48" i="33"/>
  <c r="Z48" i="33"/>
  <c r="AA48" i="33"/>
  <c r="AB48" i="33"/>
  <c r="AC48" i="33"/>
  <c r="W28" i="5"/>
  <c r="AD49" i="35"/>
  <c r="AD122" i="35"/>
  <c r="AD124" i="35" s="1"/>
  <c r="AD138" i="35"/>
  <c r="AD61" i="35"/>
  <c r="Q33" i="24"/>
  <c r="AB56" i="1"/>
  <c r="AB54" i="1" s="1"/>
  <c r="AB55" i="1" s="1"/>
  <c r="AC53" i="1" s="1"/>
  <c r="AE83" i="26" l="1"/>
  <c r="AF39" i="26"/>
  <c r="D50" i="33"/>
  <c r="D52" i="33" s="1"/>
  <c r="D57" i="33" s="1"/>
  <c r="BJ78" i="37"/>
  <c r="BJ79" i="37" s="1"/>
  <c r="BF78" i="37"/>
  <c r="BF79" i="37" s="1"/>
  <c r="BB78" i="37"/>
  <c r="BB79" i="37" s="1"/>
  <c r="AX78" i="37"/>
  <c r="AX79" i="37" s="1"/>
  <c r="AT78" i="37"/>
  <c r="AT79" i="37" s="1"/>
  <c r="AP78" i="37"/>
  <c r="AP79" i="37" s="1"/>
  <c r="AL78" i="37"/>
  <c r="AL79" i="37" s="1"/>
  <c r="AH78" i="37"/>
  <c r="AH79" i="37" s="1"/>
  <c r="AD78" i="37"/>
  <c r="AD79" i="37" s="1"/>
  <c r="Z78" i="37"/>
  <c r="Z79" i="37" s="1"/>
  <c r="V78" i="37"/>
  <c r="V79" i="37" s="1"/>
  <c r="R78" i="37"/>
  <c r="R79" i="37" s="1"/>
  <c r="N78" i="37"/>
  <c r="N79" i="37" s="1"/>
  <c r="J78" i="37"/>
  <c r="J79" i="37" s="1"/>
  <c r="F78" i="37"/>
  <c r="F79" i="37" s="1"/>
  <c r="D63" i="37"/>
  <c r="BH78" i="37"/>
  <c r="BH79" i="37" s="1"/>
  <c r="BC78" i="37"/>
  <c r="BC79" i="37" s="1"/>
  <c r="AW78" i="37"/>
  <c r="AW79" i="37" s="1"/>
  <c r="AR78" i="37"/>
  <c r="AR79" i="37" s="1"/>
  <c r="AM78" i="37"/>
  <c r="AM79" i="37" s="1"/>
  <c r="AG78" i="37"/>
  <c r="AG79" i="37" s="1"/>
  <c r="AB78" i="37"/>
  <c r="AB79" i="37" s="1"/>
  <c r="W78" i="37"/>
  <c r="W79" i="37" s="1"/>
  <c r="Q78" i="37"/>
  <c r="Q79" i="37" s="1"/>
  <c r="L78" i="37"/>
  <c r="L79" i="37" s="1"/>
  <c r="G78" i="37"/>
  <c r="G79" i="37" s="1"/>
  <c r="BK78" i="37"/>
  <c r="BK79" i="37" s="1"/>
  <c r="BE78" i="37"/>
  <c r="BE79" i="37" s="1"/>
  <c r="AZ78" i="37"/>
  <c r="AZ79" i="37" s="1"/>
  <c r="AU78" i="37"/>
  <c r="AU79" i="37" s="1"/>
  <c r="AO78" i="37"/>
  <c r="AO79" i="37" s="1"/>
  <c r="AJ78" i="37"/>
  <c r="AJ79" i="37" s="1"/>
  <c r="AE78" i="37"/>
  <c r="AE79" i="37" s="1"/>
  <c r="Y78" i="37"/>
  <c r="Y79" i="37" s="1"/>
  <c r="T78" i="37"/>
  <c r="T79" i="37" s="1"/>
  <c r="O78" i="37"/>
  <c r="O79" i="37" s="1"/>
  <c r="I78" i="37"/>
  <c r="I79" i="37" s="1"/>
  <c r="BD78" i="37"/>
  <c r="BD79" i="37" s="1"/>
  <c r="AS78" i="37"/>
  <c r="AS79" i="37" s="1"/>
  <c r="AI78" i="37"/>
  <c r="AI79" i="37" s="1"/>
  <c r="X78" i="37"/>
  <c r="X79" i="37" s="1"/>
  <c r="M78" i="37"/>
  <c r="M79" i="37" s="1"/>
  <c r="D30" i="37"/>
  <c r="D127" i="37" s="1"/>
  <c r="BK47" i="37"/>
  <c r="BG47" i="37"/>
  <c r="BC47" i="37"/>
  <c r="AY47" i="37"/>
  <c r="AU47" i="37"/>
  <c r="AQ47" i="37"/>
  <c r="AM47" i="37"/>
  <c r="AI47" i="37"/>
  <c r="AE47" i="37"/>
  <c r="AA47" i="37"/>
  <c r="W47" i="37"/>
  <c r="S47" i="37"/>
  <c r="O47" i="37"/>
  <c r="K47" i="37"/>
  <c r="G47" i="37"/>
  <c r="BL78" i="37"/>
  <c r="BL79" i="37" s="1"/>
  <c r="BA78" i="37"/>
  <c r="BA79" i="37" s="1"/>
  <c r="AQ78" i="37"/>
  <c r="AQ79" i="37" s="1"/>
  <c r="AF78" i="37"/>
  <c r="AF79" i="37" s="1"/>
  <c r="U78" i="37"/>
  <c r="U79" i="37" s="1"/>
  <c r="K78" i="37"/>
  <c r="K79" i="37" s="1"/>
  <c r="BJ47" i="37"/>
  <c r="BF47" i="37"/>
  <c r="BB47" i="37"/>
  <c r="AX47" i="37"/>
  <c r="AT47" i="37"/>
  <c r="AP47" i="37"/>
  <c r="AL47" i="37"/>
  <c r="AH47" i="37"/>
  <c r="AD47" i="37"/>
  <c r="Z47" i="37"/>
  <c r="V47" i="37"/>
  <c r="R47" i="37"/>
  <c r="N47" i="37"/>
  <c r="J47" i="37"/>
  <c r="F47" i="37"/>
  <c r="BI78" i="37"/>
  <c r="BI79" i="37" s="1"/>
  <c r="AY78" i="37"/>
  <c r="AY79" i="37" s="1"/>
  <c r="AN78" i="37"/>
  <c r="AN79" i="37" s="1"/>
  <c r="AC78" i="37"/>
  <c r="AC79" i="37" s="1"/>
  <c r="S78" i="37"/>
  <c r="S79" i="37" s="1"/>
  <c r="H78" i="37"/>
  <c r="H79" i="37" s="1"/>
  <c r="BI47" i="37"/>
  <c r="BE47" i="37"/>
  <c r="BA47" i="37"/>
  <c r="AW47" i="37"/>
  <c r="AS47" i="37"/>
  <c r="AO47" i="37"/>
  <c r="AK47" i="37"/>
  <c r="AG47" i="37"/>
  <c r="AC47" i="37"/>
  <c r="Y47" i="37"/>
  <c r="U47" i="37"/>
  <c r="Q47" i="37"/>
  <c r="M47" i="37"/>
  <c r="I47" i="37"/>
  <c r="E47" i="37"/>
  <c r="BG78" i="37"/>
  <c r="BG79" i="37" s="1"/>
  <c r="P78" i="37"/>
  <c r="P79" i="37" s="1"/>
  <c r="BH47" i="37"/>
  <c r="AR47" i="37"/>
  <c r="AB47" i="37"/>
  <c r="L47" i="37"/>
  <c r="AV78" i="37"/>
  <c r="AV79" i="37" s="1"/>
  <c r="E78" i="37"/>
  <c r="E79" i="37" s="1"/>
  <c r="BD47" i="37"/>
  <c r="AN47" i="37"/>
  <c r="X47" i="37"/>
  <c r="H47" i="37"/>
  <c r="AK78" i="37"/>
  <c r="AK79" i="37" s="1"/>
  <c r="AZ47" i="37"/>
  <c r="AJ47" i="37"/>
  <c r="T47" i="37"/>
  <c r="G29" i="37"/>
  <c r="D29" i="37" s="1"/>
  <c r="AF47" i="37"/>
  <c r="AA78" i="37"/>
  <c r="AA79" i="37" s="1"/>
  <c r="BL47" i="37"/>
  <c r="AV47" i="37"/>
  <c r="P47" i="37"/>
  <c r="AR123" i="37"/>
  <c r="AS45" i="37"/>
  <c r="AG37" i="18"/>
  <c r="AF89" i="18"/>
  <c r="AF33" i="8"/>
  <c r="AG31" i="8"/>
  <c r="AE70" i="8"/>
  <c r="AE34" i="8"/>
  <c r="U14" i="15"/>
  <c r="U12" i="15"/>
  <c r="D49" i="34"/>
  <c r="D54" i="34" s="1"/>
  <c r="AE30" i="30"/>
  <c r="AE66" i="30"/>
  <c r="AG27" i="30"/>
  <c r="AF29" i="30"/>
  <c r="AF56" i="28"/>
  <c r="AF54" i="28" s="1"/>
  <c r="AF55" i="28" s="1"/>
  <c r="AG53" i="28" s="1"/>
  <c r="T95" i="1"/>
  <c r="T93" i="1"/>
  <c r="U90" i="1" s="1"/>
  <c r="Q31" i="24"/>
  <c r="Q32" i="24" s="1"/>
  <c r="R30" i="24" s="1"/>
  <c r="AE49" i="35"/>
  <c r="AE61" i="35"/>
  <c r="AE122" i="35"/>
  <c r="AE124" i="35" s="1"/>
  <c r="AE138" i="35"/>
  <c r="W34" i="5"/>
  <c r="X28" i="5"/>
  <c r="AC56" i="1"/>
  <c r="AC54" i="1" s="1"/>
  <c r="AC55" i="1" s="1"/>
  <c r="AD53" i="1" s="1"/>
  <c r="AG48" i="36"/>
  <c r="AG182" i="36" s="1"/>
  <c r="AF127" i="36"/>
  <c r="AG45" i="35"/>
  <c r="AF89" i="35"/>
  <c r="AF48" i="35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E26" i="3"/>
  <c r="E24" i="3" s="1"/>
  <c r="E27" i="3" s="1"/>
  <c r="E31" i="3" s="1"/>
  <c r="AE89" i="31"/>
  <c r="AF45" i="31"/>
  <c r="Y20" i="5"/>
  <c r="Y18" i="5"/>
  <c r="Y19" i="5" s="1"/>
  <c r="Z17" i="5" s="1"/>
  <c r="AF106" i="28"/>
  <c r="AF104" i="28" s="1"/>
  <c r="AF105" i="28" s="1"/>
  <c r="AG103" i="28" s="1"/>
  <c r="AF83" i="26" l="1"/>
  <c r="AG39" i="26"/>
  <c r="AB51" i="37"/>
  <c r="AB127" i="37" s="1"/>
  <c r="AS46" i="37"/>
  <c r="AS125" i="37" s="1"/>
  <c r="Q46" i="37"/>
  <c r="BJ46" i="37"/>
  <c r="BJ125" i="37" s="1"/>
  <c r="F51" i="37"/>
  <c r="F127" i="37" s="1"/>
  <c r="J46" i="37"/>
  <c r="AV46" i="37"/>
  <c r="AV125" i="37" s="1"/>
  <c r="X51" i="37"/>
  <c r="X127" i="37" s="1"/>
  <c r="S46" i="37"/>
  <c r="AL57" i="37"/>
  <c r="J51" i="37"/>
  <c r="J127" i="37" s="1"/>
  <c r="E57" i="37"/>
  <c r="AK57" i="37"/>
  <c r="I51" i="37"/>
  <c r="I127" i="37" s="1"/>
  <c r="BE51" i="37"/>
  <c r="BE127" i="37" s="1"/>
  <c r="BG46" i="37"/>
  <c r="BG125" i="37" s="1"/>
  <c r="AE57" i="37"/>
  <c r="BK57" i="37"/>
  <c r="AI51" i="37"/>
  <c r="AI127" i="37" s="1"/>
  <c r="AN57" i="37"/>
  <c r="AR51" i="37"/>
  <c r="AR127" i="37" s="1"/>
  <c r="L46" i="37"/>
  <c r="L51" i="37"/>
  <c r="L127" i="37" s="1"/>
  <c r="P57" i="37"/>
  <c r="AF57" i="37"/>
  <c r="E46" i="37"/>
  <c r="U46" i="37"/>
  <c r="AO46" i="37"/>
  <c r="J57" i="37"/>
  <c r="AP57" i="37"/>
  <c r="N51" i="37"/>
  <c r="N127" i="37" s="1"/>
  <c r="AT51" i="37"/>
  <c r="AT127" i="37" s="1"/>
  <c r="N46" i="37"/>
  <c r="AF46" i="37"/>
  <c r="BD46" i="37"/>
  <c r="BD125" i="37" s="1"/>
  <c r="AB57" i="37"/>
  <c r="BH57" i="37"/>
  <c r="AF51" i="37"/>
  <c r="AF127" i="37" s="1"/>
  <c r="BL51" i="37"/>
  <c r="BL127" i="37" s="1"/>
  <c r="G46" i="37"/>
  <c r="W46" i="37"/>
  <c r="AR46" i="37"/>
  <c r="N57" i="37"/>
  <c r="AT57" i="37"/>
  <c r="R51" i="37"/>
  <c r="R127" i="37" s="1"/>
  <c r="AX51" i="37"/>
  <c r="AX127" i="37" s="1"/>
  <c r="BA46" i="37"/>
  <c r="BA125" i="37" s="1"/>
  <c r="I57" i="37"/>
  <c r="Y57" i="37"/>
  <c r="AO57" i="37"/>
  <c r="BE57" i="37"/>
  <c r="M51" i="37"/>
  <c r="M127" i="37" s="1"/>
  <c r="AC51" i="37"/>
  <c r="AC127" i="37" s="1"/>
  <c r="AS51" i="37"/>
  <c r="AS127" i="37" s="1"/>
  <c r="BI51" i="37"/>
  <c r="BI127" i="37" s="1"/>
  <c r="AE46" i="37"/>
  <c r="AU46" i="37"/>
  <c r="AU125" i="37" s="1"/>
  <c r="BK46" i="37"/>
  <c r="BK125" i="37" s="1"/>
  <c r="S57" i="37"/>
  <c r="AI57" i="37"/>
  <c r="AY57" i="37"/>
  <c r="G51" i="37"/>
  <c r="G127" i="37" s="1"/>
  <c r="W51" i="37"/>
  <c r="W127" i="37" s="1"/>
  <c r="AM51" i="37"/>
  <c r="AM127" i="37" s="1"/>
  <c r="BC51" i="37"/>
  <c r="BC127" i="37" s="1"/>
  <c r="AN46" i="37"/>
  <c r="BH51" i="37"/>
  <c r="BH127" i="37" s="1"/>
  <c r="H57" i="37"/>
  <c r="AZ51" i="37"/>
  <c r="AZ127" i="37" s="1"/>
  <c r="BH46" i="37"/>
  <c r="BH125" i="37" s="1"/>
  <c r="AJ46" i="37"/>
  <c r="AH57" i="37"/>
  <c r="AL51" i="37"/>
  <c r="AL127" i="37" s="1"/>
  <c r="Z46" i="37"/>
  <c r="T57" i="37"/>
  <c r="AZ57" i="37"/>
  <c r="BD51" i="37"/>
  <c r="BD127" i="37" s="1"/>
  <c r="AL46" i="37"/>
  <c r="F57" i="37"/>
  <c r="AP51" i="37"/>
  <c r="AP127" i="37" s="1"/>
  <c r="AW46" i="37"/>
  <c r="AW125" i="37" s="1"/>
  <c r="U57" i="37"/>
  <c r="BA57" i="37"/>
  <c r="Y51" i="37"/>
  <c r="Y127" i="37" s="1"/>
  <c r="AO51" i="37"/>
  <c r="AO127" i="37" s="1"/>
  <c r="AA46" i="37"/>
  <c r="AQ46" i="37"/>
  <c r="O57" i="37"/>
  <c r="AU57" i="37"/>
  <c r="S51" i="37"/>
  <c r="S127" i="37" s="1"/>
  <c r="AY51" i="37"/>
  <c r="AY127" i="37" s="1"/>
  <c r="AS123" i="37"/>
  <c r="AT45" i="37"/>
  <c r="X57" i="37"/>
  <c r="AZ46" i="37"/>
  <c r="AZ125" i="37" s="1"/>
  <c r="H46" i="37"/>
  <c r="AV57" i="37"/>
  <c r="P46" i="37"/>
  <c r="BL57" i="37"/>
  <c r="D188" i="37"/>
  <c r="D114" i="37"/>
  <c r="E112" i="37" s="1"/>
  <c r="D31" i="37"/>
  <c r="I46" i="37"/>
  <c r="Y46" i="37"/>
  <c r="AT46" i="37"/>
  <c r="AT125" i="37" s="1"/>
  <c r="R57" i="37"/>
  <c r="AX57" i="37"/>
  <c r="V51" i="37"/>
  <c r="V127" i="37" s="1"/>
  <c r="BB51" i="37"/>
  <c r="BB127" i="37" s="1"/>
  <c r="R46" i="37"/>
  <c r="AK46" i="37"/>
  <c r="BL46" i="37"/>
  <c r="BL125" i="37" s="1"/>
  <c r="AJ57" i="37"/>
  <c r="H51" i="37"/>
  <c r="H127" i="37" s="1"/>
  <c r="AN51" i="37"/>
  <c r="AN127" i="37" s="1"/>
  <c r="K46" i="37"/>
  <c r="AB46" i="37"/>
  <c r="AX46" i="37"/>
  <c r="AX125" i="37" s="1"/>
  <c r="V57" i="37"/>
  <c r="BB57" i="37"/>
  <c r="Z51" i="37"/>
  <c r="Z127" i="37" s="1"/>
  <c r="BF51" i="37"/>
  <c r="BF127" i="37" s="1"/>
  <c r="BE46" i="37"/>
  <c r="BE125" i="37" s="1"/>
  <c r="M57" i="37"/>
  <c r="AC57" i="37"/>
  <c r="AS57" i="37"/>
  <c r="BI57" i="37"/>
  <c r="Q51" i="37"/>
  <c r="Q127" i="37" s="1"/>
  <c r="AG51" i="37"/>
  <c r="AG127" i="37" s="1"/>
  <c r="AW51" i="37"/>
  <c r="AW127" i="37" s="1"/>
  <c r="AI46" i="37"/>
  <c r="AY46" i="37"/>
  <c r="AY125" i="37" s="1"/>
  <c r="G57" i="37"/>
  <c r="W57" i="37"/>
  <c r="AM57" i="37"/>
  <c r="BC57" i="37"/>
  <c r="K51" i="37"/>
  <c r="K127" i="37" s="1"/>
  <c r="AA51" i="37"/>
  <c r="AA127" i="37" s="1"/>
  <c r="AQ51" i="37"/>
  <c r="AQ127" i="37" s="1"/>
  <c r="BG51" i="37"/>
  <c r="BG127" i="37" s="1"/>
  <c r="J128" i="37"/>
  <c r="BI128" i="37"/>
  <c r="AS128" i="37"/>
  <c r="AC128" i="37"/>
  <c r="M128" i="37"/>
  <c r="BH128" i="37"/>
  <c r="AR128" i="37"/>
  <c r="AB128" i="37"/>
  <c r="L128" i="37"/>
  <c r="BC128" i="37"/>
  <c r="AM128" i="37"/>
  <c r="W128" i="37"/>
  <c r="G128" i="37"/>
  <c r="N128" i="37"/>
  <c r="F128" i="37"/>
  <c r="R128" i="37"/>
  <c r="AH128" i="37"/>
  <c r="BE128" i="37"/>
  <c r="AO128" i="37"/>
  <c r="Y128" i="37"/>
  <c r="I128" i="37"/>
  <c r="BD128" i="37"/>
  <c r="AN128" i="37"/>
  <c r="X128" i="37"/>
  <c r="H128" i="37"/>
  <c r="AY128" i="37"/>
  <c r="AI128" i="37"/>
  <c r="S128" i="37"/>
  <c r="BJ128" i="37"/>
  <c r="BB128" i="37"/>
  <c r="BF128" i="37"/>
  <c r="BA128" i="37"/>
  <c r="AK128" i="37"/>
  <c r="U128" i="37"/>
  <c r="E128" i="37"/>
  <c r="AZ128" i="37"/>
  <c r="AJ128" i="37"/>
  <c r="T128" i="37"/>
  <c r="BK128" i="37"/>
  <c r="AU128" i="37"/>
  <c r="AE128" i="37"/>
  <c r="O128" i="37"/>
  <c r="AT128" i="37"/>
  <c r="AL128" i="37"/>
  <c r="Z128" i="37"/>
  <c r="AP128" i="37"/>
  <c r="AW128" i="37"/>
  <c r="AG128" i="37"/>
  <c r="Q128" i="37"/>
  <c r="BL128" i="37"/>
  <c r="AV128" i="37"/>
  <c r="AF128" i="37"/>
  <c r="P128" i="37"/>
  <c r="BG128" i="37"/>
  <c r="AQ128" i="37"/>
  <c r="AA128" i="37"/>
  <c r="K128" i="37"/>
  <c r="AD128" i="37"/>
  <c r="V128" i="37"/>
  <c r="AX128" i="37"/>
  <c r="D81" i="37"/>
  <c r="AC46" i="37"/>
  <c r="BD57" i="37"/>
  <c r="T46" i="37"/>
  <c r="X46" i="37"/>
  <c r="T51" i="37"/>
  <c r="T127" i="37" s="1"/>
  <c r="AH46" i="37"/>
  <c r="AJ51" i="37"/>
  <c r="AJ127" i="37" s="1"/>
  <c r="M46" i="37"/>
  <c r="AD46" i="37"/>
  <c r="BB46" i="37"/>
  <c r="BB125" i="37" s="1"/>
  <c r="Z57" i="37"/>
  <c r="BF57" i="37"/>
  <c r="AD51" i="37"/>
  <c r="AD127" i="37" s="1"/>
  <c r="BJ51" i="37"/>
  <c r="BJ127" i="37" s="1"/>
  <c r="F46" i="37"/>
  <c r="V46" i="37"/>
  <c r="AP46" i="37"/>
  <c r="L57" i="37"/>
  <c r="AR57" i="37"/>
  <c r="P51" i="37"/>
  <c r="P127" i="37" s="1"/>
  <c r="AV51" i="37"/>
  <c r="AV127" i="37" s="1"/>
  <c r="D80" i="37"/>
  <c r="O46" i="37"/>
  <c r="AG46" i="37"/>
  <c r="BF46" i="37"/>
  <c r="BF125" i="37" s="1"/>
  <c r="AD57" i="37"/>
  <c r="BJ57" i="37"/>
  <c r="AH51" i="37"/>
  <c r="AH127" i="37" s="1"/>
  <c r="BI46" i="37"/>
  <c r="BI125" i="37" s="1"/>
  <c r="Q57" i="37"/>
  <c r="AG57" i="37"/>
  <c r="AW57" i="37"/>
  <c r="E51" i="37"/>
  <c r="E127" i="37" s="1"/>
  <c r="U51" i="37"/>
  <c r="U127" i="37" s="1"/>
  <c r="AK51" i="37"/>
  <c r="AK127" i="37" s="1"/>
  <c r="BA51" i="37"/>
  <c r="BA127" i="37" s="1"/>
  <c r="AM46" i="37"/>
  <c r="BC46" i="37"/>
  <c r="BC125" i="37" s="1"/>
  <c r="K57" i="37"/>
  <c r="AA57" i="37"/>
  <c r="AQ57" i="37"/>
  <c r="BG57" i="37"/>
  <c r="O51" i="37"/>
  <c r="O127" i="37" s="1"/>
  <c r="AE51" i="37"/>
  <c r="AE127" i="37" s="1"/>
  <c r="AU51" i="37"/>
  <c r="AU127" i="37" s="1"/>
  <c r="BK51" i="37"/>
  <c r="BK127" i="37" s="1"/>
  <c r="U28" i="15"/>
  <c r="AH37" i="18"/>
  <c r="AG89" i="18"/>
  <c r="Q36" i="24"/>
  <c r="Q38" i="24" s="1"/>
  <c r="Q39" i="24" s="1"/>
  <c r="AG33" i="8"/>
  <c r="AH31" i="8"/>
  <c r="AF34" i="8"/>
  <c r="AF70" i="8"/>
  <c r="D61" i="34" a="1"/>
  <c r="D61" i="34" s="1"/>
  <c r="I9" i="34" s="1"/>
  <c r="D63" i="34"/>
  <c r="I10" i="34"/>
  <c r="I11" i="34" s="1"/>
  <c r="E51" i="34"/>
  <c r="E56" i="34" s="1"/>
  <c r="E52" i="34" s="1"/>
  <c r="E57" i="34" s="1"/>
  <c r="E63" i="34" s="1"/>
  <c r="U13" i="15"/>
  <c r="V11" i="15" s="1"/>
  <c r="AF30" i="30"/>
  <c r="AF66" i="30"/>
  <c r="AG29" i="30"/>
  <c r="AH27" i="30"/>
  <c r="AD56" i="1"/>
  <c r="AD54" i="1" s="1"/>
  <c r="AD55" i="1" s="1"/>
  <c r="AE53" i="1" s="1"/>
  <c r="AG106" i="28"/>
  <c r="AG104" i="28" s="1"/>
  <c r="AG105" i="28" s="1"/>
  <c r="AH103" i="28" s="1"/>
  <c r="Z20" i="5"/>
  <c r="Z18" i="5"/>
  <c r="Z19" i="5" s="1"/>
  <c r="AA17" i="5" s="1"/>
  <c r="Y28" i="5"/>
  <c r="E25" i="3"/>
  <c r="F23" i="3" s="1"/>
  <c r="D23" i="4"/>
  <c r="D27" i="4" s="1"/>
  <c r="AH45" i="35"/>
  <c r="AG89" i="35"/>
  <c r="AG48" i="35"/>
  <c r="R33" i="24"/>
  <c r="U88" i="1"/>
  <c r="U91" i="1" s="1"/>
  <c r="U92" i="1" s="1"/>
  <c r="U95" i="1" s="1"/>
  <c r="AH48" i="36"/>
  <c r="AG127" i="36"/>
  <c r="X34" i="5"/>
  <c r="AG45" i="31"/>
  <c r="AF89" i="31"/>
  <c r="AF138" i="35"/>
  <c r="AF49" i="35"/>
  <c r="AF61" i="35"/>
  <c r="AF122" i="35"/>
  <c r="AF124" i="35" s="1"/>
  <c r="D65" i="33" a="1"/>
  <c r="D65" i="33" s="1"/>
  <c r="I9" i="33" s="1"/>
  <c r="D67" i="33"/>
  <c r="E54" i="33"/>
  <c r="I10" i="33"/>
  <c r="I11" i="33" s="1"/>
  <c r="AG56" i="28"/>
  <c r="AG54" i="28" s="1"/>
  <c r="AG55" i="28" s="1"/>
  <c r="AH53" i="28" s="1"/>
  <c r="AH39" i="26" l="1"/>
  <c r="AG83" i="26"/>
  <c r="E60" i="34"/>
  <c r="E54" i="34"/>
  <c r="F51" i="34" s="1"/>
  <c r="F56" i="34" s="1"/>
  <c r="F52" i="34" s="1"/>
  <c r="F57" i="34" s="1"/>
  <c r="AH182" i="36"/>
  <c r="L117" i="37"/>
  <c r="AS117" i="37"/>
  <c r="Q119" i="37"/>
  <c r="R120" i="37" s="1"/>
  <c r="BB113" i="37"/>
  <c r="AR113" i="37"/>
  <c r="U171" i="37"/>
  <c r="AT119" i="37"/>
  <c r="AU120" i="37" s="1"/>
  <c r="X119" i="37"/>
  <c r="Y120" i="37" s="1"/>
  <c r="AH113" i="37"/>
  <c r="BG171" i="37"/>
  <c r="AO113" i="37"/>
  <c r="BJ113" i="37"/>
  <c r="BL113" i="37"/>
  <c r="BA171" i="37"/>
  <c r="AY119" i="37"/>
  <c r="AZ120" i="37" s="1"/>
  <c r="AG171" i="37"/>
  <c r="R119" i="37"/>
  <c r="S120" i="37" s="1"/>
  <c r="BD113" i="37"/>
  <c r="AD171" i="37"/>
  <c r="AK113" i="37"/>
  <c r="M113" i="37"/>
  <c r="AM113" i="37"/>
  <c r="AJ171" i="37"/>
  <c r="D83" i="37"/>
  <c r="AS48" i="37"/>
  <c r="AS49" i="37" s="1"/>
  <c r="AP125" i="37"/>
  <c r="AP48" i="37"/>
  <c r="BC119" i="37"/>
  <c r="BD120" i="37" s="1"/>
  <c r="BD117" i="37"/>
  <c r="G119" i="37"/>
  <c r="H120" i="37" s="1"/>
  <c r="H117" i="37"/>
  <c r="L125" i="37"/>
  <c r="L48" i="37"/>
  <c r="AJ119" i="37"/>
  <c r="AK120" i="37" s="1"/>
  <c r="AK117" i="37"/>
  <c r="AI125" i="37"/>
  <c r="AI48" i="37"/>
  <c r="K125" i="37"/>
  <c r="K48" i="37"/>
  <c r="R125" i="37"/>
  <c r="R48" i="37"/>
  <c r="P125" i="37"/>
  <c r="P48" i="37"/>
  <c r="H125" i="37"/>
  <c r="H48" i="37"/>
  <c r="AE125" i="37"/>
  <c r="AE48" i="37"/>
  <c r="AR125" i="37"/>
  <c r="AR48" i="37"/>
  <c r="G125" i="37"/>
  <c r="G48" i="37"/>
  <c r="N125" i="37"/>
  <c r="N48" i="37"/>
  <c r="U125" i="37"/>
  <c r="U48" i="37"/>
  <c r="J125" i="37"/>
  <c r="J48" i="37"/>
  <c r="BF119" i="37"/>
  <c r="BG120" i="37" s="1"/>
  <c r="BG117" i="37"/>
  <c r="AF119" i="37"/>
  <c r="AG120" i="37" s="1"/>
  <c r="AG117" i="37"/>
  <c r="AD117" i="37"/>
  <c r="AC119" i="37"/>
  <c r="AD120" i="37" s="1"/>
  <c r="AG125" i="37"/>
  <c r="AG48" i="37"/>
  <c r="AH125" i="37"/>
  <c r="AH48" i="37"/>
  <c r="D34" i="37"/>
  <c r="D67" i="37" s="1"/>
  <c r="D69" i="37" s="1"/>
  <c r="AL125" i="37"/>
  <c r="AL48" i="37"/>
  <c r="AJ125" i="37"/>
  <c r="AJ48" i="37"/>
  <c r="U113" i="37"/>
  <c r="Y117" i="37"/>
  <c r="O171" i="37"/>
  <c r="O113" i="37"/>
  <c r="AM125" i="37"/>
  <c r="AM48" i="37"/>
  <c r="AR171" i="37"/>
  <c r="AV119" i="37"/>
  <c r="AW120" i="37" s="1"/>
  <c r="AW117" i="37"/>
  <c r="BJ117" i="37"/>
  <c r="BI119" i="37"/>
  <c r="BJ120" i="37" s="1"/>
  <c r="O125" i="37"/>
  <c r="O48" i="37"/>
  <c r="K119" i="37"/>
  <c r="L120" i="37" s="1"/>
  <c r="V125" i="37"/>
  <c r="V48" i="37"/>
  <c r="AD125" i="37"/>
  <c r="AD48" i="37"/>
  <c r="T125" i="37"/>
  <c r="T48" i="37"/>
  <c r="AC125" i="37"/>
  <c r="AC48" i="37"/>
  <c r="AR119" i="37"/>
  <c r="AS120" i="37" s="1"/>
  <c r="L119" i="37"/>
  <c r="M120" i="37" s="1"/>
  <c r="I125" i="37"/>
  <c r="I48" i="37"/>
  <c r="AA125" i="37"/>
  <c r="AA48" i="37"/>
  <c r="AG119" i="37"/>
  <c r="AH120" i="37" s="1"/>
  <c r="AH117" i="37"/>
  <c r="BL171" i="37"/>
  <c r="AN125" i="37"/>
  <c r="AN48" i="37"/>
  <c r="AN119" i="37"/>
  <c r="AO120" i="37" s="1"/>
  <c r="AO117" i="37"/>
  <c r="AK171" i="37"/>
  <c r="D59" i="37"/>
  <c r="Z119" i="37"/>
  <c r="AA120" i="37" s="1"/>
  <c r="AA117" i="37"/>
  <c r="AQ119" i="37"/>
  <c r="AR120" i="37" s="1"/>
  <c r="AR117" i="37"/>
  <c r="F125" i="37"/>
  <c r="F48" i="37"/>
  <c r="M125" i="37"/>
  <c r="M48" i="37"/>
  <c r="X125" i="37"/>
  <c r="X48" i="37"/>
  <c r="BI117" i="37"/>
  <c r="Y125" i="37"/>
  <c r="Y48" i="37"/>
  <c r="AT123" i="37"/>
  <c r="AU45" i="37"/>
  <c r="AT48" i="37"/>
  <c r="AQ125" i="37"/>
  <c r="AQ48" i="37"/>
  <c r="AM119" i="37"/>
  <c r="AN120" i="37" s="1"/>
  <c r="Q125" i="37"/>
  <c r="Q48" i="37"/>
  <c r="AH171" i="37"/>
  <c r="V119" i="37"/>
  <c r="W120" i="37" s="1"/>
  <c r="W117" i="37"/>
  <c r="AM171" i="37"/>
  <c r="AB125" i="37"/>
  <c r="AB48" i="37"/>
  <c r="AK125" i="37"/>
  <c r="AK48" i="37"/>
  <c r="BK119" i="37"/>
  <c r="BL120" i="37" s="1"/>
  <c r="BL117" i="37"/>
  <c r="Z125" i="37"/>
  <c r="Z48" i="37"/>
  <c r="S117" i="37"/>
  <c r="W125" i="37"/>
  <c r="W48" i="37"/>
  <c r="AF125" i="37"/>
  <c r="AF48" i="37"/>
  <c r="AO125" i="37"/>
  <c r="AO48" i="37"/>
  <c r="E125" i="37"/>
  <c r="E48" i="37"/>
  <c r="AO171" i="37"/>
  <c r="S125" i="37"/>
  <c r="S48" i="37"/>
  <c r="AH89" i="18"/>
  <c r="AI37" i="18"/>
  <c r="AH33" i="8"/>
  <c r="AI31" i="8"/>
  <c r="AG70" i="8"/>
  <c r="AG34" i="8"/>
  <c r="AH29" i="30"/>
  <c r="AI27" i="30"/>
  <c r="V14" i="15"/>
  <c r="V12" i="15"/>
  <c r="AG30" i="30"/>
  <c r="AG66" i="30"/>
  <c r="U93" i="1"/>
  <c r="V90" i="1" s="1"/>
  <c r="R31" i="24"/>
  <c r="R32" i="24" s="1"/>
  <c r="S30" i="24" s="1"/>
  <c r="AG61" i="35"/>
  <c r="AG122" i="35"/>
  <c r="AG124" i="35" s="1"/>
  <c r="AG138" i="35"/>
  <c r="AG49" i="35"/>
  <c r="E25" i="4"/>
  <c r="I7" i="4"/>
  <c r="I8" i="4" s="1"/>
  <c r="D33" i="4" a="1"/>
  <c r="D33" i="4" s="1"/>
  <c r="I6" i="4" s="1"/>
  <c r="Y34" i="5"/>
  <c r="AI48" i="36"/>
  <c r="AI182" i="36" s="1"/>
  <c r="AH127" i="36"/>
  <c r="AA18" i="5"/>
  <c r="AA19" i="5" s="1"/>
  <c r="AB17" i="5" s="1"/>
  <c r="AA20" i="5"/>
  <c r="AH106" i="28"/>
  <c r="AH104" i="28" s="1"/>
  <c r="AH105" i="28" s="1"/>
  <c r="AI103" i="28" s="1"/>
  <c r="AH56" i="28"/>
  <c r="AH54" i="28" s="1"/>
  <c r="AH55" i="28" s="1"/>
  <c r="AI53" i="28" s="1"/>
  <c r="E59" i="33"/>
  <c r="E55" i="33" s="1"/>
  <c r="E60" i="33" s="1"/>
  <c r="AI45" i="35"/>
  <c r="AH89" i="35"/>
  <c r="AH48" i="35"/>
  <c r="Z28" i="5"/>
  <c r="AG89" i="31"/>
  <c r="AH45" i="31"/>
  <c r="F26" i="3"/>
  <c r="F24" i="3" s="1"/>
  <c r="F27" i="3" s="1"/>
  <c r="F31" i="3" s="1"/>
  <c r="AE56" i="1"/>
  <c r="AE54" i="1" s="1"/>
  <c r="AE55" i="1" s="1"/>
  <c r="AF53" i="1" s="1"/>
  <c r="V28" i="15" l="1"/>
  <c r="AI39" i="26"/>
  <c r="AH83" i="26"/>
  <c r="H119" i="37"/>
  <c r="I120" i="37" s="1"/>
  <c r="I175" i="37" s="1"/>
  <c r="AW119" i="37"/>
  <c r="AX120" i="37" s="1"/>
  <c r="AX163" i="37" s="1"/>
  <c r="BD171" i="37"/>
  <c r="E165" i="37"/>
  <c r="BH119" i="37"/>
  <c r="BI120" i="37" s="1"/>
  <c r="BI163" i="37" s="1"/>
  <c r="S165" i="37"/>
  <c r="AA113" i="37"/>
  <c r="BB171" i="37"/>
  <c r="W171" i="37"/>
  <c r="W113" i="37"/>
  <c r="H113" i="37"/>
  <c r="H171" i="37"/>
  <c r="G113" i="37"/>
  <c r="G171" i="37"/>
  <c r="AW171" i="37"/>
  <c r="AW113" i="37"/>
  <c r="M117" i="37"/>
  <c r="M157" i="37" s="1"/>
  <c r="BJ171" i="37"/>
  <c r="I165" i="37"/>
  <c r="J171" i="37"/>
  <c r="AN117" i="37"/>
  <c r="AN157" i="37" s="1"/>
  <c r="I117" i="37"/>
  <c r="I161" i="37" s="1"/>
  <c r="AX117" i="37"/>
  <c r="AX157" i="37" s="1"/>
  <c r="M171" i="37"/>
  <c r="AS165" i="37"/>
  <c r="AY171" i="37"/>
  <c r="AQ113" i="37"/>
  <c r="AQ171" i="37"/>
  <c r="F113" i="37"/>
  <c r="F171" i="37"/>
  <c r="BA113" i="37"/>
  <c r="K171" i="37"/>
  <c r="AJ113" i="37"/>
  <c r="BG113" i="37"/>
  <c r="K117" i="37"/>
  <c r="K157" i="37" s="1"/>
  <c r="AZ117" i="37"/>
  <c r="AZ157" i="37" s="1"/>
  <c r="AW165" i="37"/>
  <c r="J119" i="37"/>
  <c r="K120" i="37" s="1"/>
  <c r="K175" i="37" s="1"/>
  <c r="BI171" i="37"/>
  <c r="BI113" i="37"/>
  <c r="AV171" i="37"/>
  <c r="AV113" i="37"/>
  <c r="BF171" i="37"/>
  <c r="BF113" i="37"/>
  <c r="L113" i="37"/>
  <c r="L171" i="37"/>
  <c r="P117" i="37"/>
  <c r="P157" i="37" s="1"/>
  <c r="AS170" i="37"/>
  <c r="AD113" i="37"/>
  <c r="R117" i="37"/>
  <c r="R157" i="37" s="1"/>
  <c r="Q165" i="37"/>
  <c r="AE165" i="37"/>
  <c r="O119" i="37"/>
  <c r="P120" i="37" s="1"/>
  <c r="P175" i="37" s="1"/>
  <c r="R165" i="37"/>
  <c r="V165" i="37"/>
  <c r="Y113" i="37"/>
  <c r="AT165" i="37"/>
  <c r="AJ165" i="37"/>
  <c r="W165" i="37"/>
  <c r="L165" i="37"/>
  <c r="H165" i="37"/>
  <c r="AM165" i="37"/>
  <c r="F165" i="37"/>
  <c r="AK165" i="37"/>
  <c r="BL165" i="37"/>
  <c r="BJ165" i="37"/>
  <c r="AH165" i="37"/>
  <c r="U165" i="37"/>
  <c r="BI165" i="37"/>
  <c r="G165" i="37"/>
  <c r="AG165" i="37"/>
  <c r="AG113" i="37"/>
  <c r="AU117" i="37"/>
  <c r="AU157" i="37" s="1"/>
  <c r="O165" i="37"/>
  <c r="AV165" i="37"/>
  <c r="AD165" i="37"/>
  <c r="AO165" i="37"/>
  <c r="AQ165" i="37"/>
  <c r="AX165" i="37"/>
  <c r="AR165" i="37"/>
  <c r="M165" i="37"/>
  <c r="BA165" i="37"/>
  <c r="BD165" i="37"/>
  <c r="BG165" i="37"/>
  <c r="BB165" i="37"/>
  <c r="BF165" i="37"/>
  <c r="AF49" i="37"/>
  <c r="AF170" i="37"/>
  <c r="T119" i="37"/>
  <c r="U120" i="37" s="1"/>
  <c r="U117" i="37"/>
  <c r="AO157" i="37"/>
  <c r="AO161" i="37"/>
  <c r="F117" i="37"/>
  <c r="E119" i="37"/>
  <c r="F120" i="37" s="1"/>
  <c r="AS157" i="37"/>
  <c r="AS161" i="37"/>
  <c r="L175" i="37"/>
  <c r="L89" i="37"/>
  <c r="L163" i="37"/>
  <c r="AD175" i="37"/>
  <c r="AD89" i="37"/>
  <c r="AD163" i="37"/>
  <c r="AH119" i="37"/>
  <c r="AI120" i="37" s="1"/>
  <c r="AI117" i="37"/>
  <c r="BB117" i="37"/>
  <c r="BA119" i="37"/>
  <c r="BB120" i="37" s="1"/>
  <c r="AL119" i="37"/>
  <c r="AM120" i="37" s="1"/>
  <c r="AM117" i="37"/>
  <c r="AU175" i="37"/>
  <c r="AU89" i="37"/>
  <c r="AU163" i="37"/>
  <c r="BD175" i="37"/>
  <c r="BD89" i="37"/>
  <c r="BD163" i="37"/>
  <c r="S49" i="37"/>
  <c r="S170" i="37"/>
  <c r="AO49" i="37"/>
  <c r="AO170" i="37"/>
  <c r="AO172" i="37" s="1"/>
  <c r="N117" i="37"/>
  <c r="M119" i="37"/>
  <c r="N120" i="37" s="1"/>
  <c r="AU119" i="37"/>
  <c r="AV120" i="37" s="1"/>
  <c r="AV117" i="37"/>
  <c r="AI119" i="37"/>
  <c r="AJ120" i="37" s="1"/>
  <c r="AJ117" i="37"/>
  <c r="BB119" i="37"/>
  <c r="BC120" i="37" s="1"/>
  <c r="BC117" i="37"/>
  <c r="Y49" i="37"/>
  <c r="Y170" i="37"/>
  <c r="X49" i="37"/>
  <c r="X170" i="37"/>
  <c r="F49" i="37"/>
  <c r="F170" i="37"/>
  <c r="AA175" i="37"/>
  <c r="AA89" i="37"/>
  <c r="AA163" i="37"/>
  <c r="D119" i="37"/>
  <c r="E120" i="37" s="1"/>
  <c r="E117" i="37"/>
  <c r="AO175" i="37"/>
  <c r="AO89" i="37"/>
  <c r="AO163" i="37"/>
  <c r="AN49" i="37"/>
  <c r="AN170" i="37"/>
  <c r="AS175" i="37"/>
  <c r="AS89" i="37"/>
  <c r="AS163" i="37"/>
  <c r="V49" i="37"/>
  <c r="V170" i="37"/>
  <c r="O49" i="37"/>
  <c r="O170" i="37"/>
  <c r="O172" i="37" s="1"/>
  <c r="P119" i="37"/>
  <c r="Q120" i="37" s="1"/>
  <c r="Q117" i="37"/>
  <c r="AM49" i="37"/>
  <c r="AM170" i="37"/>
  <c r="AM172" i="37" s="1"/>
  <c r="AP119" i="37"/>
  <c r="AQ120" i="37" s="1"/>
  <c r="AQ117" i="37"/>
  <c r="Y157" i="37"/>
  <c r="Y161" i="37"/>
  <c r="AJ49" i="37"/>
  <c r="AJ170" i="37"/>
  <c r="AJ172" i="37" s="1"/>
  <c r="BE119" i="37"/>
  <c r="BF120" i="37" s="1"/>
  <c r="BF117" i="37"/>
  <c r="AD157" i="37"/>
  <c r="AD161" i="37"/>
  <c r="J49" i="37"/>
  <c r="J170" i="37"/>
  <c r="AD119" i="37"/>
  <c r="AE120" i="37" s="1"/>
  <c r="AE117" i="37"/>
  <c r="U49" i="37"/>
  <c r="U170" i="37"/>
  <c r="U172" i="37" s="1"/>
  <c r="AR49" i="37"/>
  <c r="AR170" i="37"/>
  <c r="AR172" i="37" s="1"/>
  <c r="AZ119" i="37"/>
  <c r="BA120" i="37" s="1"/>
  <c r="BA117" i="37"/>
  <c r="P49" i="37"/>
  <c r="P170" i="37"/>
  <c r="AI49" i="37"/>
  <c r="AI170" i="37"/>
  <c r="AK157" i="37"/>
  <c r="AK161" i="37"/>
  <c r="L49" i="37"/>
  <c r="L170" i="37"/>
  <c r="H157" i="37"/>
  <c r="H161" i="37"/>
  <c r="AP49" i="37"/>
  <c r="AP170" i="37"/>
  <c r="Z49" i="37"/>
  <c r="Z170" i="37"/>
  <c r="W175" i="37"/>
  <c r="W89" i="37"/>
  <c r="W163" i="37"/>
  <c r="AN175" i="37"/>
  <c r="AN89" i="37"/>
  <c r="AN163" i="37"/>
  <c r="AA157" i="37"/>
  <c r="AA161" i="37"/>
  <c r="T49" i="37"/>
  <c r="T170" i="37"/>
  <c r="BJ157" i="37"/>
  <c r="BJ161" i="37"/>
  <c r="BG175" i="37"/>
  <c r="BG89" i="37"/>
  <c r="BG163" i="37"/>
  <c r="N49" i="37"/>
  <c r="N170" i="37"/>
  <c r="S119" i="37"/>
  <c r="T120" i="37" s="1"/>
  <c r="T117" i="37"/>
  <c r="AA119" i="37"/>
  <c r="AB120" i="37" s="1"/>
  <c r="AB117" i="37"/>
  <c r="S157" i="37"/>
  <c r="S161" i="37"/>
  <c r="BL157" i="37"/>
  <c r="BL161" i="37"/>
  <c r="AB49" i="37"/>
  <c r="AB170" i="37"/>
  <c r="Q49" i="37"/>
  <c r="Q170" i="37"/>
  <c r="AT49" i="37"/>
  <c r="AT170" i="37"/>
  <c r="AE119" i="37"/>
  <c r="AF120" i="37" s="1"/>
  <c r="AF117" i="37"/>
  <c r="AH157" i="37"/>
  <c r="AH161" i="37"/>
  <c r="AA49" i="37"/>
  <c r="AA170" i="37"/>
  <c r="W119" i="37"/>
  <c r="X120" i="37" s="1"/>
  <c r="X117" i="37"/>
  <c r="AC49" i="37"/>
  <c r="AC170" i="37"/>
  <c r="AD49" i="37"/>
  <c r="AD170" i="37"/>
  <c r="AD172" i="37" s="1"/>
  <c r="AW157" i="37"/>
  <c r="AW161" i="37"/>
  <c r="Y175" i="37"/>
  <c r="Y89" i="37"/>
  <c r="Y163" i="37"/>
  <c r="AB119" i="37"/>
  <c r="AC120" i="37" s="1"/>
  <c r="AC117" i="37"/>
  <c r="AG49" i="37"/>
  <c r="AG170" i="37"/>
  <c r="AG172" i="37" s="1"/>
  <c r="AG157" i="37"/>
  <c r="AG161" i="37"/>
  <c r="BG119" i="37"/>
  <c r="BH120" i="37" s="1"/>
  <c r="BH117" i="37"/>
  <c r="AE49" i="37"/>
  <c r="AE170" i="37"/>
  <c r="K49" i="37"/>
  <c r="K170" i="37"/>
  <c r="AK175" i="37"/>
  <c r="AK89" i="37"/>
  <c r="AK163" i="37"/>
  <c r="H175" i="37"/>
  <c r="H89" i="37"/>
  <c r="H163" i="37"/>
  <c r="R175" i="37"/>
  <c r="R89" i="37"/>
  <c r="R163" i="37"/>
  <c r="AX119" i="37"/>
  <c r="AY120" i="37" s="1"/>
  <c r="AY117" i="37"/>
  <c r="V117" i="37"/>
  <c r="U119" i="37"/>
  <c r="V120" i="37" s="1"/>
  <c r="AQ49" i="37"/>
  <c r="AQ170" i="37"/>
  <c r="AR175" i="37"/>
  <c r="AR89" i="37"/>
  <c r="AR163" i="37"/>
  <c r="N119" i="37"/>
  <c r="O120" i="37" s="1"/>
  <c r="O117" i="37"/>
  <c r="Y119" i="37"/>
  <c r="Z120" i="37" s="1"/>
  <c r="Z117" i="37"/>
  <c r="R49" i="37"/>
  <c r="R170" i="37"/>
  <c r="BJ119" i="37"/>
  <c r="BK120" i="37" s="1"/>
  <c r="BK117" i="37"/>
  <c r="E49" i="37"/>
  <c r="E170" i="37"/>
  <c r="AO119" i="37"/>
  <c r="AP120" i="37" s="1"/>
  <c r="AP117" i="37"/>
  <c r="W49" i="37"/>
  <c r="W170" i="37"/>
  <c r="S175" i="37"/>
  <c r="S89" i="37"/>
  <c r="S163" i="37"/>
  <c r="AZ175" i="37"/>
  <c r="AZ89" i="37"/>
  <c r="AZ163" i="37"/>
  <c r="BL175" i="37"/>
  <c r="BL89" i="37"/>
  <c r="BL163" i="37"/>
  <c r="AK49" i="37"/>
  <c r="AK170" i="37"/>
  <c r="AK172" i="37" s="1"/>
  <c r="W157" i="37"/>
  <c r="W161" i="37"/>
  <c r="AU123" i="37"/>
  <c r="AV45" i="37"/>
  <c r="AU48" i="37"/>
  <c r="BI157" i="37"/>
  <c r="BI161" i="37"/>
  <c r="M49" i="37"/>
  <c r="M170" i="37"/>
  <c r="AR157" i="37"/>
  <c r="AR161" i="37"/>
  <c r="AH175" i="37"/>
  <c r="AH89" i="37"/>
  <c r="AH163" i="37"/>
  <c r="I49" i="37"/>
  <c r="I170" i="37"/>
  <c r="M175" i="37"/>
  <c r="M89" i="37"/>
  <c r="M163" i="37"/>
  <c r="L157" i="37"/>
  <c r="L161" i="37"/>
  <c r="BJ175" i="37"/>
  <c r="BJ89" i="37"/>
  <c r="BJ163" i="37"/>
  <c r="AW175" i="37"/>
  <c r="AW89" i="37"/>
  <c r="AW163" i="37"/>
  <c r="AL49" i="37"/>
  <c r="AL170" i="37"/>
  <c r="AH49" i="37"/>
  <c r="AH170" i="37"/>
  <c r="AH172" i="37" s="1"/>
  <c r="AG175" i="37"/>
  <c r="AG89" i="37"/>
  <c r="AG163" i="37"/>
  <c r="BG157" i="37"/>
  <c r="BG161" i="37"/>
  <c r="AL117" i="37"/>
  <c r="AK119" i="37"/>
  <c r="AL120" i="37" s="1"/>
  <c r="I119" i="37"/>
  <c r="J120" i="37" s="1"/>
  <c r="J117" i="37"/>
  <c r="G49" i="37"/>
  <c r="G170" i="37"/>
  <c r="AT117" i="37"/>
  <c r="AS119" i="37"/>
  <c r="AT120" i="37" s="1"/>
  <c r="H49" i="37"/>
  <c r="H170" i="37"/>
  <c r="F119" i="37"/>
  <c r="G120" i="37" s="1"/>
  <c r="G117" i="37"/>
  <c r="BD119" i="37"/>
  <c r="BE120" i="37" s="1"/>
  <c r="BE117" i="37"/>
  <c r="BD157" i="37"/>
  <c r="BD161" i="37"/>
  <c r="D85" i="37"/>
  <c r="AJ37" i="18"/>
  <c r="AI89" i="18"/>
  <c r="AI33" i="8"/>
  <c r="AJ31" i="8"/>
  <c r="AH70" i="8"/>
  <c r="AH34" i="8"/>
  <c r="V13" i="15"/>
  <c r="W11" i="15" s="1"/>
  <c r="F25" i="3"/>
  <c r="G23" i="3" s="1"/>
  <c r="G26" i="3" s="1"/>
  <c r="G24" i="3" s="1"/>
  <c r="G27" i="3" s="1"/>
  <c r="G31" i="3" s="1"/>
  <c r="AI29" i="30"/>
  <c r="AJ27" i="30"/>
  <c r="AH66" i="30"/>
  <c r="AH30" i="30"/>
  <c r="AI106" i="28"/>
  <c r="AI104" i="28" s="1"/>
  <c r="AI105" i="28" s="1"/>
  <c r="AJ103" i="28" s="1"/>
  <c r="AI56" i="28"/>
  <c r="AI54" i="28" s="1"/>
  <c r="AI55" i="28" s="1"/>
  <c r="AJ53" i="28" s="1"/>
  <c r="AH61" i="35"/>
  <c r="AH49" i="35"/>
  <c r="AH122" i="35"/>
  <c r="AH124" i="35" s="1"/>
  <c r="AH138" i="35"/>
  <c r="E64" i="33"/>
  <c r="E67" i="33"/>
  <c r="AB20" i="5"/>
  <c r="AB18" i="5"/>
  <c r="AB28" i="5" s="1"/>
  <c r="AJ48" i="36"/>
  <c r="AJ182" i="36" s="1"/>
  <c r="AI127" i="36"/>
  <c r="R36" i="24"/>
  <c r="R38" i="24" s="1"/>
  <c r="R39" i="24" s="1"/>
  <c r="F54" i="34"/>
  <c r="G51" i="34" s="1"/>
  <c r="AA28" i="5"/>
  <c r="V88" i="1"/>
  <c r="V91" i="1" s="1"/>
  <c r="V92" i="1" s="1"/>
  <c r="AF56" i="1"/>
  <c r="AF54" i="1" s="1"/>
  <c r="AF55" i="1" s="1"/>
  <c r="AG53" i="1" s="1"/>
  <c r="AH89" i="31"/>
  <c r="AI45" i="31"/>
  <c r="F60" i="34"/>
  <c r="F63" i="34"/>
  <c r="AI89" i="35"/>
  <c r="AJ45" i="35"/>
  <c r="AI48" i="35"/>
  <c r="E28" i="4"/>
  <c r="E26" i="4" s="1"/>
  <c r="E29" i="4" s="1"/>
  <c r="E32" i="4" s="1"/>
  <c r="Z34" i="5"/>
  <c r="E57" i="33"/>
  <c r="F54" i="33" s="1"/>
  <c r="S33" i="24"/>
  <c r="W172" i="37" l="1"/>
  <c r="AJ39" i="26"/>
  <c r="AI83" i="26"/>
  <c r="I163" i="37"/>
  <c r="I89" i="37"/>
  <c r="AX89" i="37"/>
  <c r="AN161" i="37"/>
  <c r="AX175" i="37"/>
  <c r="BI89" i="37"/>
  <c r="BI175" i="37"/>
  <c r="E113" i="37"/>
  <c r="E114" i="37" s="1"/>
  <c r="F112" i="37" s="1"/>
  <c r="F114" i="37" s="1"/>
  <c r="F166" i="37" s="1"/>
  <c r="E171" i="37"/>
  <c r="E172" i="37" s="1"/>
  <c r="E180" i="37" s="1"/>
  <c r="AA165" i="37"/>
  <c r="AU161" i="37"/>
  <c r="G172" i="37"/>
  <c r="G180" i="37" s="1"/>
  <c r="P161" i="37"/>
  <c r="AQ172" i="37"/>
  <c r="AQ180" i="37" s="1"/>
  <c r="M161" i="37"/>
  <c r="K165" i="37"/>
  <c r="AX171" i="37"/>
  <c r="AX113" i="37"/>
  <c r="M172" i="37"/>
  <c r="M180" i="37" s="1"/>
  <c r="K163" i="37"/>
  <c r="K161" i="37"/>
  <c r="K89" i="37"/>
  <c r="H172" i="37"/>
  <c r="H180" i="37" s="1"/>
  <c r="AX161" i="37"/>
  <c r="F172" i="37"/>
  <c r="AA171" i="37"/>
  <c r="AA172" i="37" s="1"/>
  <c r="AA180" i="37" s="1"/>
  <c r="S113" i="37"/>
  <c r="S171" i="37"/>
  <c r="S172" i="37" s="1"/>
  <c r="S180" i="37" s="1"/>
  <c r="P163" i="37"/>
  <c r="I157" i="37"/>
  <c r="J113" i="37"/>
  <c r="AZ161" i="37"/>
  <c r="K172" i="37"/>
  <c r="K180" i="37" s="1"/>
  <c r="J165" i="37"/>
  <c r="K113" i="37"/>
  <c r="X171" i="37"/>
  <c r="X172" i="37" s="1"/>
  <c r="X180" i="37" s="1"/>
  <c r="X113" i="37"/>
  <c r="X165" i="37"/>
  <c r="I113" i="37"/>
  <c r="I171" i="37"/>
  <c r="I172" i="37" s="1"/>
  <c r="I180" i="37" s="1"/>
  <c r="P89" i="37"/>
  <c r="AS113" i="37"/>
  <c r="AS171" i="37"/>
  <c r="AS172" i="37" s="1"/>
  <c r="AS180" i="37" s="1"/>
  <c r="AY165" i="37"/>
  <c r="AY113" i="37"/>
  <c r="R161" i="37"/>
  <c r="L172" i="37"/>
  <c r="L180" i="37" s="1"/>
  <c r="T171" i="37"/>
  <c r="T165" i="37"/>
  <c r="T113" i="37"/>
  <c r="J172" i="37"/>
  <c r="J180" i="37" s="1"/>
  <c r="T172" i="37"/>
  <c r="T180" i="37" s="1"/>
  <c r="V171" i="37"/>
  <c r="V172" i="37" s="1"/>
  <c r="V180" i="37" s="1"/>
  <c r="V113" i="37"/>
  <c r="AE171" i="37"/>
  <c r="AE172" i="37" s="1"/>
  <c r="AE180" i="37" s="1"/>
  <c r="AE113" i="37"/>
  <c r="R113" i="37"/>
  <c r="R171" i="37"/>
  <c r="R172" i="37" s="1"/>
  <c r="R180" i="37" s="1"/>
  <c r="Q113" i="37"/>
  <c r="Q171" i="37"/>
  <c r="Q172" i="37" s="1"/>
  <c r="Q180" i="37" s="1"/>
  <c r="AT171" i="37"/>
  <c r="AT172" i="37" s="1"/>
  <c r="AT180" i="37" s="1"/>
  <c r="AT113" i="37"/>
  <c r="Y171" i="37"/>
  <c r="Y172" i="37" s="1"/>
  <c r="Y180" i="37" s="1"/>
  <c r="Y165" i="37"/>
  <c r="AU165" i="37"/>
  <c r="AU171" i="37"/>
  <c r="AU113" i="37"/>
  <c r="AZ165" i="37"/>
  <c r="AZ171" i="37"/>
  <c r="AZ113" i="37"/>
  <c r="AC165" i="37"/>
  <c r="AC171" i="37"/>
  <c r="AC172" i="37" s="1"/>
  <c r="AC180" i="37" s="1"/>
  <c r="AC113" i="37"/>
  <c r="BC165" i="37"/>
  <c r="BC171" i="37"/>
  <c r="BC113" i="37"/>
  <c r="AP171" i="37"/>
  <c r="AP172" i="37" s="1"/>
  <c r="AP180" i="37" s="1"/>
  <c r="AP113" i="37"/>
  <c r="AP165" i="37"/>
  <c r="Z165" i="37"/>
  <c r="Z113" i="37"/>
  <c r="Z171" i="37"/>
  <c r="Z172" i="37" s="1"/>
  <c r="Z180" i="37" s="1"/>
  <c r="P171" i="37"/>
  <c r="P172" i="37" s="1"/>
  <c r="P180" i="37" s="1"/>
  <c r="P165" i="37"/>
  <c r="P113" i="37"/>
  <c r="AN165" i="37"/>
  <c r="AN113" i="37"/>
  <c r="AN171" i="37"/>
  <c r="AN172" i="37" s="1"/>
  <c r="AN180" i="37" s="1"/>
  <c r="AB113" i="37"/>
  <c r="AB171" i="37"/>
  <c r="AB172" i="37" s="1"/>
  <c r="AB180" i="37" s="1"/>
  <c r="AB165" i="37"/>
  <c r="N165" i="37"/>
  <c r="N171" i="37"/>
  <c r="N172" i="37" s="1"/>
  <c r="N180" i="37" s="1"/>
  <c r="N113" i="37"/>
  <c r="BK113" i="37"/>
  <c r="BK171" i="37"/>
  <c r="BK165" i="37"/>
  <c r="AL171" i="37"/>
  <c r="AL172" i="37" s="1"/>
  <c r="AL180" i="37" s="1"/>
  <c r="AL113" i="37"/>
  <c r="AL165" i="37"/>
  <c r="BH165" i="37"/>
  <c r="BH171" i="37"/>
  <c r="BH113" i="37"/>
  <c r="AF165" i="37"/>
  <c r="AF171" i="37"/>
  <c r="AF172" i="37" s="1"/>
  <c r="AF180" i="37" s="1"/>
  <c r="AF113" i="37"/>
  <c r="AI165" i="37"/>
  <c r="AI171" i="37"/>
  <c r="AI172" i="37" s="1"/>
  <c r="AI180" i="37" s="1"/>
  <c r="AI113" i="37"/>
  <c r="BE165" i="37"/>
  <c r="BE171" i="37"/>
  <c r="BE113" i="37"/>
  <c r="G157" i="37"/>
  <c r="G161" i="37"/>
  <c r="AH180" i="37"/>
  <c r="BK157" i="37"/>
  <c r="BK161" i="37"/>
  <c r="AG180" i="37"/>
  <c r="T157" i="37"/>
  <c r="T161" i="37"/>
  <c r="AR180" i="37"/>
  <c r="BF175" i="37"/>
  <c r="BF89" i="37"/>
  <c r="BF163" i="37"/>
  <c r="G175" i="37"/>
  <c r="G89" i="37"/>
  <c r="G163" i="37"/>
  <c r="AL157" i="37"/>
  <c r="AL161" i="37"/>
  <c r="AP175" i="37"/>
  <c r="AP89" i="37"/>
  <c r="AP163" i="37"/>
  <c r="BK175" i="37"/>
  <c r="BK89" i="37"/>
  <c r="BK163" i="37"/>
  <c r="O175" i="37"/>
  <c r="O89" i="37"/>
  <c r="O163" i="37"/>
  <c r="AY157" i="37"/>
  <c r="AY161" i="37"/>
  <c r="AD180" i="37"/>
  <c r="AB175" i="37"/>
  <c r="AB89" i="37"/>
  <c r="AB163" i="37"/>
  <c r="T175" i="37"/>
  <c r="T89" i="37"/>
  <c r="T163" i="37"/>
  <c r="AE157" i="37"/>
  <c r="AE161" i="37"/>
  <c r="AJ180" i="37"/>
  <c r="AQ175" i="37"/>
  <c r="AQ89" i="37"/>
  <c r="AQ163" i="37"/>
  <c r="Q175" i="37"/>
  <c r="Q89" i="37"/>
  <c r="Q163" i="37"/>
  <c r="E157" i="37"/>
  <c r="E161" i="37"/>
  <c r="BC157" i="37"/>
  <c r="BC161" i="37"/>
  <c r="AV157" i="37"/>
  <c r="AV161" i="37"/>
  <c r="N157" i="37"/>
  <c r="N161" i="37"/>
  <c r="AM157" i="37"/>
  <c r="AM161" i="37"/>
  <c r="F175" i="37"/>
  <c r="F89" i="37"/>
  <c r="F163" i="37"/>
  <c r="AP157" i="37"/>
  <c r="AP161" i="37"/>
  <c r="V157" i="37"/>
  <c r="V161" i="37"/>
  <c r="AF175" i="37"/>
  <c r="AF89" i="37"/>
  <c r="AF163" i="37"/>
  <c r="Q157" i="37"/>
  <c r="Q161" i="37"/>
  <c r="N175" i="37"/>
  <c r="N89" i="37"/>
  <c r="N163" i="37"/>
  <c r="BE157" i="37"/>
  <c r="BE161" i="37"/>
  <c r="AT175" i="37"/>
  <c r="AT89" i="37"/>
  <c r="AT163" i="37"/>
  <c r="J157" i="37"/>
  <c r="J161" i="37"/>
  <c r="AU49" i="37"/>
  <c r="AU170" i="37"/>
  <c r="AU172" i="37" s="1"/>
  <c r="W180" i="37"/>
  <c r="Z157" i="37"/>
  <c r="Z161" i="37"/>
  <c r="AY175" i="37"/>
  <c r="AY89" i="37"/>
  <c r="AY163" i="37"/>
  <c r="BH157" i="37"/>
  <c r="BH161" i="37"/>
  <c r="AC157" i="37"/>
  <c r="AC161" i="37"/>
  <c r="X157" i="37"/>
  <c r="X161" i="37"/>
  <c r="BA157" i="37"/>
  <c r="BA161" i="37"/>
  <c r="AE175" i="37"/>
  <c r="AE89" i="37"/>
  <c r="AE163" i="37"/>
  <c r="AM180" i="37"/>
  <c r="O180" i="37"/>
  <c r="E175" i="37"/>
  <c r="E89" i="37"/>
  <c r="E163" i="37"/>
  <c r="F180" i="37"/>
  <c r="BC175" i="37"/>
  <c r="BC89" i="37"/>
  <c r="BC163" i="37"/>
  <c r="AV175" i="37"/>
  <c r="AV89" i="37"/>
  <c r="AV163" i="37"/>
  <c r="AM175" i="37"/>
  <c r="AM89" i="37"/>
  <c r="AM163" i="37"/>
  <c r="AI157" i="37"/>
  <c r="AI161" i="37"/>
  <c r="F157" i="37"/>
  <c r="F161" i="37"/>
  <c r="U157" i="37"/>
  <c r="U161" i="37"/>
  <c r="AL175" i="37"/>
  <c r="AL89" i="37"/>
  <c r="AL163" i="37"/>
  <c r="O157" i="37"/>
  <c r="O161" i="37"/>
  <c r="AB157" i="37"/>
  <c r="AB161" i="37"/>
  <c r="AQ157" i="37"/>
  <c r="AQ161" i="37"/>
  <c r="AJ175" i="37"/>
  <c r="AJ89" i="37"/>
  <c r="AJ163" i="37"/>
  <c r="BB157" i="37"/>
  <c r="BB161" i="37"/>
  <c r="BE175" i="37"/>
  <c r="BE89" i="37"/>
  <c r="BE163" i="37"/>
  <c r="AT157" i="37"/>
  <c r="AT161" i="37"/>
  <c r="J175" i="37"/>
  <c r="J89" i="37"/>
  <c r="J163" i="37"/>
  <c r="AV123" i="37"/>
  <c r="AW45" i="37"/>
  <c r="AV48" i="37"/>
  <c r="AK180" i="37"/>
  <c r="Z175" i="37"/>
  <c r="Z89" i="37"/>
  <c r="Z163" i="37"/>
  <c r="V175" i="37"/>
  <c r="V89" i="37"/>
  <c r="V163" i="37"/>
  <c r="BH175" i="37"/>
  <c r="BH89" i="37"/>
  <c r="BH163" i="37"/>
  <c r="AC175" i="37"/>
  <c r="AC89" i="37"/>
  <c r="AC163" i="37"/>
  <c r="X175" i="37"/>
  <c r="X89" i="37"/>
  <c r="X163" i="37"/>
  <c r="AF157" i="37"/>
  <c r="AF161" i="37"/>
  <c r="BA175" i="37"/>
  <c r="BA89" i="37"/>
  <c r="BA163" i="37"/>
  <c r="U180" i="37"/>
  <c r="BF157" i="37"/>
  <c r="BF161" i="37"/>
  <c r="AJ157" i="37"/>
  <c r="AJ161" i="37"/>
  <c r="AO180" i="37"/>
  <c r="BB175" i="37"/>
  <c r="BB89" i="37"/>
  <c r="BB163" i="37"/>
  <c r="AI175" i="37"/>
  <c r="AI89" i="37"/>
  <c r="AI163" i="37"/>
  <c r="U175" i="37"/>
  <c r="U89" i="37"/>
  <c r="U163" i="37"/>
  <c r="AJ89" i="18"/>
  <c r="AK37" i="18"/>
  <c r="AK31" i="8"/>
  <c r="AJ33" i="8"/>
  <c r="AI34" i="8"/>
  <c r="AI70" i="8"/>
  <c r="AJ29" i="30"/>
  <c r="AK27" i="30"/>
  <c r="AI30" i="30"/>
  <c r="AI66" i="30"/>
  <c r="E27" i="4"/>
  <c r="F25" i="4" s="1"/>
  <c r="F28" i="4" s="1"/>
  <c r="F26" i="4" s="1"/>
  <c r="F29" i="4" s="1"/>
  <c r="F32" i="4" s="1"/>
  <c r="W14" i="15"/>
  <c r="W12" i="15"/>
  <c r="W13" i="15" s="1"/>
  <c r="X11" i="15" s="1"/>
  <c r="AG56" i="1"/>
  <c r="AG54" i="1" s="1"/>
  <c r="AG55" i="1" s="1"/>
  <c r="AH53" i="1" s="1"/>
  <c r="AJ106" i="28"/>
  <c r="AJ104" i="28" s="1"/>
  <c r="AJ105" i="28" s="1"/>
  <c r="AK103" i="28" s="1"/>
  <c r="V95" i="1"/>
  <c r="V93" i="1"/>
  <c r="W90" i="1" s="1"/>
  <c r="AK48" i="36"/>
  <c r="AK182" i="36" s="1"/>
  <c r="AJ127" i="36"/>
  <c r="AJ56" i="28"/>
  <c r="AJ54" i="28" s="1"/>
  <c r="AJ55" i="28" s="1"/>
  <c r="AK53" i="28" s="1"/>
  <c r="F59" i="33"/>
  <c r="F55" i="33" s="1"/>
  <c r="F60" i="33" s="1"/>
  <c r="AI138" i="35"/>
  <c r="AI49" i="35"/>
  <c r="AI61" i="35"/>
  <c r="AI122" i="35"/>
  <c r="AI124" i="35" s="1"/>
  <c r="G56" i="34"/>
  <c r="G52" i="34" s="1"/>
  <c r="G57" i="34" s="1"/>
  <c r="AB19" i="5"/>
  <c r="AC17" i="5" s="1"/>
  <c r="S31" i="24"/>
  <c r="S32" i="24" s="1"/>
  <c r="T30" i="24" s="1"/>
  <c r="AJ89" i="35"/>
  <c r="AK45" i="35"/>
  <c r="AJ48" i="35"/>
  <c r="AA34" i="5"/>
  <c r="AB34" i="5"/>
  <c r="AJ45" i="31"/>
  <c r="AI89" i="31"/>
  <c r="G25" i="3"/>
  <c r="H23" i="3" s="1"/>
  <c r="AK39" i="26" l="1"/>
  <c r="AJ83" i="26"/>
  <c r="E166" i="37"/>
  <c r="G112" i="37"/>
  <c r="G114" i="37" s="1"/>
  <c r="H112" i="37" s="1"/>
  <c r="H114" i="37" s="1"/>
  <c r="AW123" i="37"/>
  <c r="AW48" i="37"/>
  <c r="AX45" i="37"/>
  <c r="AV49" i="37"/>
  <c r="AV170" i="37"/>
  <c r="AV172" i="37" s="1"/>
  <c r="AU180" i="37"/>
  <c r="AK89" i="18"/>
  <c r="AL37" i="18"/>
  <c r="G54" i="34"/>
  <c r="H51" i="34" s="1"/>
  <c r="AJ34" i="8"/>
  <c r="AJ70" i="8"/>
  <c r="W28" i="15"/>
  <c r="AL31" i="8"/>
  <c r="AK33" i="8"/>
  <c r="X12" i="15"/>
  <c r="X14" i="15"/>
  <c r="AL27" i="30"/>
  <c r="AK29" i="30"/>
  <c r="AJ30" i="30"/>
  <c r="AJ66" i="30"/>
  <c r="AK106" i="28"/>
  <c r="AK104" i="28" s="1"/>
  <c r="AK105" i="28" s="1"/>
  <c r="AL103" i="28" s="1"/>
  <c r="AK89" i="35"/>
  <c r="AL45" i="35"/>
  <c r="AK48" i="35"/>
  <c r="T33" i="24"/>
  <c r="G60" i="34"/>
  <c r="G63" i="34"/>
  <c r="AL48" i="36"/>
  <c r="AL182" i="36" s="1"/>
  <c r="AK127" i="36"/>
  <c r="W88" i="1"/>
  <c r="W91" i="1" s="1"/>
  <c r="W92" i="1" s="1"/>
  <c r="AJ61" i="35"/>
  <c r="AJ122" i="35"/>
  <c r="AJ124" i="35" s="1"/>
  <c r="AJ138" i="35"/>
  <c r="AJ49" i="35"/>
  <c r="H56" i="34"/>
  <c r="H52" i="34" s="1"/>
  <c r="H57" i="34" s="1"/>
  <c r="H26" i="3"/>
  <c r="H24" i="3" s="1"/>
  <c r="H27" i="3" s="1"/>
  <c r="H31" i="3" s="1"/>
  <c r="S36" i="24"/>
  <c r="S38" i="24" s="1"/>
  <c r="S39" i="24" s="1"/>
  <c r="F57" i="33"/>
  <c r="G54" i="33" s="1"/>
  <c r="AH56" i="1"/>
  <c r="AH54" i="1" s="1"/>
  <c r="AH55" i="1" s="1"/>
  <c r="AI53" i="1" s="1"/>
  <c r="AK56" i="28"/>
  <c r="AK54" i="28" s="1"/>
  <c r="AK55" i="28" s="1"/>
  <c r="AL53" i="28" s="1"/>
  <c r="AJ89" i="31"/>
  <c r="AK45" i="31"/>
  <c r="AC18" i="5"/>
  <c r="AC20" i="5"/>
  <c r="F64" i="33"/>
  <c r="F67" i="33"/>
  <c r="F27" i="4"/>
  <c r="G25" i="4" s="1"/>
  <c r="AK83" i="26" l="1"/>
  <c r="AL39" i="26"/>
  <c r="G166" i="37"/>
  <c r="AV180" i="37"/>
  <c r="AX123" i="37"/>
  <c r="AX48" i="37"/>
  <c r="AY45" i="37"/>
  <c r="I112" i="37"/>
  <c r="I114" i="37" s="1"/>
  <c r="H166" i="37"/>
  <c r="AW49" i="37"/>
  <c r="AW170" i="37"/>
  <c r="AW172" i="37" s="1"/>
  <c r="AL89" i="18"/>
  <c r="AM37" i="18"/>
  <c r="X28" i="15"/>
  <c r="AK34" i="8"/>
  <c r="AK70" i="8"/>
  <c r="AL33" i="8"/>
  <c r="AM31" i="8"/>
  <c r="W95" i="1"/>
  <c r="W93" i="1"/>
  <c r="X90" i="1" s="1"/>
  <c r="X88" i="1" s="1"/>
  <c r="X91" i="1" s="1"/>
  <c r="X92" i="1" s="1"/>
  <c r="X95" i="1" s="1"/>
  <c r="AC28" i="5"/>
  <c r="AC34" i="5" s="1"/>
  <c r="H25" i="3"/>
  <c r="I23" i="3" s="1"/>
  <c r="AK30" i="30"/>
  <c r="AK66" i="30"/>
  <c r="AM27" i="30"/>
  <c r="AL29" i="30"/>
  <c r="X13" i="15"/>
  <c r="Y11" i="15" s="1"/>
  <c r="AC19" i="5"/>
  <c r="AL106" i="28"/>
  <c r="AL104" i="28" s="1"/>
  <c r="AL105" i="28" s="1"/>
  <c r="AM103" i="28" s="1"/>
  <c r="AL56" i="28"/>
  <c r="AL54" i="28" s="1"/>
  <c r="AL55" i="28" s="1"/>
  <c r="AM53" i="28" s="1"/>
  <c r="G59" i="33"/>
  <c r="G55" i="33" s="1"/>
  <c r="G60" i="33" s="1"/>
  <c r="AK89" i="31"/>
  <c r="AL45" i="31"/>
  <c r="H54" i="34"/>
  <c r="I51" i="34" s="1"/>
  <c r="I26" i="3"/>
  <c r="I24" i="3" s="1"/>
  <c r="I27" i="3" s="1"/>
  <c r="I31" i="3" s="1"/>
  <c r="G28" i="4"/>
  <c r="G26" i="4" s="1"/>
  <c r="G29" i="4" s="1"/>
  <c r="G32" i="4" s="1"/>
  <c r="H63" i="34"/>
  <c r="H60" i="34"/>
  <c r="T31" i="24"/>
  <c r="T32" i="24" s="1"/>
  <c r="AM48" i="36"/>
  <c r="AM182" i="36" s="1"/>
  <c r="AL127" i="36"/>
  <c r="AK49" i="35"/>
  <c r="AK61" i="35"/>
  <c r="AK122" i="35"/>
  <c r="AK124" i="35" s="1"/>
  <c r="AK138" i="35"/>
  <c r="AI56" i="1"/>
  <c r="AI54" i="1" s="1"/>
  <c r="AI55" i="1" s="1"/>
  <c r="AJ53" i="1" s="1"/>
  <c r="AL89" i="35"/>
  <c r="AM45" i="35"/>
  <c r="AL48" i="35"/>
  <c r="AM39" i="26" l="1"/>
  <c r="AL83" i="26"/>
  <c r="AW180" i="37"/>
  <c r="AX49" i="37"/>
  <c r="AX170" i="37"/>
  <c r="AX172" i="37" s="1"/>
  <c r="AY123" i="37"/>
  <c r="AZ45" i="37"/>
  <c r="AY48" i="37"/>
  <c r="J112" i="37"/>
  <c r="J114" i="37" s="1"/>
  <c r="I166" i="37"/>
  <c r="AM89" i="18"/>
  <c r="AN37" i="18"/>
  <c r="AL34" i="8"/>
  <c r="AL70" i="8"/>
  <c r="AM33" i="8"/>
  <c r="AN31" i="8"/>
  <c r="G27" i="4"/>
  <c r="H25" i="4" s="1"/>
  <c r="AL30" i="30"/>
  <c r="AL66" i="30"/>
  <c r="AN27" i="30"/>
  <c r="AM29" i="30"/>
  <c r="Y14" i="15"/>
  <c r="Y12" i="15"/>
  <c r="AN48" i="36"/>
  <c r="AN182" i="36" s="1"/>
  <c r="AM127" i="36"/>
  <c r="AJ56" i="1"/>
  <c r="AJ54" i="1" s="1"/>
  <c r="AJ55" i="1" s="1"/>
  <c r="AK53" i="1" s="1"/>
  <c r="X93" i="1"/>
  <c r="Y90" i="1" s="1"/>
  <c r="AM56" i="28"/>
  <c r="AM54" i="28" s="1"/>
  <c r="AM55" i="28" s="1"/>
  <c r="AN53" i="28" s="1"/>
  <c r="D35" i="5"/>
  <c r="D39" i="5" s="1"/>
  <c r="AN45" i="35"/>
  <c r="AM89" i="35"/>
  <c r="AM48" i="35"/>
  <c r="T36" i="24"/>
  <c r="I25" i="3"/>
  <c r="J23" i="3" s="1"/>
  <c r="G57" i="33"/>
  <c r="H54" i="33" s="1"/>
  <c r="AL122" i="35"/>
  <c r="AL124" i="35" s="1"/>
  <c r="AL138" i="35"/>
  <c r="AL61" i="35"/>
  <c r="AL49" i="35"/>
  <c r="H28" i="4"/>
  <c r="H26" i="4" s="1"/>
  <c r="H29" i="4" s="1"/>
  <c r="H32" i="4" s="1"/>
  <c r="I56" i="34"/>
  <c r="I52" i="34" s="1"/>
  <c r="I57" i="34" s="1"/>
  <c r="AL89" i="31"/>
  <c r="AM45" i="31"/>
  <c r="G64" i="33"/>
  <c r="G67" i="33"/>
  <c r="AM106" i="28"/>
  <c r="AM104" i="28" s="1"/>
  <c r="AM105" i="28" s="1"/>
  <c r="AN103" i="28" s="1"/>
  <c r="AN39" i="26" l="1"/>
  <c r="AM83" i="26"/>
  <c r="K112" i="37"/>
  <c r="K114" i="37" s="1"/>
  <c r="J166" i="37"/>
  <c r="AX180" i="37"/>
  <c r="AY49" i="37"/>
  <c r="AY170" i="37"/>
  <c r="AY172" i="37" s="1"/>
  <c r="BA45" i="37"/>
  <c r="AZ48" i="37"/>
  <c r="AZ123" i="37"/>
  <c r="AN89" i="18"/>
  <c r="AO37" i="18"/>
  <c r="AO31" i="8"/>
  <c r="AN33" i="8"/>
  <c r="AM70" i="8"/>
  <c r="AM34" i="8"/>
  <c r="Y28" i="15"/>
  <c r="AM30" i="30"/>
  <c r="AM66" i="30"/>
  <c r="Y13" i="15"/>
  <c r="Z11" i="15" s="1"/>
  <c r="AO27" i="30"/>
  <c r="AN29" i="30"/>
  <c r="I54" i="34"/>
  <c r="J51" i="34" s="1"/>
  <c r="AN56" i="28"/>
  <c r="AN54" i="28" s="1"/>
  <c r="AN55" i="28" s="1"/>
  <c r="AO53" i="28" s="1"/>
  <c r="AM122" i="35"/>
  <c r="AM124" i="35" s="1"/>
  <c r="AM138" i="35"/>
  <c r="AM49" i="35"/>
  <c r="AM61" i="35"/>
  <c r="H59" i="33"/>
  <c r="H55" i="33" s="1"/>
  <c r="H60" i="33" s="1"/>
  <c r="J26" i="3"/>
  <c r="J24" i="3" s="1"/>
  <c r="J27" i="3" s="1"/>
  <c r="J31" i="3" s="1"/>
  <c r="J56" i="34"/>
  <c r="J52" i="34" s="1"/>
  <c r="J57" i="34" s="1"/>
  <c r="I60" i="34"/>
  <c r="I63" i="34"/>
  <c r="AO45" i="35"/>
  <c r="AN89" i="35"/>
  <c r="AN48" i="35"/>
  <c r="Y88" i="1"/>
  <c r="Y91" i="1" s="1"/>
  <c r="Y92" i="1" s="1"/>
  <c r="Y95" i="1" s="1"/>
  <c r="AO48" i="36"/>
  <c r="AO182" i="36" s="1"/>
  <c r="AN127" i="36"/>
  <c r="AN106" i="28"/>
  <c r="AN104" i="28" s="1"/>
  <c r="AN105" i="28" s="1"/>
  <c r="AO103" i="28" s="1"/>
  <c r="AN45" i="31"/>
  <c r="AM89" i="31"/>
  <c r="H27" i="4"/>
  <c r="I25" i="4" s="1"/>
  <c r="T38" i="24"/>
  <c r="T39" i="24" s="1"/>
  <c r="E41" i="24"/>
  <c r="E37" i="5"/>
  <c r="D47" i="5"/>
  <c r="AK56" i="1"/>
  <c r="AK54" i="1" s="1"/>
  <c r="AK55" i="1" s="1"/>
  <c r="AL53" i="1" s="1"/>
  <c r="E92" i="26" a="1"/>
  <c r="J54" i="34" l="1"/>
  <c r="K51" i="34" s="1"/>
  <c r="AO39" i="26"/>
  <c r="AN83" i="26"/>
  <c r="AY180" i="37"/>
  <c r="BA123" i="37"/>
  <c r="BA48" i="37"/>
  <c r="BB45" i="37"/>
  <c r="AZ49" i="37"/>
  <c r="AZ170" i="37"/>
  <c r="AZ172" i="37" s="1"/>
  <c r="L112" i="37"/>
  <c r="L114" i="37" s="1"/>
  <c r="K166" i="37"/>
  <c r="AO89" i="18"/>
  <c r="AP37" i="18"/>
  <c r="AN34" i="8"/>
  <c r="AN70" i="8"/>
  <c r="AP31" i="8"/>
  <c r="AO33" i="8"/>
  <c r="AP27" i="30"/>
  <c r="AO29" i="30"/>
  <c r="H57" i="33"/>
  <c r="I54" i="33" s="1"/>
  <c r="I59" i="33" s="1"/>
  <c r="I55" i="33" s="1"/>
  <c r="I60" i="33" s="1"/>
  <c r="Z12" i="15"/>
  <c r="Z28" i="15" s="1"/>
  <c r="Z14" i="15"/>
  <c r="AN30" i="30"/>
  <c r="AN66" i="30"/>
  <c r="H92" i="26"/>
  <c r="M94" i="26"/>
  <c r="U96" i="26"/>
  <c r="S100" i="26"/>
  <c r="BE92" i="26"/>
  <c r="AL92" i="26"/>
  <c r="AX95" i="26"/>
  <c r="S92" i="26"/>
  <c r="AE95" i="26"/>
  <c r="AN94" i="26"/>
  <c r="G100" i="26"/>
  <c r="AS92" i="26"/>
  <c r="BE95" i="26"/>
  <c r="Z92" i="26"/>
  <c r="AG96" i="26"/>
  <c r="AA97" i="26"/>
  <c r="AR94" i="26"/>
  <c r="H100" i="26"/>
  <c r="Y99" i="26"/>
  <c r="L96" i="26"/>
  <c r="BH98" i="26"/>
  <c r="BH41" i="26" s="1"/>
  <c r="N100" i="26"/>
  <c r="U92" i="26"/>
  <c r="AG95" i="26"/>
  <c r="AG45" i="26" s="1"/>
  <c r="AG86" i="26" s="1"/>
  <c r="AO97" i="26"/>
  <c r="N95" i="26"/>
  <c r="V97" i="26"/>
  <c r="BC94" i="26"/>
  <c r="BK96" i="26"/>
  <c r="AE99" i="26"/>
  <c r="I92" i="26"/>
  <c r="U95" i="26"/>
  <c r="AC97" i="26"/>
  <c r="BJ94" i="26"/>
  <c r="AM93" i="26"/>
  <c r="S99" i="26"/>
  <c r="BI92" i="26"/>
  <c r="AT93" i="26"/>
  <c r="AK97" i="26"/>
  <c r="N97" i="26"/>
  <c r="T99" i="26"/>
  <c r="BD95" i="26"/>
  <c r="AT96" i="26"/>
  <c r="AS94" i="26"/>
  <c r="BA96" i="26"/>
  <c r="Z94" i="26"/>
  <c r="AH96" i="26"/>
  <c r="K95" i="26"/>
  <c r="K45" i="26" s="1"/>
  <c r="K86" i="26" s="1"/>
  <c r="S97" i="26"/>
  <c r="AU99" i="26"/>
  <c r="Y92" i="26"/>
  <c r="AK95" i="26"/>
  <c r="F92" i="26"/>
  <c r="R95" i="26"/>
  <c r="Z97" i="26"/>
  <c r="BG94" i="26"/>
  <c r="G97" i="26"/>
  <c r="AI99" i="26"/>
  <c r="M92" i="26"/>
  <c r="Y95" i="26"/>
  <c r="AG97" i="26"/>
  <c r="BJ92" i="26"/>
  <c r="G92" i="26"/>
  <c r="BC99" i="26"/>
  <c r="BB97" i="26"/>
  <c r="Q100" i="26"/>
  <c r="BL99" i="26"/>
  <c r="E99" i="26"/>
  <c r="N92" i="26"/>
  <c r="R97" i="26"/>
  <c r="AL93" i="26"/>
  <c r="BK99" i="26"/>
  <c r="AL96" i="26"/>
  <c r="AU98" i="26"/>
  <c r="AU41" i="26" s="1"/>
  <c r="AC95" i="26"/>
  <c r="AG98" i="26"/>
  <c r="AG41" i="26" s="1"/>
  <c r="K99" i="26"/>
  <c r="F94" i="26"/>
  <c r="AV97" i="26"/>
  <c r="BH100" i="26"/>
  <c r="AJ94" i="26"/>
  <c r="BE100" i="26"/>
  <c r="G95" i="26"/>
  <c r="AM98" i="26"/>
  <c r="AM41" i="26" s="1"/>
  <c r="AV99" i="26"/>
  <c r="AX94" i="26"/>
  <c r="AI95" i="26"/>
  <c r="G99" i="26"/>
  <c r="P100" i="26"/>
  <c r="AO99" i="26"/>
  <c r="AC99" i="26"/>
  <c r="BH93" i="26"/>
  <c r="S93" i="26"/>
  <c r="AW94" i="26"/>
  <c r="S96" i="26"/>
  <c r="J92" i="26"/>
  <c r="AR97" i="26"/>
  <c r="L98" i="26"/>
  <c r="L41" i="26" s="1"/>
  <c r="AP95" i="26"/>
  <c r="AE97" i="26"/>
  <c r="BH94" i="26"/>
  <c r="AV94" i="26"/>
  <c r="BF97" i="26"/>
  <c r="R100" i="26"/>
  <c r="AE93" i="26"/>
  <c r="AQ99" i="26"/>
  <c r="T100" i="26"/>
  <c r="G96" i="26"/>
  <c r="T96" i="26"/>
  <c r="AF100" i="26"/>
  <c r="BJ98" i="26"/>
  <c r="BJ41" i="26" s="1"/>
  <c r="AX98" i="26"/>
  <c r="AX41" i="26" s="1"/>
  <c r="AH92" i="26"/>
  <c r="BG98" i="26"/>
  <c r="BG41" i="26" s="1"/>
  <c r="AJ93" i="26"/>
  <c r="AA100" i="26"/>
  <c r="AN99" i="26"/>
  <c r="H93" i="26"/>
  <c r="H40" i="26" s="1"/>
  <c r="AM100" i="26"/>
  <c r="AI100" i="26"/>
  <c r="I99" i="26"/>
  <c r="BA92" i="26"/>
  <c r="AD94" i="26"/>
  <c r="AF92" i="26"/>
  <c r="J96" i="26"/>
  <c r="AJ100" i="26"/>
  <c r="AS95" i="26"/>
  <c r="AY94" i="26"/>
  <c r="BL95" i="26"/>
  <c r="BJ100" i="26"/>
  <c r="AX100" i="26"/>
  <c r="K96" i="26"/>
  <c r="AR98" i="26"/>
  <c r="AR41" i="26" s="1"/>
  <c r="BE94" i="26"/>
  <c r="AM96" i="26"/>
  <c r="AR99" i="26"/>
  <c r="AG100" i="26"/>
  <c r="AL99" i="26"/>
  <c r="E98" i="26"/>
  <c r="E41" i="26" s="1"/>
  <c r="AR100" i="26"/>
  <c r="Y100" i="26"/>
  <c r="AA92" i="26"/>
  <c r="BC92" i="26"/>
  <c r="AN95" i="26"/>
  <c r="AN45" i="26" s="1"/>
  <c r="AN86" i="26" s="1"/>
  <c r="L93" i="26"/>
  <c r="L40" i="26" s="1"/>
  <c r="Q95" i="26"/>
  <c r="Q45" i="26" s="1"/>
  <c r="Q86" i="26" s="1"/>
  <c r="Y97" i="26"/>
  <c r="BF94" i="26"/>
  <c r="F97" i="26"/>
  <c r="AM94" i="26"/>
  <c r="AU96" i="26"/>
  <c r="K98" i="26"/>
  <c r="K41" i="26" s="1"/>
  <c r="BH92" i="26"/>
  <c r="BI93" i="26"/>
  <c r="AP93" i="26"/>
  <c r="W93" i="26"/>
  <c r="BG97" i="26"/>
  <c r="AV92" i="26"/>
  <c r="AW93" i="26"/>
  <c r="AD93" i="26"/>
  <c r="AD40" i="26" s="1"/>
  <c r="AH94" i="26"/>
  <c r="S95" i="26"/>
  <c r="AY98" i="26"/>
  <c r="AY41" i="26" s="1"/>
  <c r="BH97" i="26"/>
  <c r="AF94" i="26"/>
  <c r="AN97" i="26"/>
  <c r="J100" i="26"/>
  <c r="X92" i="26"/>
  <c r="Y93" i="26"/>
  <c r="F93" i="26"/>
  <c r="F40" i="26" s="1"/>
  <c r="AU92" i="26"/>
  <c r="BG95" i="26"/>
  <c r="AF96" i="26"/>
  <c r="L92" i="26"/>
  <c r="M93" i="26"/>
  <c r="BB92" i="26"/>
  <c r="F96" i="26"/>
  <c r="W100" i="26"/>
  <c r="E94" i="26"/>
  <c r="M96" i="26"/>
  <c r="F95" i="26"/>
  <c r="AQ93" i="26"/>
  <c r="W99" i="26"/>
  <c r="X100" i="26"/>
  <c r="T94" i="26"/>
  <c r="BB100" i="26"/>
  <c r="AP100" i="26"/>
  <c r="AF99" i="26"/>
  <c r="AG92" i="26"/>
  <c r="O93" i="26"/>
  <c r="O40" i="26" s="1"/>
  <c r="AK92" i="26"/>
  <c r="AW95" i="26"/>
  <c r="AW45" i="26" s="1"/>
  <c r="AW86" i="26" s="1"/>
  <c r="R92" i="26"/>
  <c r="AD95" i="26"/>
  <c r="AL97" i="26"/>
  <c r="AI97" i="26"/>
  <c r="AB92" i="26"/>
  <c r="AC93" i="26"/>
  <c r="AC40" i="26" s="1"/>
  <c r="J93" i="26"/>
  <c r="AY92" i="26"/>
  <c r="BK95" i="26"/>
  <c r="AV96" i="26"/>
  <c r="P92" i="26"/>
  <c r="Q93" i="26"/>
  <c r="Q40" i="26" s="1"/>
  <c r="BF92" i="26"/>
  <c r="AL95" i="26"/>
  <c r="O94" i="26"/>
  <c r="BE97" i="26"/>
  <c r="AJ99" i="26"/>
  <c r="AC100" i="26"/>
  <c r="F99" i="26"/>
  <c r="I98" i="26"/>
  <c r="I41" i="26" s="1"/>
  <c r="BJ99" i="26"/>
  <c r="J95" i="26"/>
  <c r="AU93" i="26"/>
  <c r="AS93" i="26"/>
  <c r="AS40" i="26" s="1"/>
  <c r="AS84" i="26" s="1"/>
  <c r="O95" i="26"/>
  <c r="O45" i="26" s="1"/>
  <c r="O86" i="26" s="1"/>
  <c r="J99" i="26"/>
  <c r="AQ92" i="26"/>
  <c r="AE100" i="26"/>
  <c r="AZ98" i="26"/>
  <c r="AZ41" i="26" s="1"/>
  <c r="BA97" i="26"/>
  <c r="BF99" i="26"/>
  <c r="AT99" i="26"/>
  <c r="V94" i="26"/>
  <c r="AM97" i="26"/>
  <c r="AD99" i="26"/>
  <c r="BF96" i="26"/>
  <c r="AY100" i="26"/>
  <c r="H98" i="26"/>
  <c r="H41" i="26" s="1"/>
  <c r="BL94" i="26"/>
  <c r="N98" i="26"/>
  <c r="N41" i="26" s="1"/>
  <c r="AX97" i="26"/>
  <c r="Z93" i="26"/>
  <c r="AY99" i="26"/>
  <c r="BJ93" i="26"/>
  <c r="AW97" i="26"/>
  <c r="BC98" i="26"/>
  <c r="BC41" i="26" s="1"/>
  <c r="BL97" i="26"/>
  <c r="Y98" i="26"/>
  <c r="Y41" i="26" s="1"/>
  <c r="AD100" i="26"/>
  <c r="U97" i="26"/>
  <c r="L95" i="26"/>
  <c r="L45" i="26" s="1"/>
  <c r="L86" i="26" s="1"/>
  <c r="AS97" i="26"/>
  <c r="AK98" i="26"/>
  <c r="AK41" i="26" s="1"/>
  <c r="AK99" i="26"/>
  <c r="AD92" i="26"/>
  <c r="AD97" i="26"/>
  <c r="BL96" i="26"/>
  <c r="X98" i="26"/>
  <c r="X41" i="26" s="1"/>
  <c r="H96" i="26"/>
  <c r="AA95" i="26"/>
  <c r="BI100" i="26"/>
  <c r="AA96" i="26"/>
  <c r="L97" i="26"/>
  <c r="AI94" i="26"/>
  <c r="P99" i="26"/>
  <c r="R94" i="26"/>
  <c r="BD98" i="26"/>
  <c r="BD41" i="26" s="1"/>
  <c r="F100" i="26"/>
  <c r="I97" i="26"/>
  <c r="W94" i="26"/>
  <c r="BA95" i="26"/>
  <c r="BA45" i="26" s="1"/>
  <c r="BA86" i="26" s="1"/>
  <c r="G93" i="26"/>
  <c r="AK94" i="26"/>
  <c r="S98" i="26"/>
  <c r="S41" i="26" s="1"/>
  <c r="BA98" i="26"/>
  <c r="BA41" i="26" s="1"/>
  <c r="H95" i="26"/>
  <c r="H45" i="26" s="1"/>
  <c r="H86" i="26" s="1"/>
  <c r="P96" i="26"/>
  <c r="X99" i="26"/>
  <c r="E100" i="26"/>
  <c r="BA99" i="26"/>
  <c r="AT92" i="26"/>
  <c r="AH97" i="26"/>
  <c r="T97" i="26"/>
  <c r="AP99" i="26"/>
  <c r="AH93" i="26"/>
  <c r="BK97" i="26"/>
  <c r="X97" i="26"/>
  <c r="AV100" i="26"/>
  <c r="AS100" i="26"/>
  <c r="V99" i="26"/>
  <c r="AX96" i="26"/>
  <c r="AJ92" i="26"/>
  <c r="J98" i="26"/>
  <c r="J41" i="26" s="1"/>
  <c r="N99" i="26"/>
  <c r="AQ96" i="26"/>
  <c r="BI95" i="26"/>
  <c r="AI98" i="26"/>
  <c r="AI41" i="26" s="1"/>
  <c r="AZ97" i="26"/>
  <c r="BB99" i="26"/>
  <c r="I93" i="26"/>
  <c r="I40" i="26" s="1"/>
  <c r="AX92" i="26"/>
  <c r="BJ95" i="26"/>
  <c r="BJ45" i="26" s="1"/>
  <c r="BJ86" i="26" s="1"/>
  <c r="AE92" i="26"/>
  <c r="AQ95" i="26"/>
  <c r="AB95" i="26"/>
  <c r="BL93" i="26"/>
  <c r="BL40" i="26" s="1"/>
  <c r="BL84" i="26" s="1"/>
  <c r="I96" i="26"/>
  <c r="BK98" i="26"/>
  <c r="BK41" i="26" s="1"/>
  <c r="AZ93" i="26"/>
  <c r="AZ40" i="26" s="1"/>
  <c r="AZ84" i="26" s="1"/>
  <c r="AP96" i="26"/>
  <c r="BL98" i="26"/>
  <c r="BL41" i="26" s="1"/>
  <c r="Q98" i="26"/>
  <c r="Q41" i="26" s="1"/>
  <c r="V100" i="26"/>
  <c r="U98" i="26"/>
  <c r="U41" i="26" s="1"/>
  <c r="P94" i="26"/>
  <c r="AB93" i="26"/>
  <c r="AY93" i="26"/>
  <c r="AA98" i="26"/>
  <c r="AA41" i="26" s="1"/>
  <c r="P93" i="26"/>
  <c r="BF93" i="26"/>
  <c r="BF40" i="26" s="1"/>
  <c r="BF84" i="26" s="1"/>
  <c r="J97" i="26"/>
  <c r="AQ94" i="26"/>
  <c r="AY96" i="26"/>
  <c r="O98" i="26"/>
  <c r="O41" i="26" s="1"/>
  <c r="BL92" i="26"/>
  <c r="I95" i="26"/>
  <c r="I45" i="26" s="1"/>
  <c r="I86" i="26" s="1"/>
  <c r="Q97" i="26"/>
  <c r="U93" i="26"/>
  <c r="BH95" i="26"/>
  <c r="BG100" i="26"/>
  <c r="P98" i="26"/>
  <c r="P41" i="26" s="1"/>
  <c r="AJ95" i="26"/>
  <c r="AJ45" i="26" s="1"/>
  <c r="AJ86" i="26" s="1"/>
  <c r="BE99" i="26"/>
  <c r="AS99" i="26"/>
  <c r="AF95" i="26"/>
  <c r="AF45" i="26" s="1"/>
  <c r="AF86" i="26" s="1"/>
  <c r="AN96" i="26"/>
  <c r="AW96" i="26"/>
  <c r="AN92" i="26"/>
  <c r="AO93" i="26"/>
  <c r="AO40" i="26" s="1"/>
  <c r="V93" i="26"/>
  <c r="BK92" i="26"/>
  <c r="AQ98" i="26"/>
  <c r="AQ41" i="26" s="1"/>
  <c r="AF93" i="26"/>
  <c r="BC93" i="26"/>
  <c r="AE98" i="26"/>
  <c r="AE41" i="26" s="1"/>
  <c r="T93" i="26"/>
  <c r="T92" i="26"/>
  <c r="W96" i="26"/>
  <c r="AZ96" i="26"/>
  <c r="AN100" i="26"/>
  <c r="R99" i="26"/>
  <c r="L94" i="26"/>
  <c r="AK93" i="26"/>
  <c r="AK40" i="26" s="1"/>
  <c r="BD92" i="26"/>
  <c r="O92" i="26"/>
  <c r="AC92" i="26"/>
  <c r="BD100" i="26"/>
  <c r="AN93" i="26"/>
  <c r="AN40" i="26" s="1"/>
  <c r="BG96" i="26"/>
  <c r="AO98" i="26"/>
  <c r="AO41" i="26" s="1"/>
  <c r="BI98" i="26"/>
  <c r="BI41" i="26" s="1"/>
  <c r="AT98" i="26"/>
  <c r="AT41" i="26" s="1"/>
  <c r="M95" i="26"/>
  <c r="AD96" i="26"/>
  <c r="BC100" i="26"/>
  <c r="BA100" i="26"/>
  <c r="AW92" i="26"/>
  <c r="AA93" i="26"/>
  <c r="P95" i="26"/>
  <c r="AC98" i="26"/>
  <c r="AC41" i="26" s="1"/>
  <c r="Z100" i="26"/>
  <c r="E96" i="26"/>
  <c r="X94" i="26"/>
  <c r="AG93" i="26"/>
  <c r="AH98" i="26"/>
  <c r="AH41" i="26" s="1"/>
  <c r="I100" i="26"/>
  <c r="H99" i="26"/>
  <c r="U99" i="26"/>
  <c r="BB94" i="26"/>
  <c r="AM95" i="26"/>
  <c r="AB98" i="26"/>
  <c r="AB41" i="26" s="1"/>
  <c r="AH100" i="26"/>
  <c r="V95" i="26"/>
  <c r="V45" i="26" s="1"/>
  <c r="V86" i="26" s="1"/>
  <c r="BG93" i="26"/>
  <c r="BG40" i="26" s="1"/>
  <c r="BG84" i="26" s="1"/>
  <c r="AM99" i="26"/>
  <c r="AB96" i="26"/>
  <c r="AZ94" i="26"/>
  <c r="E93" i="26"/>
  <c r="BE96" i="26"/>
  <c r="X93" i="26"/>
  <c r="X40" i="26" s="1"/>
  <c r="AF97" i="26"/>
  <c r="BG99" i="26"/>
  <c r="AK100" i="26"/>
  <c r="BF95" i="26"/>
  <c r="G98" i="26"/>
  <c r="G41" i="26" s="1"/>
  <c r="AW99" i="26"/>
  <c r="Z96" i="26"/>
  <c r="BF100" i="26"/>
  <c r="AT95" i="26"/>
  <c r="BC97" i="26"/>
  <c r="N93" i="26"/>
  <c r="AA99" i="26"/>
  <c r="AB100" i="26"/>
  <c r="X95" i="26"/>
  <c r="BB98" i="26"/>
  <c r="BB41" i="26" s="1"/>
  <c r="AL98" i="26"/>
  <c r="AL41" i="26" s="1"/>
  <c r="Z95" i="26"/>
  <c r="BK93" i="26"/>
  <c r="O100" i="26"/>
  <c r="AZ100" i="26"/>
  <c r="AO100" i="26"/>
  <c r="W92" i="26"/>
  <c r="K100" i="26"/>
  <c r="AN98" i="26"/>
  <c r="AN41" i="26" s="1"/>
  <c r="AB97" i="26"/>
  <c r="AH99" i="26"/>
  <c r="I94" i="26"/>
  <c r="AO92" i="26"/>
  <c r="AQ97" i="26"/>
  <c r="AM92" i="26"/>
  <c r="K92" i="26"/>
  <c r="AJ98" i="26"/>
  <c r="AJ41" i="26" s="1"/>
  <c r="AX93" i="26"/>
  <c r="AJ96" i="26"/>
  <c r="AT100" i="26"/>
  <c r="BH99" i="26"/>
  <c r="E92" i="26"/>
  <c r="G26" i="26" s="1"/>
  <c r="D26" i="26" s="1"/>
  <c r="BB93" i="26"/>
  <c r="AI93" i="26"/>
  <c r="AI40" i="26" s="1"/>
  <c r="O99" i="26"/>
  <c r="E95" i="26"/>
  <c r="M97" i="26"/>
  <c r="AT94" i="26"/>
  <c r="BB96" i="26"/>
  <c r="AA94" i="26"/>
  <c r="AI96" i="26"/>
  <c r="BA94" i="26"/>
  <c r="BI96" i="26"/>
  <c r="Q92" i="26"/>
  <c r="K93" i="26"/>
  <c r="AQ100" i="26"/>
  <c r="M99" i="26"/>
  <c r="Q99" i="26"/>
  <c r="AC94" i="26"/>
  <c r="AK96" i="26"/>
  <c r="J94" i="26"/>
  <c r="R96" i="26"/>
  <c r="Q94" i="26"/>
  <c r="Y96" i="26"/>
  <c r="AI92" i="26"/>
  <c r="AU95" i="26"/>
  <c r="AU45" i="26" s="1"/>
  <c r="AU86" i="26" s="1"/>
  <c r="AR95" i="26"/>
  <c r="AR45" i="26" s="1"/>
  <c r="AR86" i="26" s="1"/>
  <c r="H94" i="26"/>
  <c r="AP92" i="26"/>
  <c r="AY95" i="26"/>
  <c r="AV95" i="26"/>
  <c r="AS98" i="26"/>
  <c r="AS41" i="26" s="1"/>
  <c r="V98" i="26"/>
  <c r="V41" i="26" s="1"/>
  <c r="U100" i="26"/>
  <c r="BF98" i="26"/>
  <c r="BF41" i="26" s="1"/>
  <c r="AL94" i="26"/>
  <c r="W95" i="26"/>
  <c r="AR93" i="26"/>
  <c r="G94" i="26"/>
  <c r="O96" i="26"/>
  <c r="AG94" i="26"/>
  <c r="AO96" i="26"/>
  <c r="N94" i="26"/>
  <c r="V96" i="26"/>
  <c r="U94" i="26"/>
  <c r="AC96" i="26"/>
  <c r="Y94" i="26"/>
  <c r="AU97" i="26"/>
  <c r="AF98" i="26"/>
  <c r="AF41" i="26" s="1"/>
  <c r="BD96" i="26"/>
  <c r="BH96" i="26"/>
  <c r="AJ97" i="26"/>
  <c r="AR96" i="26"/>
  <c r="BC95" i="26"/>
  <c r="BI94" i="26"/>
  <c r="AE96" i="26"/>
  <c r="V92" i="26"/>
  <c r="AS96" i="26"/>
  <c r="AU94" i="26"/>
  <c r="AX99" i="26"/>
  <c r="W98" i="26"/>
  <c r="W41" i="26" s="1"/>
  <c r="BD99" i="26"/>
  <c r="BG92" i="26"/>
  <c r="O97" i="26"/>
  <c r="BD97" i="26"/>
  <c r="R98" i="26"/>
  <c r="R41" i="26" s="1"/>
  <c r="E97" i="26"/>
  <c r="BD94" i="26"/>
  <c r="L99" i="26"/>
  <c r="AL100" i="26"/>
  <c r="BK94" i="26"/>
  <c r="AP94" i="26"/>
  <c r="AR92" i="26"/>
  <c r="AP97" i="26"/>
  <c r="BC96" i="26"/>
  <c r="AO94" i="26"/>
  <c r="S94" i="26"/>
  <c r="AU100" i="26"/>
  <c r="L100" i="26"/>
  <c r="AG99" i="26"/>
  <c r="P97" i="26"/>
  <c r="BJ96" i="26"/>
  <c r="AD98" i="26"/>
  <c r="AD41" i="26" s="1"/>
  <c r="BA93" i="26"/>
  <c r="BA40" i="26" s="1"/>
  <c r="BA84" i="26" s="1"/>
  <c r="X96" i="26"/>
  <c r="AB99" i="26"/>
  <c r="M100" i="26"/>
  <c r="BI99" i="26"/>
  <c r="K94" i="26"/>
  <c r="R93" i="26"/>
  <c r="H97" i="26"/>
  <c r="AT97" i="26"/>
  <c r="F98" i="26"/>
  <c r="F41" i="26" s="1"/>
  <c r="K97" i="26"/>
  <c r="BL100" i="26"/>
  <c r="Q96" i="26"/>
  <c r="AV93" i="26"/>
  <c r="AV40" i="26" s="1"/>
  <c r="AV84" i="26" s="1"/>
  <c r="W97" i="26"/>
  <c r="AV98" i="26"/>
  <c r="AV41" i="26" s="1"/>
  <c r="AW100" i="26"/>
  <c r="N96" i="26"/>
  <c r="BK100" i="26"/>
  <c r="T98" i="26"/>
  <c r="T41" i="26" s="1"/>
  <c r="AZ95" i="26"/>
  <c r="AZ45" i="26" s="1"/>
  <c r="AZ86" i="26" s="1"/>
  <c r="AB94" i="26"/>
  <c r="AP98" i="26"/>
  <c r="AP41" i="26" s="1"/>
  <c r="AZ92" i="26"/>
  <c r="BB95" i="26"/>
  <c r="AE94" i="26"/>
  <c r="M98" i="26"/>
  <c r="M41" i="26" s="1"/>
  <c r="Z98" i="26"/>
  <c r="Z41" i="26" s="1"/>
  <c r="BJ97" i="26"/>
  <c r="BE93" i="26"/>
  <c r="AH95" i="26"/>
  <c r="AO95" i="26"/>
  <c r="AZ99" i="26"/>
  <c r="AY97" i="26"/>
  <c r="Z99" i="26"/>
  <c r="T95" i="26"/>
  <c r="T45" i="26" s="1"/>
  <c r="T86" i="26" s="1"/>
  <c r="BD93" i="26"/>
  <c r="BD40" i="26" s="1"/>
  <c r="BD84" i="26" s="1"/>
  <c r="AW98" i="26"/>
  <c r="AW41" i="26" s="1"/>
  <c r="BI97" i="26"/>
  <c r="BE98" i="26"/>
  <c r="BE41" i="26" s="1"/>
  <c r="AL56" i="1"/>
  <c r="AL54" i="1" s="1"/>
  <c r="AL55" i="1" s="1"/>
  <c r="AM53" i="1" s="1"/>
  <c r="AN89" i="31"/>
  <c r="AO45" i="31"/>
  <c r="AN61" i="35"/>
  <c r="AN122" i="35"/>
  <c r="AN124" i="35" s="1"/>
  <c r="AN138" i="35"/>
  <c r="AN49" i="35"/>
  <c r="K56" i="34"/>
  <c r="K52" i="34" s="1"/>
  <c r="K57" i="34" s="1"/>
  <c r="I28" i="4"/>
  <c r="I26" i="4" s="1"/>
  <c r="I29" i="4" s="1"/>
  <c r="I32" i="4" s="1"/>
  <c r="Y93" i="1"/>
  <c r="Z90" i="1" s="1"/>
  <c r="J60" i="34"/>
  <c r="J63" i="34"/>
  <c r="J25" i="3"/>
  <c r="K23" i="3" s="1"/>
  <c r="H64" i="33"/>
  <c r="H67" i="33"/>
  <c r="E40" i="5"/>
  <c r="E38" i="5" s="1"/>
  <c r="E44" i="5" s="1"/>
  <c r="AO106" i="28"/>
  <c r="AO104" i="28" s="1"/>
  <c r="AO105" i="28" s="1"/>
  <c r="AP103" i="28" s="1"/>
  <c r="AO89" i="35"/>
  <c r="AP45" i="35"/>
  <c r="AO48" i="35"/>
  <c r="AO56" i="28"/>
  <c r="AO54" i="28" s="1"/>
  <c r="AO55" i="28" s="1"/>
  <c r="AP53" i="28" s="1"/>
  <c r="AP48" i="36"/>
  <c r="AP182" i="36" s="1"/>
  <c r="AO127" i="36"/>
  <c r="AP39" i="26" l="1"/>
  <c r="AO83" i="26"/>
  <c r="AZ180" i="37"/>
  <c r="BA49" i="37"/>
  <c r="BA170" i="37"/>
  <c r="BA172" i="37" s="1"/>
  <c r="M112" i="37"/>
  <c r="M114" i="37" s="1"/>
  <c r="L166" i="37"/>
  <c r="BB123" i="37"/>
  <c r="BC45" i="37"/>
  <c r="BB48" i="37"/>
  <c r="AP89" i="18"/>
  <c r="AQ37" i="18"/>
  <c r="AO70" i="8"/>
  <c r="AO34" i="8"/>
  <c r="AQ31" i="8"/>
  <c r="AP33" i="8"/>
  <c r="Z13" i="15"/>
  <c r="AA11" i="15" s="1"/>
  <c r="E39" i="5"/>
  <c r="F37" i="5" s="1"/>
  <c r="F40" i="5" s="1"/>
  <c r="F38" i="5" s="1"/>
  <c r="F44" i="5" s="1"/>
  <c r="AO66" i="30"/>
  <c r="AO30" i="30"/>
  <c r="AQ27" i="30"/>
  <c r="AP29" i="30"/>
  <c r="AP106" i="28"/>
  <c r="AP104" i="28" s="1"/>
  <c r="AP105" i="28" s="1"/>
  <c r="AQ103" i="28" s="1"/>
  <c r="K60" i="34"/>
  <c r="K63" i="34"/>
  <c r="AO45" i="26"/>
  <c r="AO86" i="26" s="1"/>
  <c r="AV45" i="26"/>
  <c r="AV86" i="26" s="1"/>
  <c r="K40" i="26"/>
  <c r="BB40" i="26"/>
  <c r="BB84" i="26" s="1"/>
  <c r="BK40" i="26"/>
  <c r="BK84" i="26" s="1"/>
  <c r="X45" i="26"/>
  <c r="X86" i="26" s="1"/>
  <c r="E40" i="26"/>
  <c r="AM45" i="26"/>
  <c r="AM86" i="26" s="1"/>
  <c r="AA40" i="26"/>
  <c r="BC40" i="26"/>
  <c r="BC84" i="26" s="1"/>
  <c r="V40" i="26"/>
  <c r="U40" i="26"/>
  <c r="AB40" i="26"/>
  <c r="AQ45" i="26"/>
  <c r="AQ86" i="26" s="1"/>
  <c r="I84" i="26"/>
  <c r="I42" i="26"/>
  <c r="BI45" i="26"/>
  <c r="BI86" i="26" s="1"/>
  <c r="G40" i="26"/>
  <c r="AA45" i="26"/>
  <c r="AA86" i="26" s="1"/>
  <c r="BJ40" i="26"/>
  <c r="BJ84" i="26" s="1"/>
  <c r="Q84" i="26"/>
  <c r="Q42" i="26"/>
  <c r="BG45" i="26"/>
  <c r="BG86" i="26" s="1"/>
  <c r="AD84" i="26"/>
  <c r="AD42" i="26"/>
  <c r="W40" i="26"/>
  <c r="BH40" i="26"/>
  <c r="BH84" i="26" s="1"/>
  <c r="Y45" i="26"/>
  <c r="Y86" i="26" s="1"/>
  <c r="AK45" i="26"/>
  <c r="AK86" i="26" s="1"/>
  <c r="U45" i="26"/>
  <c r="U86" i="26" s="1"/>
  <c r="I57" i="33"/>
  <c r="J54" i="33" s="1"/>
  <c r="K26" i="3"/>
  <c r="K24" i="3" s="1"/>
  <c r="K27" i="3" s="1"/>
  <c r="K31" i="3" s="1"/>
  <c r="I27" i="4"/>
  <c r="J25" i="4" s="1"/>
  <c r="AH45" i="26"/>
  <c r="AH86" i="26" s="1"/>
  <c r="R40" i="26"/>
  <c r="BC45" i="26"/>
  <c r="BC86" i="26" s="1"/>
  <c r="AR40" i="26"/>
  <c r="AY45" i="26"/>
  <c r="AY86" i="26" s="1"/>
  <c r="E45" i="26"/>
  <c r="E86" i="26" s="1"/>
  <c r="D62" i="26"/>
  <c r="D52" i="26" s="1"/>
  <c r="D122" i="26"/>
  <c r="D28" i="26"/>
  <c r="D51" i="26" s="1"/>
  <c r="AX40" i="26"/>
  <c r="AX84" i="26" s="1"/>
  <c r="Z45" i="26"/>
  <c r="Z86" i="26" s="1"/>
  <c r="AT45" i="26"/>
  <c r="AT86" i="26" s="1"/>
  <c r="M45" i="26"/>
  <c r="M86" i="26" s="1"/>
  <c r="AF40" i="26"/>
  <c r="AO84" i="26"/>
  <c r="AO42" i="26"/>
  <c r="P40" i="26"/>
  <c r="AU40" i="26"/>
  <c r="AU84" i="26" s="1"/>
  <c r="J40" i="26"/>
  <c r="M40" i="26"/>
  <c r="AW40" i="26"/>
  <c r="AW84" i="26" s="1"/>
  <c r="AP40" i="26"/>
  <c r="AS45" i="26"/>
  <c r="AS86" i="26" s="1"/>
  <c r="AJ40" i="26"/>
  <c r="AP45" i="26"/>
  <c r="AP86" i="26" s="1"/>
  <c r="AI45" i="26"/>
  <c r="AI86" i="26" s="1"/>
  <c r="G45" i="26"/>
  <c r="G86" i="26" s="1"/>
  <c r="AC45" i="26"/>
  <c r="AC86" i="26" s="1"/>
  <c r="AL40" i="26"/>
  <c r="AM40" i="26"/>
  <c r="AX45" i="26"/>
  <c r="AX86" i="26" s="1"/>
  <c r="AP56" i="28"/>
  <c r="AP54" i="28" s="1"/>
  <c r="AP55" i="28" s="1"/>
  <c r="AQ53" i="28" s="1"/>
  <c r="AO49" i="35"/>
  <c r="AO61" i="35"/>
  <c r="AO122" i="35"/>
  <c r="AO124" i="35" s="1"/>
  <c r="AO138" i="35"/>
  <c r="I64" i="33"/>
  <c r="I67" i="33"/>
  <c r="AP45" i="31"/>
  <c r="AO89" i="31"/>
  <c r="BE40" i="26"/>
  <c r="BE84" i="26" s="1"/>
  <c r="W45" i="26"/>
  <c r="W86" i="26" s="1"/>
  <c r="BF45" i="26"/>
  <c r="BF86" i="26" s="1"/>
  <c r="X84" i="26"/>
  <c r="X42" i="26"/>
  <c r="AG40" i="26"/>
  <c r="AN84" i="26"/>
  <c r="AN42" i="26"/>
  <c r="T40" i="26"/>
  <c r="Z40" i="26"/>
  <c r="J45" i="26"/>
  <c r="J86" i="26" s="1"/>
  <c r="AL45" i="26"/>
  <c r="AL86" i="26" s="1"/>
  <c r="AC84" i="26"/>
  <c r="AC42" i="26"/>
  <c r="AD45" i="26"/>
  <c r="AD86" i="26" s="1"/>
  <c r="O84" i="26"/>
  <c r="O42" i="26"/>
  <c r="AQ40" i="26"/>
  <c r="F42" i="26"/>
  <c r="F84" i="26"/>
  <c r="S45" i="26"/>
  <c r="S86" i="26" s="1"/>
  <c r="BI40" i="26"/>
  <c r="BI84" i="26" s="1"/>
  <c r="H84" i="26"/>
  <c r="H42" i="26"/>
  <c r="R45" i="26"/>
  <c r="R86" i="26" s="1"/>
  <c r="BD45" i="26"/>
  <c r="BD86" i="26" s="1"/>
  <c r="AT40" i="26"/>
  <c r="AT84" i="26" s="1"/>
  <c r="N45" i="26"/>
  <c r="N86" i="26" s="1"/>
  <c r="AQ48" i="36"/>
  <c r="AQ182" i="36" s="1"/>
  <c r="AP127" i="36"/>
  <c r="AQ45" i="35"/>
  <c r="AP89" i="35"/>
  <c r="AP48" i="35"/>
  <c r="E45" i="5"/>
  <c r="E47" i="5"/>
  <c r="Z88" i="1"/>
  <c r="Z91" i="1" s="1"/>
  <c r="Z92" i="1" s="1"/>
  <c r="Z95" i="1" s="1"/>
  <c r="K54" i="34"/>
  <c r="L51" i="34" s="1"/>
  <c r="AM56" i="1"/>
  <c r="AM54" i="1" s="1"/>
  <c r="AM55" i="1" s="1"/>
  <c r="AN53" i="1" s="1"/>
  <c r="BB45" i="26"/>
  <c r="BB86" i="26" s="1"/>
  <c r="AI84" i="26"/>
  <c r="AI42" i="26"/>
  <c r="N40" i="26"/>
  <c r="P45" i="26"/>
  <c r="P86" i="26" s="1"/>
  <c r="AK84" i="26"/>
  <c r="AK42" i="26"/>
  <c r="BH45" i="26"/>
  <c r="BH86" i="26" s="1"/>
  <c r="AY40" i="26"/>
  <c r="AY84" i="26" s="1"/>
  <c r="AB45" i="26"/>
  <c r="AB86" i="26" s="1"/>
  <c r="AH40" i="26"/>
  <c r="BK45" i="26"/>
  <c r="BK86" i="26" s="1"/>
  <c r="F45" i="26"/>
  <c r="F86" i="26" s="1"/>
  <c r="Y40" i="26"/>
  <c r="L84" i="26"/>
  <c r="L42" i="26"/>
  <c r="BL45" i="26"/>
  <c r="BL86" i="26" s="1"/>
  <c r="AE40" i="26"/>
  <c r="S40" i="26"/>
  <c r="BE45" i="26"/>
  <c r="BE86" i="26" s="1"/>
  <c r="AE45" i="26"/>
  <c r="AE86" i="26" s="1"/>
  <c r="AQ39" i="26" l="1"/>
  <c r="AP83" i="26"/>
  <c r="BC123" i="37"/>
  <c r="BD45" i="37"/>
  <c r="BC48" i="37"/>
  <c r="N112" i="37"/>
  <c r="N114" i="37" s="1"/>
  <c r="M166" i="37"/>
  <c r="BA180" i="37"/>
  <c r="BB49" i="37"/>
  <c r="BB170" i="37"/>
  <c r="BB172" i="37" s="1"/>
  <c r="AR37" i="18"/>
  <c r="AQ89" i="18"/>
  <c r="F39" i="5"/>
  <c r="G37" i="5" s="1"/>
  <c r="AP70" i="8"/>
  <c r="AP34" i="8"/>
  <c r="AQ33" i="8"/>
  <c r="AR31" i="8"/>
  <c r="AP30" i="30"/>
  <c r="AP66" i="30"/>
  <c r="AQ29" i="30"/>
  <c r="AR27" i="30"/>
  <c r="AA14" i="15"/>
  <c r="AA12" i="15"/>
  <c r="AA13" i="15" s="1"/>
  <c r="AB11" i="15" s="1"/>
  <c r="AQ106" i="28"/>
  <c r="AQ104" i="28" s="1"/>
  <c r="AQ105" i="28" s="1"/>
  <c r="AR103" i="28" s="1"/>
  <c r="AE84" i="26"/>
  <c r="AE42" i="26"/>
  <c r="AK109" i="26"/>
  <c r="AK111" i="26" s="1"/>
  <c r="AK55" i="26"/>
  <c r="AK126" i="26"/>
  <c r="AK43" i="26"/>
  <c r="AN56" i="1"/>
  <c r="AN54" i="1" s="1"/>
  <c r="AN55" i="1" s="1"/>
  <c r="AO53" i="1" s="1"/>
  <c r="Z84" i="26"/>
  <c r="Z42" i="26"/>
  <c r="AQ56" i="28"/>
  <c r="AQ54" i="28" s="1"/>
  <c r="AQ55" i="28" s="1"/>
  <c r="AR53" i="28" s="1"/>
  <c r="AM84" i="26"/>
  <c r="AM42" i="26"/>
  <c r="AJ84" i="26"/>
  <c r="AJ42" i="26"/>
  <c r="J84" i="26"/>
  <c r="J42" i="26"/>
  <c r="AO109" i="26"/>
  <c r="AO111" i="26" s="1"/>
  <c r="AO43" i="26"/>
  <c r="AO126" i="26"/>
  <c r="AO55" i="26"/>
  <c r="AR84" i="26"/>
  <c r="R84" i="26"/>
  <c r="R42" i="26"/>
  <c r="J28" i="4"/>
  <c r="J26" i="4" s="1"/>
  <c r="J29" i="4" s="1"/>
  <c r="J32" i="4" s="1"/>
  <c r="S84" i="26"/>
  <c r="S42" i="26"/>
  <c r="AH84" i="26"/>
  <c r="AH42" i="26"/>
  <c r="L56" i="34"/>
  <c r="L52" i="34" s="1"/>
  <c r="L57" i="34" s="1"/>
  <c r="AP122" i="35"/>
  <c r="AP124" i="35" s="1"/>
  <c r="AP138" i="35"/>
  <c r="AP61" i="35"/>
  <c r="AP49" i="35"/>
  <c r="H55" i="26"/>
  <c r="H109" i="26"/>
  <c r="H111" i="26" s="1"/>
  <c r="H126" i="26"/>
  <c r="H43" i="26"/>
  <c r="O55" i="26"/>
  <c r="O43" i="26"/>
  <c r="O126" i="26"/>
  <c r="O109" i="26"/>
  <c r="O111" i="26" s="1"/>
  <c r="AC43" i="26"/>
  <c r="AC126" i="26"/>
  <c r="AC109" i="26"/>
  <c r="AC111" i="26" s="1"/>
  <c r="AC55" i="26"/>
  <c r="T84" i="26"/>
  <c r="T42" i="26"/>
  <c r="AG84" i="26"/>
  <c r="AG42" i="26"/>
  <c r="AP84" i="26"/>
  <c r="AP42" i="26"/>
  <c r="M84" i="26"/>
  <c r="M42" i="26"/>
  <c r="K25" i="3"/>
  <c r="L23" i="3" s="1"/>
  <c r="U84" i="26"/>
  <c r="U42" i="26"/>
  <c r="F43" i="26"/>
  <c r="F126" i="26"/>
  <c r="F55" i="26"/>
  <c r="F109" i="26"/>
  <c r="F111" i="26" s="1"/>
  <c r="J59" i="33"/>
  <c r="J55" i="33" s="1"/>
  <c r="J60" i="33" s="1"/>
  <c r="W84" i="26"/>
  <c r="W42" i="26"/>
  <c r="I55" i="26"/>
  <c r="I43" i="26"/>
  <c r="I126" i="26"/>
  <c r="I109" i="26"/>
  <c r="I111" i="26" s="1"/>
  <c r="G40" i="5"/>
  <c r="G38" i="5" s="1"/>
  <c r="G44" i="5" s="1"/>
  <c r="N84" i="26"/>
  <c r="N42" i="26"/>
  <c r="AR48" i="36"/>
  <c r="AQ127" i="36"/>
  <c r="AN109" i="26"/>
  <c r="AN111" i="26" s="1"/>
  <c r="AN55" i="26"/>
  <c r="AN126" i="26"/>
  <c r="AN43" i="26"/>
  <c r="X126" i="26"/>
  <c r="X109" i="26"/>
  <c r="X111" i="26" s="1"/>
  <c r="X43" i="26"/>
  <c r="X55" i="26"/>
  <c r="AL84" i="26"/>
  <c r="AL42" i="26"/>
  <c r="L126" i="26"/>
  <c r="L109" i="26"/>
  <c r="L111" i="26" s="1"/>
  <c r="L43" i="26"/>
  <c r="L55" i="26"/>
  <c r="Z93" i="1"/>
  <c r="AA90" i="1" s="1"/>
  <c r="AQ89" i="35"/>
  <c r="AR45" i="35"/>
  <c r="AQ48" i="35"/>
  <c r="AP89" i="31"/>
  <c r="AQ45" i="31"/>
  <c r="P84" i="26"/>
  <c r="P42" i="26"/>
  <c r="AF84" i="26"/>
  <c r="AF42" i="26"/>
  <c r="AD55" i="26"/>
  <c r="AD126" i="26"/>
  <c r="AD43" i="26"/>
  <c r="AD109" i="26"/>
  <c r="AD111" i="26" s="1"/>
  <c r="Q109" i="26"/>
  <c r="Q111" i="26" s="1"/>
  <c r="Q43" i="26"/>
  <c r="Q55" i="26"/>
  <c r="Q126" i="26"/>
  <c r="G42" i="26"/>
  <c r="G84" i="26"/>
  <c r="AB84" i="26"/>
  <c r="AB42" i="26"/>
  <c r="V84" i="26"/>
  <c r="V42" i="26"/>
  <c r="F47" i="5"/>
  <c r="F45" i="5"/>
  <c r="Y84" i="26"/>
  <c r="Y42" i="26"/>
  <c r="AI109" i="26"/>
  <c r="AI111" i="26" s="1"/>
  <c r="AI55" i="26"/>
  <c r="AI126" i="26"/>
  <c r="AI43" i="26"/>
  <c r="AQ84" i="26"/>
  <c r="AQ42" i="26"/>
  <c r="AA84" i="26"/>
  <c r="AA42" i="26"/>
  <c r="E42" i="26"/>
  <c r="E84" i="26"/>
  <c r="K84" i="26"/>
  <c r="K42" i="26"/>
  <c r="E65" i="8" a="1"/>
  <c r="E61" i="30" a="1"/>
  <c r="E80" i="18" a="1"/>
  <c r="AR39" i="26" l="1"/>
  <c r="AQ83" i="26"/>
  <c r="AR182" i="36"/>
  <c r="O112" i="37"/>
  <c r="O114" i="37" s="1"/>
  <c r="N166" i="37"/>
  <c r="BC49" i="37"/>
  <c r="BC170" i="37"/>
  <c r="BC172" i="37" s="1"/>
  <c r="BB180" i="37"/>
  <c r="BD123" i="37"/>
  <c r="BE45" i="37"/>
  <c r="BD48" i="37"/>
  <c r="AC81" i="18"/>
  <c r="AC38" i="18" s="1"/>
  <c r="AC39" i="18" s="1"/>
  <c r="AV81" i="18"/>
  <c r="AV38" i="18" s="1"/>
  <c r="AQ82" i="18"/>
  <c r="BC83" i="18"/>
  <c r="AC82" i="18"/>
  <c r="AJ85" i="18"/>
  <c r="AF83" i="18"/>
  <c r="E80" i="18"/>
  <c r="G26" i="18" s="1"/>
  <c r="D26" i="18" s="1"/>
  <c r="Z83" i="18"/>
  <c r="J84" i="18"/>
  <c r="W81" i="18"/>
  <c r="W38" i="18" s="1"/>
  <c r="W39" i="18" s="1"/>
  <c r="U80" i="18"/>
  <c r="BB81" i="18"/>
  <c r="BB38" i="18" s="1"/>
  <c r="AE81" i="18"/>
  <c r="AE38" i="18" s="1"/>
  <c r="AE39" i="18" s="1"/>
  <c r="BK84" i="18"/>
  <c r="BA85" i="18"/>
  <c r="AJ82" i="18"/>
  <c r="AH83" i="18"/>
  <c r="AT82" i="18"/>
  <c r="V85" i="18"/>
  <c r="AS82" i="18"/>
  <c r="P81" i="18"/>
  <c r="P38" i="18" s="1"/>
  <c r="P39" i="18" s="1"/>
  <c r="J81" i="18"/>
  <c r="J38" i="18" s="1"/>
  <c r="J39" i="18" s="1"/>
  <c r="U83" i="18"/>
  <c r="BJ85" i="18"/>
  <c r="H80" i="18"/>
  <c r="AA82" i="18"/>
  <c r="M82" i="18"/>
  <c r="P82" i="18"/>
  <c r="J85" i="18"/>
  <c r="AF80" i="18"/>
  <c r="AJ84" i="18"/>
  <c r="BA83" i="18"/>
  <c r="AL81" i="18"/>
  <c r="AL38" i="18" s="1"/>
  <c r="AL39" i="18" s="1"/>
  <c r="O82" i="18"/>
  <c r="G83" i="18"/>
  <c r="R84" i="18"/>
  <c r="AT81" i="18"/>
  <c r="AT38" i="18" s="1"/>
  <c r="AI83" i="18"/>
  <c r="AD83" i="18"/>
  <c r="AG81" i="18"/>
  <c r="AG38" i="18" s="1"/>
  <c r="AG39" i="18" s="1"/>
  <c r="R81" i="18"/>
  <c r="R38" i="18" s="1"/>
  <c r="R39" i="18" s="1"/>
  <c r="G80" i="18"/>
  <c r="AA84" i="18"/>
  <c r="Q81" i="18"/>
  <c r="Q38" i="18" s="1"/>
  <c r="Q39" i="18" s="1"/>
  <c r="BH83" i="18"/>
  <c r="K84" i="18"/>
  <c r="AS84" i="18"/>
  <c r="M81" i="18"/>
  <c r="M38" i="18" s="1"/>
  <c r="M39" i="18" s="1"/>
  <c r="BF81" i="18"/>
  <c r="BF38" i="18" s="1"/>
  <c r="AI81" i="18"/>
  <c r="AI38" i="18" s="1"/>
  <c r="AI39" i="18" s="1"/>
  <c r="AG85" i="18"/>
  <c r="AG83" i="18"/>
  <c r="AV85" i="18"/>
  <c r="AG82" i="18"/>
  <c r="X83" i="18"/>
  <c r="BE83" i="18"/>
  <c r="V84" i="18"/>
  <c r="AH85" i="18"/>
  <c r="AO81" i="18"/>
  <c r="AO38" i="18" s="1"/>
  <c r="AO39" i="18" s="1"/>
  <c r="W83" i="18"/>
  <c r="AK83" i="18"/>
  <c r="G81" i="18"/>
  <c r="G38" i="18" s="1"/>
  <c r="G39" i="18" s="1"/>
  <c r="AX83" i="18"/>
  <c r="AY83" i="18"/>
  <c r="BD85" i="18"/>
  <c r="BC80" i="18"/>
  <c r="AQ83" i="18"/>
  <c r="BF80" i="18"/>
  <c r="N84" i="18"/>
  <c r="V82" i="18"/>
  <c r="AR85" i="18"/>
  <c r="AQ80" i="18"/>
  <c r="F84" i="18"/>
  <c r="AK84" i="18"/>
  <c r="AE82" i="18"/>
  <c r="BA84" i="18"/>
  <c r="BI83" i="18"/>
  <c r="BL85" i="18"/>
  <c r="AF84" i="18"/>
  <c r="BK82" i="18"/>
  <c r="F82" i="18"/>
  <c r="AW84" i="18"/>
  <c r="O85" i="18"/>
  <c r="AT84" i="18"/>
  <c r="AD85" i="18"/>
  <c r="N80" i="18"/>
  <c r="H84" i="18"/>
  <c r="BF85" i="18"/>
  <c r="AE83" i="18"/>
  <c r="BA82" i="18"/>
  <c r="AX85" i="18"/>
  <c r="AU81" i="18"/>
  <c r="AU38" i="18" s="1"/>
  <c r="F83" i="18"/>
  <c r="AK85" i="18"/>
  <c r="F85" i="18"/>
  <c r="J83" i="18"/>
  <c r="BL80" i="18"/>
  <c r="L85" i="18"/>
  <c r="AP80" i="18"/>
  <c r="E82" i="18"/>
  <c r="N82" i="18"/>
  <c r="AU82" i="18"/>
  <c r="I84" i="18"/>
  <c r="R83" i="18"/>
  <c r="H85" i="18"/>
  <c r="BA80" i="18"/>
  <c r="P80" i="18"/>
  <c r="AJ81" i="18"/>
  <c r="AJ38" i="18" s="1"/>
  <c r="AJ39" i="18" s="1"/>
  <c r="BF83" i="18"/>
  <c r="AO84" i="18"/>
  <c r="AD81" i="18"/>
  <c r="AD38" i="18" s="1"/>
  <c r="AD39" i="18" s="1"/>
  <c r="T82" i="18"/>
  <c r="AL82" i="18"/>
  <c r="Y81" i="18"/>
  <c r="Y38" i="18" s="1"/>
  <c r="Y39" i="18" s="1"/>
  <c r="AE80" i="18"/>
  <c r="BH80" i="18"/>
  <c r="BE81" i="18"/>
  <c r="BE38" i="18" s="1"/>
  <c r="S82" i="18"/>
  <c r="T80" i="18"/>
  <c r="AY85" i="18"/>
  <c r="BG85" i="18"/>
  <c r="AX82" i="18"/>
  <c r="AC84" i="18"/>
  <c r="O84" i="18"/>
  <c r="AO83" i="18"/>
  <c r="L83" i="18"/>
  <c r="BH84" i="18"/>
  <c r="BK80" i="18"/>
  <c r="AS83" i="18"/>
  <c r="E83" i="18"/>
  <c r="AN84" i="18"/>
  <c r="BC85" i="18"/>
  <c r="BG81" i="18"/>
  <c r="BG38" i="18" s="1"/>
  <c r="AJ83" i="18"/>
  <c r="U82" i="18"/>
  <c r="AO80" i="18"/>
  <c r="BA81" i="18"/>
  <c r="BA38" i="18" s="1"/>
  <c r="Y82" i="18"/>
  <c r="G84" i="18"/>
  <c r="L80" i="18"/>
  <c r="BB85" i="18"/>
  <c r="AU83" i="18"/>
  <c r="AL85" i="18"/>
  <c r="AR81" i="18"/>
  <c r="AR38" i="18" s="1"/>
  <c r="AR39" i="18" s="1"/>
  <c r="F80" i="18"/>
  <c r="AI85" i="18"/>
  <c r="Z84" i="18"/>
  <c r="T84" i="18"/>
  <c r="BI82" i="18"/>
  <c r="AM83" i="18"/>
  <c r="AD82" i="18"/>
  <c r="AB81" i="18"/>
  <c r="AB38" i="18" s="1"/>
  <c r="AB39" i="18" s="1"/>
  <c r="AM82" i="18"/>
  <c r="K81" i="18"/>
  <c r="K38" i="18" s="1"/>
  <c r="K39" i="18" s="1"/>
  <c r="AB83" i="18"/>
  <c r="AB82" i="18"/>
  <c r="BJ82" i="18"/>
  <c r="BD80" i="18"/>
  <c r="AU84" i="18"/>
  <c r="F81" i="18"/>
  <c r="F38" i="18" s="1"/>
  <c r="F39" i="18" s="1"/>
  <c r="K83" i="18"/>
  <c r="AE84" i="18"/>
  <c r="AC85" i="18"/>
  <c r="BG82" i="18"/>
  <c r="BG84" i="18"/>
  <c r="AX84" i="18"/>
  <c r="AL84" i="18"/>
  <c r="N83" i="18"/>
  <c r="AR84" i="18"/>
  <c r="BI81" i="18"/>
  <c r="BI38" i="18" s="1"/>
  <c r="BF84" i="18"/>
  <c r="AB85" i="18"/>
  <c r="E85" i="18"/>
  <c r="N81" i="18"/>
  <c r="N38" i="18" s="1"/>
  <c r="N39" i="18" s="1"/>
  <c r="Q85" i="18"/>
  <c r="L81" i="18"/>
  <c r="L38" i="18" s="1"/>
  <c r="L39" i="18" s="1"/>
  <c r="K85" i="18"/>
  <c r="AH82" i="18"/>
  <c r="O81" i="18"/>
  <c r="O38" i="18" s="1"/>
  <c r="O39" i="18" s="1"/>
  <c r="AU80" i="18"/>
  <c r="AV82" i="18"/>
  <c r="BC81" i="18"/>
  <c r="BC38" i="18" s="1"/>
  <c r="T83" i="18"/>
  <c r="AQ84" i="18"/>
  <c r="AV84" i="18"/>
  <c r="AR83" i="18"/>
  <c r="AW81" i="18"/>
  <c r="AW38" i="18" s="1"/>
  <c r="AR80" i="18"/>
  <c r="E84" i="18"/>
  <c r="BB80" i="18"/>
  <c r="W80" i="18"/>
  <c r="AG80" i="18"/>
  <c r="Q83" i="18"/>
  <c r="R80" i="18"/>
  <c r="S83" i="18"/>
  <c r="X82" i="18"/>
  <c r="P83" i="18"/>
  <c r="G85" i="18"/>
  <c r="BJ81" i="18"/>
  <c r="BJ38" i="18" s="1"/>
  <c r="T85" i="18"/>
  <c r="U81" i="18"/>
  <c r="U38" i="18" s="1"/>
  <c r="U39" i="18" s="1"/>
  <c r="AN83" i="18"/>
  <c r="L84" i="18"/>
  <c r="M84" i="18"/>
  <c r="G82" i="18"/>
  <c r="BE84" i="18"/>
  <c r="AC80" i="18"/>
  <c r="Y84" i="18"/>
  <c r="AY81" i="18"/>
  <c r="AY38" i="18" s="1"/>
  <c r="AT80" i="18"/>
  <c r="Z85" i="18"/>
  <c r="AT85" i="18"/>
  <c r="AL83" i="18"/>
  <c r="AF85" i="18"/>
  <c r="AV83" i="18"/>
  <c r="I82" i="18"/>
  <c r="AA85" i="18"/>
  <c r="M85" i="18"/>
  <c r="AW85" i="18"/>
  <c r="BD82" i="18"/>
  <c r="BB82" i="18"/>
  <c r="BG80" i="18"/>
  <c r="H83" i="18"/>
  <c r="K82" i="18"/>
  <c r="P85" i="18"/>
  <c r="AI80" i="18"/>
  <c r="AW80" i="18"/>
  <c r="AJ80" i="18"/>
  <c r="AF81" i="18"/>
  <c r="AF38" i="18" s="1"/>
  <c r="AF39" i="18" s="1"/>
  <c r="AS81" i="18"/>
  <c r="AS38" i="18" s="1"/>
  <c r="AA81" i="18"/>
  <c r="AA38" i="18" s="1"/>
  <c r="AA39" i="18" s="1"/>
  <c r="I83" i="18"/>
  <c r="AA83" i="18"/>
  <c r="BD83" i="18"/>
  <c r="AU85" i="18"/>
  <c r="AN82" i="18"/>
  <c r="AL80" i="18"/>
  <c r="S84" i="18"/>
  <c r="E81" i="18"/>
  <c r="E38" i="18" s="1"/>
  <c r="E39" i="18" s="1"/>
  <c r="AB80" i="18"/>
  <c r="AF82" i="18"/>
  <c r="AM81" i="18"/>
  <c r="AM38" i="18" s="1"/>
  <c r="AM39" i="18" s="1"/>
  <c r="Q84" i="18"/>
  <c r="AT83" i="18"/>
  <c r="J82" i="18"/>
  <c r="J80" i="18"/>
  <c r="AN85" i="18"/>
  <c r="BL83" i="18"/>
  <c r="BJ84" i="18"/>
  <c r="AK81" i="18"/>
  <c r="AK38" i="18" s="1"/>
  <c r="AK39" i="18" s="1"/>
  <c r="BH82" i="18"/>
  <c r="BF82" i="18"/>
  <c r="X80" i="18"/>
  <c r="Y85" i="18"/>
  <c r="AP83" i="18"/>
  <c r="AQ81" i="18"/>
  <c r="AQ38" i="18" s="1"/>
  <c r="AQ39" i="18" s="1"/>
  <c r="M80" i="18"/>
  <c r="AX81" i="18"/>
  <c r="AX38" i="18" s="1"/>
  <c r="H82" i="18"/>
  <c r="AX80" i="18"/>
  <c r="AV80" i="18"/>
  <c r="O80" i="18"/>
  <c r="AN81" i="18"/>
  <c r="AN38" i="18" s="1"/>
  <c r="AN39" i="18" s="1"/>
  <c r="H81" i="18"/>
  <c r="H38" i="18" s="1"/>
  <c r="H39" i="18" s="1"/>
  <c r="T81" i="18"/>
  <c r="T38" i="18" s="1"/>
  <c r="T39" i="18" s="1"/>
  <c r="AD84" i="18"/>
  <c r="BI84" i="18"/>
  <c r="AM85" i="18"/>
  <c r="Y80" i="18"/>
  <c r="BK85" i="18"/>
  <c r="AA80" i="18"/>
  <c r="AE85" i="18"/>
  <c r="BC82" i="18"/>
  <c r="AM80" i="18"/>
  <c r="AP81" i="18"/>
  <c r="AP38" i="18" s="1"/>
  <c r="AP39" i="18" s="1"/>
  <c r="BD84" i="18"/>
  <c r="S80" i="18"/>
  <c r="W84" i="18"/>
  <c r="BE80" i="18"/>
  <c r="S85" i="18"/>
  <c r="AP85" i="18"/>
  <c r="AI84" i="18"/>
  <c r="AZ80" i="18"/>
  <c r="X81" i="18"/>
  <c r="X38" i="18" s="1"/>
  <c r="X39" i="18" s="1"/>
  <c r="AP84" i="18"/>
  <c r="K80" i="18"/>
  <c r="BD81" i="18"/>
  <c r="BD38" i="18" s="1"/>
  <c r="I85" i="18"/>
  <c r="AO85" i="18"/>
  <c r="AZ82" i="18"/>
  <c r="BB84" i="18"/>
  <c r="BE82" i="18"/>
  <c r="AR82" i="18"/>
  <c r="W85" i="18"/>
  <c r="AD80" i="18"/>
  <c r="AW83" i="18"/>
  <c r="AQ85" i="18"/>
  <c r="AZ83" i="18"/>
  <c r="BJ80" i="18"/>
  <c r="P84" i="18"/>
  <c r="L82" i="18"/>
  <c r="AZ81" i="18"/>
  <c r="AZ38" i="18" s="1"/>
  <c r="I81" i="18"/>
  <c r="I38" i="18" s="1"/>
  <c r="I39" i="18" s="1"/>
  <c r="AH84" i="18"/>
  <c r="BI80" i="18"/>
  <c r="X84" i="18"/>
  <c r="BL84" i="18"/>
  <c r="AZ85" i="18"/>
  <c r="V83" i="18"/>
  <c r="AK80" i="18"/>
  <c r="BK81" i="18"/>
  <c r="BK38" i="18" s="1"/>
  <c r="M83" i="18"/>
  <c r="V80" i="18"/>
  <c r="Q82" i="18"/>
  <c r="R82" i="18"/>
  <c r="BL81" i="18"/>
  <c r="BL38" i="18" s="1"/>
  <c r="BH81" i="18"/>
  <c r="BH38" i="18" s="1"/>
  <c r="AO82" i="18"/>
  <c r="BJ83" i="18"/>
  <c r="AM84" i="18"/>
  <c r="W82" i="18"/>
  <c r="BG83" i="18"/>
  <c r="V81" i="18"/>
  <c r="V38" i="18" s="1"/>
  <c r="V39" i="18" s="1"/>
  <c r="AW82" i="18"/>
  <c r="Z80" i="18"/>
  <c r="Y83" i="18"/>
  <c r="AN80" i="18"/>
  <c r="BH85" i="18"/>
  <c r="BE85" i="18"/>
  <c r="AP82" i="18"/>
  <c r="X85" i="18"/>
  <c r="O83" i="18"/>
  <c r="BI85" i="18"/>
  <c r="AY80" i="18"/>
  <c r="R85" i="18"/>
  <c r="BB83" i="18"/>
  <c r="AH80" i="18"/>
  <c r="AZ84" i="18"/>
  <c r="AI82" i="18"/>
  <c r="AB84" i="18"/>
  <c r="AK82" i="18"/>
  <c r="U84" i="18"/>
  <c r="AH81" i="18"/>
  <c r="AH38" i="18" s="1"/>
  <c r="AH39" i="18" s="1"/>
  <c r="N85" i="18"/>
  <c r="Z82" i="18"/>
  <c r="BL82" i="18"/>
  <c r="S81" i="18"/>
  <c r="S38" i="18" s="1"/>
  <c r="S39" i="18" s="1"/>
  <c r="AY84" i="18"/>
  <c r="U85" i="18"/>
  <c r="I80" i="18"/>
  <c r="Q80" i="18"/>
  <c r="AS85" i="18"/>
  <c r="BC84" i="18"/>
  <c r="AG84" i="18"/>
  <c r="AS80" i="18"/>
  <c r="Z81" i="18"/>
  <c r="Z38" i="18" s="1"/>
  <c r="Z39" i="18" s="1"/>
  <c r="AY82" i="18"/>
  <c r="BK83" i="18"/>
  <c r="AC83" i="18"/>
  <c r="L54" i="34"/>
  <c r="M51" i="34" s="1"/>
  <c r="M56" i="34" s="1"/>
  <c r="M52" i="34" s="1"/>
  <c r="M57" i="34" s="1"/>
  <c r="AR89" i="18"/>
  <c r="AS37" i="18"/>
  <c r="AZ66" i="8"/>
  <c r="H66" i="8"/>
  <c r="BD67" i="8"/>
  <c r="O65" i="8"/>
  <c r="BL67" i="8"/>
  <c r="AM67" i="8"/>
  <c r="BA65" i="8"/>
  <c r="F66" i="8"/>
  <c r="U67" i="8"/>
  <c r="X66" i="8"/>
  <c r="H65" i="8"/>
  <c r="AS66" i="8"/>
  <c r="V65" i="8"/>
  <c r="AA66" i="8"/>
  <c r="R67" i="8"/>
  <c r="BE66" i="8"/>
  <c r="G65" i="8"/>
  <c r="AB65" i="8"/>
  <c r="AI65" i="8"/>
  <c r="I66" i="8"/>
  <c r="AD66" i="8"/>
  <c r="AC65" i="8"/>
  <c r="AU65" i="8"/>
  <c r="AW65" i="8"/>
  <c r="P66" i="8"/>
  <c r="AK67" i="8"/>
  <c r="AH66" i="8"/>
  <c r="BI67" i="8"/>
  <c r="E65" i="8"/>
  <c r="AW66" i="8"/>
  <c r="W66" i="8"/>
  <c r="AW67" i="8"/>
  <c r="BD66" i="8"/>
  <c r="AH65" i="8"/>
  <c r="AC66" i="8"/>
  <c r="V67" i="8"/>
  <c r="AU66" i="8"/>
  <c r="AX67" i="8"/>
  <c r="AJ65" i="8"/>
  <c r="AM65" i="8"/>
  <c r="AO65" i="8"/>
  <c r="BB66" i="8"/>
  <c r="AD65" i="8"/>
  <c r="BK66" i="8"/>
  <c r="S65" i="8"/>
  <c r="T66" i="8"/>
  <c r="BD65" i="8"/>
  <c r="AF65" i="8"/>
  <c r="J67" i="8"/>
  <c r="P65" i="8"/>
  <c r="W65" i="8"/>
  <c r="T67" i="8"/>
  <c r="K67" i="8"/>
  <c r="AZ67" i="8"/>
  <c r="AE67" i="8"/>
  <c r="AG66" i="8"/>
  <c r="BJ66" i="8"/>
  <c r="Q67" i="8"/>
  <c r="Z66" i="8"/>
  <c r="BA67" i="8"/>
  <c r="BF66" i="8"/>
  <c r="AP65" i="8"/>
  <c r="F67" i="8"/>
  <c r="AJ66" i="8"/>
  <c r="AB67" i="8"/>
  <c r="AP67" i="8"/>
  <c r="G67" i="8"/>
  <c r="AQ67" i="8"/>
  <c r="BK67" i="8"/>
  <c r="Q66" i="8"/>
  <c r="AS65" i="8"/>
  <c r="I67" i="8"/>
  <c r="BE67" i="8"/>
  <c r="Z65" i="8"/>
  <c r="N67" i="8"/>
  <c r="BG65" i="8"/>
  <c r="G66" i="8"/>
  <c r="Y66" i="8"/>
  <c r="AX66" i="8"/>
  <c r="BI65" i="8"/>
  <c r="N66" i="8"/>
  <c r="AC67" i="8"/>
  <c r="AT66" i="8"/>
  <c r="R65" i="8"/>
  <c r="BL66" i="8"/>
  <c r="AT65" i="8"/>
  <c r="AB66" i="8"/>
  <c r="L67" i="8"/>
  <c r="AZ65" i="8"/>
  <c r="Z67" i="8"/>
  <c r="AR65" i="8"/>
  <c r="AQ65" i="8"/>
  <c r="AV67" i="8"/>
  <c r="AA67" i="8"/>
  <c r="Q65" i="8"/>
  <c r="AU67" i="8"/>
  <c r="AO66" i="8"/>
  <c r="M66" i="8"/>
  <c r="AG67" i="8"/>
  <c r="AP66" i="8"/>
  <c r="N65" i="8"/>
  <c r="O66" i="8"/>
  <c r="BJ65" i="8"/>
  <c r="AE66" i="8"/>
  <c r="AD67" i="8"/>
  <c r="L66" i="8"/>
  <c r="AN65" i="8"/>
  <c r="L65" i="8"/>
  <c r="BB65" i="8"/>
  <c r="BA66" i="8"/>
  <c r="BJ67" i="8"/>
  <c r="AV65" i="8"/>
  <c r="AY65" i="8"/>
  <c r="X67" i="8"/>
  <c r="O67" i="8"/>
  <c r="U65" i="8"/>
  <c r="AY67" i="8"/>
  <c r="J65" i="8"/>
  <c r="AY66" i="8"/>
  <c r="BB67" i="8"/>
  <c r="BH67" i="8"/>
  <c r="AI67" i="8"/>
  <c r="E66" i="8"/>
  <c r="E32" i="8" s="1"/>
  <c r="E33" i="8" s="1"/>
  <c r="BG66" i="8"/>
  <c r="AI66" i="8"/>
  <c r="F65" i="8"/>
  <c r="K66" i="8"/>
  <c r="BF65" i="8"/>
  <c r="AQ66" i="8"/>
  <c r="AT67" i="8"/>
  <c r="BC66" i="8"/>
  <c r="K65" i="8"/>
  <c r="BH66" i="8"/>
  <c r="R66" i="8"/>
  <c r="M65" i="8"/>
  <c r="AE65" i="8"/>
  <c r="Y65" i="8"/>
  <c r="BC67" i="8"/>
  <c r="M67" i="8"/>
  <c r="V66" i="8"/>
  <c r="AO67" i="8"/>
  <c r="AL66" i="8"/>
  <c r="X65" i="8"/>
  <c r="BI66" i="8"/>
  <c r="AL65" i="8"/>
  <c r="AM66" i="8"/>
  <c r="AL67" i="8"/>
  <c r="T65" i="8"/>
  <c r="AA65" i="8"/>
  <c r="BH65" i="8"/>
  <c r="BC65" i="8"/>
  <c r="AR66" i="8"/>
  <c r="AR67" i="8"/>
  <c r="AJ67" i="8"/>
  <c r="BF67" i="8"/>
  <c r="AN67" i="8"/>
  <c r="W67" i="8"/>
  <c r="AG65" i="8"/>
  <c r="BG67" i="8"/>
  <c r="BE65" i="8"/>
  <c r="J66" i="8"/>
  <c r="AS67" i="8"/>
  <c r="AK66" i="8"/>
  <c r="AH67" i="8"/>
  <c r="AF67" i="8"/>
  <c r="S67" i="8"/>
  <c r="Y67" i="8"/>
  <c r="S66" i="8"/>
  <c r="P67" i="8"/>
  <c r="H67" i="8"/>
  <c r="I65" i="8"/>
  <c r="AK65" i="8"/>
  <c r="AN66" i="8"/>
  <c r="BK65" i="8"/>
  <c r="AF66" i="8"/>
  <c r="AV66" i="8"/>
  <c r="U66" i="8"/>
  <c r="BL65" i="8"/>
  <c r="E67" i="8"/>
  <c r="AX65" i="8"/>
  <c r="AQ70" i="8"/>
  <c r="AQ34" i="8"/>
  <c r="AS31" i="8"/>
  <c r="AR33" i="8"/>
  <c r="AM62" i="30"/>
  <c r="E63" i="30"/>
  <c r="AD62" i="30"/>
  <c r="AU61" i="30"/>
  <c r="BD61" i="30"/>
  <c r="G61" i="30"/>
  <c r="Q63" i="30"/>
  <c r="BE63" i="30"/>
  <c r="O61" i="30"/>
  <c r="AC62" i="30"/>
  <c r="I63" i="30"/>
  <c r="AA63" i="30"/>
  <c r="F61" i="30"/>
  <c r="AL61" i="30"/>
  <c r="AI62" i="30"/>
  <c r="BH62" i="30"/>
  <c r="I62" i="30"/>
  <c r="AQ61" i="30"/>
  <c r="AX61" i="30"/>
  <c r="AS63" i="30"/>
  <c r="AG63" i="30"/>
  <c r="I61" i="30"/>
  <c r="K63" i="30"/>
  <c r="AV63" i="30"/>
  <c r="T61" i="30"/>
  <c r="S62" i="30"/>
  <c r="AL62" i="30"/>
  <c r="AX63" i="30"/>
  <c r="BH63" i="30"/>
  <c r="AC61" i="30"/>
  <c r="T62" i="30"/>
  <c r="L63" i="30"/>
  <c r="AZ63" i="30"/>
  <c r="BF61" i="30"/>
  <c r="F63" i="30"/>
  <c r="AT63" i="30"/>
  <c r="N62" i="30"/>
  <c r="BE61" i="30"/>
  <c r="AK62" i="30"/>
  <c r="S63" i="30"/>
  <c r="BF63" i="30"/>
  <c r="AB61" i="30"/>
  <c r="AQ62" i="30"/>
  <c r="J63" i="30"/>
  <c r="X61" i="30"/>
  <c r="AI61" i="30"/>
  <c r="AN61" i="30"/>
  <c r="BJ62" i="30"/>
  <c r="BI62" i="30"/>
  <c r="AO63" i="30"/>
  <c r="BA61" i="30"/>
  <c r="AZ61" i="30"/>
  <c r="AF62" i="30"/>
  <c r="AE63" i="30"/>
  <c r="J61" i="30"/>
  <c r="H61" i="30"/>
  <c r="W62" i="30"/>
  <c r="AR62" i="30"/>
  <c r="K61" i="30"/>
  <c r="AE61" i="30"/>
  <c r="AH61" i="30"/>
  <c r="AO62" i="30"/>
  <c r="BD62" i="30"/>
  <c r="AJ63" i="30"/>
  <c r="R63" i="30"/>
  <c r="H62" i="30"/>
  <c r="AV62" i="30"/>
  <c r="G62" i="30"/>
  <c r="V62" i="30"/>
  <c r="AT62" i="30"/>
  <c r="AR63" i="30"/>
  <c r="Q61" i="30"/>
  <c r="S61" i="30"/>
  <c r="AH62" i="30"/>
  <c r="N63" i="30"/>
  <c r="BK63" i="30"/>
  <c r="AT61" i="30"/>
  <c r="Z62" i="30"/>
  <c r="BG63" i="30"/>
  <c r="AO61" i="30"/>
  <c r="U62" i="30"/>
  <c r="G63" i="30"/>
  <c r="AP63" i="30"/>
  <c r="P61" i="30"/>
  <c r="O62" i="30"/>
  <c r="AG62" i="30"/>
  <c r="AC63" i="30"/>
  <c r="AM61" i="30"/>
  <c r="AS61" i="30"/>
  <c r="H63" i="30"/>
  <c r="AS62" i="30"/>
  <c r="Y63" i="30"/>
  <c r="BC63" i="30"/>
  <c r="AJ61" i="30"/>
  <c r="P62" i="30"/>
  <c r="BK62" i="30"/>
  <c r="AK63" i="30"/>
  <c r="L61" i="30"/>
  <c r="AA62" i="30"/>
  <c r="AW62" i="30"/>
  <c r="AP61" i="30"/>
  <c r="AW63" i="30"/>
  <c r="U61" i="30"/>
  <c r="AK61" i="30"/>
  <c r="AN62" i="30"/>
  <c r="T63" i="30"/>
  <c r="AY63" i="30"/>
  <c r="AD61" i="30"/>
  <c r="J62" i="30"/>
  <c r="O63" i="30"/>
  <c r="BA63" i="30"/>
  <c r="AZ62" i="30"/>
  <c r="AB63" i="30"/>
  <c r="E61" i="30"/>
  <c r="BI63" i="30"/>
  <c r="R62" i="30"/>
  <c r="BF62" i="30"/>
  <c r="AI63" i="30"/>
  <c r="N61" i="30"/>
  <c r="AW61" i="30"/>
  <c r="BG62" i="30"/>
  <c r="AF63" i="30"/>
  <c r="AR61" i="30"/>
  <c r="BC62" i="30"/>
  <c r="Z63" i="30"/>
  <c r="BD63" i="30"/>
  <c r="BK61" i="30"/>
  <c r="Q62" i="30"/>
  <c r="Y62" i="30"/>
  <c r="AL63" i="30"/>
  <c r="M61" i="30"/>
  <c r="BE62" i="30"/>
  <c r="AX62" i="30"/>
  <c r="AD63" i="30"/>
  <c r="AF61" i="30"/>
  <c r="AQ63" i="30"/>
  <c r="V61" i="30"/>
  <c r="BH61" i="30"/>
  <c r="AY62" i="30"/>
  <c r="U63" i="30"/>
  <c r="AH63" i="30"/>
  <c r="BG61" i="30"/>
  <c r="L62" i="30"/>
  <c r="BL61" i="30"/>
  <c r="BB63" i="30"/>
  <c r="Y61" i="30"/>
  <c r="AN63" i="30"/>
  <c r="X62" i="30"/>
  <c r="BL62" i="30"/>
  <c r="AM63" i="30"/>
  <c r="R61" i="30"/>
  <c r="BB61" i="30"/>
  <c r="AU62" i="30"/>
  <c r="P63" i="30"/>
  <c r="M63" i="30"/>
  <c r="K62" i="30"/>
  <c r="AB62" i="30"/>
  <c r="X63" i="30"/>
  <c r="BJ61" i="30"/>
  <c r="AP62" i="30"/>
  <c r="W63" i="30"/>
  <c r="BL63" i="30"/>
  <c r="AG61" i="30"/>
  <c r="AE62" i="30"/>
  <c r="BB62" i="30"/>
  <c r="AV61" i="30"/>
  <c r="BC61" i="30"/>
  <c r="F62" i="30"/>
  <c r="AA61" i="30"/>
  <c r="AY61" i="30"/>
  <c r="BI61" i="30"/>
  <c r="W61" i="30"/>
  <c r="V63" i="30"/>
  <c r="BJ63" i="30"/>
  <c r="AJ62" i="30"/>
  <c r="M62" i="30"/>
  <c r="BA62" i="30"/>
  <c r="AU63" i="30"/>
  <c r="Z61" i="30"/>
  <c r="E62" i="30"/>
  <c r="E28" i="30" s="1"/>
  <c r="E29" i="30" s="1"/>
  <c r="AQ66" i="30"/>
  <c r="AQ30" i="30"/>
  <c r="AB14" i="15"/>
  <c r="AB12" i="15"/>
  <c r="J27" i="4"/>
  <c r="K25" i="4" s="1"/>
  <c r="K28" i="4" s="1"/>
  <c r="K26" i="4" s="1"/>
  <c r="K29" i="4" s="1"/>
  <c r="K32" i="4" s="1"/>
  <c r="AA28" i="15"/>
  <c r="AR29" i="30"/>
  <c r="AS27" i="30"/>
  <c r="AO56" i="1"/>
  <c r="AO54" i="1" s="1"/>
  <c r="AO55" i="1" s="1"/>
  <c r="AP53" i="1" s="1"/>
  <c r="AQ55" i="26"/>
  <c r="AQ126" i="26"/>
  <c r="AQ109" i="26"/>
  <c r="AQ111" i="26" s="1"/>
  <c r="AQ43" i="26"/>
  <c r="E55" i="26"/>
  <c r="E126" i="26"/>
  <c r="E43" i="26"/>
  <c r="E109" i="26"/>
  <c r="E111" i="26" s="1"/>
  <c r="V55" i="26"/>
  <c r="V109" i="26"/>
  <c r="V111" i="26" s="1"/>
  <c r="V43" i="26"/>
  <c r="V126" i="26"/>
  <c r="P126" i="26"/>
  <c r="P109" i="26"/>
  <c r="P111" i="26" s="1"/>
  <c r="P55" i="26"/>
  <c r="P43" i="26"/>
  <c r="N126" i="26"/>
  <c r="N55" i="26"/>
  <c r="N43" i="26"/>
  <c r="N109" i="26"/>
  <c r="N111" i="26" s="1"/>
  <c r="W55" i="26"/>
  <c r="W43" i="26"/>
  <c r="W126" i="26"/>
  <c r="W109" i="26"/>
  <c r="W111" i="26" s="1"/>
  <c r="L63" i="34"/>
  <c r="L60" i="34"/>
  <c r="K109" i="26"/>
  <c r="K111" i="26" s="1"/>
  <c r="K43" i="26"/>
  <c r="K126" i="26"/>
  <c r="K55" i="26"/>
  <c r="AA126" i="26"/>
  <c r="AA55" i="26"/>
  <c r="AA109" i="26"/>
  <c r="AA111" i="26" s="1"/>
  <c r="AA43" i="26"/>
  <c r="AQ61" i="35"/>
  <c r="AQ122" i="35"/>
  <c r="AQ124" i="35" s="1"/>
  <c r="AQ138" i="35"/>
  <c r="AQ49" i="35"/>
  <c r="AA88" i="1"/>
  <c r="AA91" i="1" s="1"/>
  <c r="AA92" i="1" s="1"/>
  <c r="AA95" i="1" s="1"/>
  <c r="U43" i="26"/>
  <c r="U126" i="26"/>
  <c r="U55" i="26"/>
  <c r="U109" i="26"/>
  <c r="U111" i="26" s="1"/>
  <c r="AP109" i="26"/>
  <c r="AP111" i="26" s="1"/>
  <c r="AP126" i="26"/>
  <c r="AP43" i="26"/>
  <c r="AP55" i="26"/>
  <c r="T126" i="26"/>
  <c r="T55" i="26"/>
  <c r="T109" i="26"/>
  <c r="T111" i="26" s="1"/>
  <c r="T43" i="26"/>
  <c r="AH55" i="26"/>
  <c r="AH126" i="26"/>
  <c r="AH43" i="26"/>
  <c r="AH109" i="26"/>
  <c r="AH111" i="26" s="1"/>
  <c r="AJ126" i="26"/>
  <c r="AJ55" i="26"/>
  <c r="AJ109" i="26"/>
  <c r="AJ111" i="26" s="1"/>
  <c r="AJ43" i="26"/>
  <c r="AR56" i="28"/>
  <c r="AR54" i="28" s="1"/>
  <c r="AR55" i="28" s="1"/>
  <c r="AS53" i="28" s="1"/>
  <c r="AR106" i="28"/>
  <c r="AR104" i="28" s="1"/>
  <c r="AR105" i="28" s="1"/>
  <c r="AS103" i="28" s="1"/>
  <c r="G55" i="26"/>
  <c r="G126" i="26"/>
  <c r="G109" i="26"/>
  <c r="G111" i="26" s="1"/>
  <c r="G43" i="26"/>
  <c r="AB55" i="26"/>
  <c r="AB126" i="26"/>
  <c r="AB109" i="26"/>
  <c r="AB111" i="26" s="1"/>
  <c r="AB43" i="26"/>
  <c r="AF43" i="26"/>
  <c r="AF55" i="26"/>
  <c r="AF109" i="26"/>
  <c r="AF111" i="26" s="1"/>
  <c r="AF126" i="26"/>
  <c r="AR89" i="35"/>
  <c r="AS45" i="35"/>
  <c r="AR48" i="35"/>
  <c r="AL109" i="26"/>
  <c r="AL111" i="26" s="1"/>
  <c r="AL43" i="26"/>
  <c r="AL55" i="26"/>
  <c r="AL126" i="26"/>
  <c r="G39" i="5"/>
  <c r="H37" i="5" s="1"/>
  <c r="J57" i="33"/>
  <c r="K54" i="33" s="1"/>
  <c r="AE55" i="26"/>
  <c r="AE126" i="26"/>
  <c r="AE43" i="26"/>
  <c r="AE109" i="26"/>
  <c r="AE111" i="26" s="1"/>
  <c r="Y55" i="26"/>
  <c r="Y43" i="26"/>
  <c r="Y126" i="26"/>
  <c r="Y109" i="26"/>
  <c r="Y111" i="26" s="1"/>
  <c r="AR45" i="31"/>
  <c r="AQ89" i="31"/>
  <c r="AS48" i="36"/>
  <c r="AS182" i="36" s="1"/>
  <c r="AR127" i="36"/>
  <c r="G47" i="5"/>
  <c r="G45" i="5"/>
  <c r="J64" i="33"/>
  <c r="J67" i="33"/>
  <c r="L26" i="3"/>
  <c r="L24" i="3" s="1"/>
  <c r="L27" i="3" s="1"/>
  <c r="L31" i="3" s="1"/>
  <c r="M55" i="26"/>
  <c r="M126" i="26"/>
  <c r="M43" i="26"/>
  <c r="M109" i="26"/>
  <c r="M111" i="26" s="1"/>
  <c r="AG55" i="26"/>
  <c r="AG109" i="26"/>
  <c r="AG111" i="26" s="1"/>
  <c r="AG43" i="26"/>
  <c r="AG126" i="26"/>
  <c r="S126" i="26"/>
  <c r="S109" i="26"/>
  <c r="S111" i="26" s="1"/>
  <c r="S55" i="26"/>
  <c r="S43" i="26"/>
  <c r="R126" i="26"/>
  <c r="R55" i="26"/>
  <c r="R109" i="26"/>
  <c r="R111" i="26" s="1"/>
  <c r="R43" i="26"/>
  <c r="J43" i="26"/>
  <c r="J109" i="26"/>
  <c r="J111" i="26" s="1"/>
  <c r="J55" i="26"/>
  <c r="J126" i="26"/>
  <c r="AM43" i="26"/>
  <c r="AM55" i="26"/>
  <c r="AM109" i="26"/>
  <c r="AM111" i="26" s="1"/>
  <c r="AM126" i="26"/>
  <c r="Z43" i="26"/>
  <c r="Z55" i="26"/>
  <c r="Z109" i="26"/>
  <c r="Z111" i="26" s="1"/>
  <c r="Z126" i="26"/>
  <c r="E104" i="31" a="1"/>
  <c r="AB28" i="15" l="1"/>
  <c r="AR83" i="26"/>
  <c r="AS39" i="26"/>
  <c r="AR42" i="26"/>
  <c r="BC180" i="37"/>
  <c r="BD49" i="37"/>
  <c r="BD170" i="37"/>
  <c r="BD172" i="37" s="1"/>
  <c r="BE123" i="37"/>
  <c r="BE48" i="37"/>
  <c r="BF45" i="37"/>
  <c r="P112" i="37"/>
  <c r="P114" i="37" s="1"/>
  <c r="O166" i="37"/>
  <c r="BL62" i="36"/>
  <c r="BL123" i="36" s="1"/>
  <c r="S40" i="18"/>
  <c r="S52" i="18"/>
  <c r="S87" i="18"/>
  <c r="S104" i="18"/>
  <c r="V40" i="18"/>
  <c r="V104" i="18"/>
  <c r="V52" i="18"/>
  <c r="V87" i="18"/>
  <c r="AP104" i="18"/>
  <c r="AP87" i="18"/>
  <c r="AP52" i="18"/>
  <c r="AP40" i="18"/>
  <c r="AA52" i="18"/>
  <c r="AA104" i="18"/>
  <c r="AA40" i="18"/>
  <c r="AA87" i="18"/>
  <c r="O52" i="18"/>
  <c r="O40" i="18"/>
  <c r="O104" i="18"/>
  <c r="O87" i="18"/>
  <c r="AT37" i="18"/>
  <c r="AS89" i="18"/>
  <c r="AS39" i="18"/>
  <c r="AK40" i="18"/>
  <c r="AK87" i="18"/>
  <c r="AK52" i="18"/>
  <c r="AK104" i="18"/>
  <c r="AM40" i="18"/>
  <c r="AM104" i="18"/>
  <c r="AM52" i="18"/>
  <c r="AM87" i="18"/>
  <c r="N87" i="18"/>
  <c r="N40" i="18"/>
  <c r="N104" i="18"/>
  <c r="N52" i="18"/>
  <c r="K52" i="18"/>
  <c r="K104" i="18"/>
  <c r="K87" i="18"/>
  <c r="K40" i="18"/>
  <c r="T87" i="18"/>
  <c r="T40" i="18"/>
  <c r="T104" i="18"/>
  <c r="T52" i="18"/>
  <c r="AF87" i="18"/>
  <c r="AF40" i="18"/>
  <c r="AF52" i="18"/>
  <c r="AF104" i="18"/>
  <c r="U40" i="18"/>
  <c r="U104" i="18"/>
  <c r="U52" i="18"/>
  <c r="U87" i="18"/>
  <c r="R40" i="18"/>
  <c r="R87" i="18"/>
  <c r="R104" i="18"/>
  <c r="R52" i="18"/>
  <c r="AL40" i="18"/>
  <c r="AL87" i="18"/>
  <c r="AL52" i="18"/>
  <c r="AL104" i="18"/>
  <c r="P40" i="18"/>
  <c r="P87" i="18"/>
  <c r="P104" i="18"/>
  <c r="P52" i="18"/>
  <c r="AE52" i="18"/>
  <c r="AE104" i="18"/>
  <c r="AE40" i="18"/>
  <c r="AE87" i="18"/>
  <c r="AH87" i="18"/>
  <c r="AH52" i="18"/>
  <c r="AH104" i="18"/>
  <c r="AH40" i="18"/>
  <c r="I40" i="18"/>
  <c r="I52" i="18"/>
  <c r="I87" i="18"/>
  <c r="I104" i="18"/>
  <c r="AN52" i="18"/>
  <c r="AN87" i="18"/>
  <c r="AN40" i="18"/>
  <c r="AN104" i="18"/>
  <c r="E40" i="18"/>
  <c r="E104" i="18"/>
  <c r="E87" i="18"/>
  <c r="E52" i="18"/>
  <c r="AD40" i="18"/>
  <c r="AD87" i="18"/>
  <c r="AD104" i="18"/>
  <c r="AD52" i="18"/>
  <c r="AO52" i="18"/>
  <c r="AO40" i="18"/>
  <c r="AO104" i="18"/>
  <c r="AO87" i="18"/>
  <c r="D100" i="18"/>
  <c r="D28" i="18"/>
  <c r="D45" i="18" s="1"/>
  <c r="D59" i="18"/>
  <c r="D46" i="18" s="1"/>
  <c r="Y87" i="18"/>
  <c r="Y40" i="18"/>
  <c r="Y52" i="18"/>
  <c r="Y104" i="18"/>
  <c r="G40" i="18"/>
  <c r="G52" i="18"/>
  <c r="G87" i="18"/>
  <c r="G104" i="18"/>
  <c r="AI87" i="18"/>
  <c r="AI52" i="18"/>
  <c r="AI104" i="18"/>
  <c r="AI40" i="18"/>
  <c r="J40" i="18"/>
  <c r="J104" i="18"/>
  <c r="J52" i="18"/>
  <c r="J87" i="18"/>
  <c r="W52" i="18"/>
  <c r="W104" i="18"/>
  <c r="W87" i="18"/>
  <c r="W40" i="18"/>
  <c r="Z52" i="18"/>
  <c r="Z40" i="18"/>
  <c r="Z87" i="18"/>
  <c r="Z104" i="18"/>
  <c r="X52" i="18"/>
  <c r="X40" i="18"/>
  <c r="X87" i="18"/>
  <c r="X104" i="18"/>
  <c r="H87" i="18"/>
  <c r="H40" i="18"/>
  <c r="H104" i="18"/>
  <c r="H52" i="18"/>
  <c r="AQ87" i="18"/>
  <c r="AQ104" i="18"/>
  <c r="AQ52" i="18"/>
  <c r="AQ40" i="18"/>
  <c r="L104" i="18"/>
  <c r="L87" i="18"/>
  <c r="L40" i="18"/>
  <c r="L52" i="18"/>
  <c r="F87" i="18"/>
  <c r="F40" i="18"/>
  <c r="F52" i="18"/>
  <c r="F104" i="18"/>
  <c r="AB52" i="18"/>
  <c r="AB40" i="18"/>
  <c r="AB104" i="18"/>
  <c r="AB87" i="18"/>
  <c r="AR87" i="18"/>
  <c r="AR104" i="18"/>
  <c r="AR52" i="18"/>
  <c r="AR40" i="18"/>
  <c r="AJ40" i="18"/>
  <c r="AJ104" i="18"/>
  <c r="AJ52" i="18"/>
  <c r="AJ87" i="18"/>
  <c r="M40" i="18"/>
  <c r="M87" i="18"/>
  <c r="M104" i="18"/>
  <c r="M52" i="18"/>
  <c r="Q104" i="18"/>
  <c r="Q52" i="18"/>
  <c r="Q40" i="18"/>
  <c r="Q87" i="18"/>
  <c r="AG52" i="18"/>
  <c r="AG104" i="18"/>
  <c r="AG40" i="18"/>
  <c r="AG87" i="18"/>
  <c r="AC104" i="18"/>
  <c r="AC87" i="18"/>
  <c r="AC52" i="18"/>
  <c r="AC40" i="18"/>
  <c r="AR70" i="8"/>
  <c r="AR34" i="8"/>
  <c r="AT31" i="8"/>
  <c r="AS33" i="8"/>
  <c r="E34" i="8"/>
  <c r="E70" i="8"/>
  <c r="D20" i="8"/>
  <c r="D22" i="8" s="1"/>
  <c r="G20" i="8"/>
  <c r="L25" i="3"/>
  <c r="M23" i="3" s="1"/>
  <c r="M26" i="3" s="1"/>
  <c r="M24" i="3" s="1"/>
  <c r="M27" i="3" s="1"/>
  <c r="M31" i="3" s="1"/>
  <c r="AS29" i="30"/>
  <c r="AT27" i="30"/>
  <c r="E30" i="30"/>
  <c r="E66" i="30"/>
  <c r="AA93" i="1"/>
  <c r="AB90" i="1" s="1"/>
  <c r="AR30" i="30"/>
  <c r="AR66" i="30"/>
  <c r="AB13" i="15"/>
  <c r="AC11" i="15" s="1"/>
  <c r="G16" i="30"/>
  <c r="D16" i="30"/>
  <c r="D18" i="30" s="1"/>
  <c r="AC104" i="31"/>
  <c r="AG105" i="31"/>
  <c r="AK106" i="31"/>
  <c r="AO107" i="31"/>
  <c r="AO51" i="31" s="1"/>
  <c r="AO92" i="31" s="1"/>
  <c r="Z104" i="31"/>
  <c r="AD105" i="31"/>
  <c r="AH106" i="31"/>
  <c r="AL107" i="31"/>
  <c r="AL51" i="31" s="1"/>
  <c r="AL92" i="31" s="1"/>
  <c r="AP108" i="31"/>
  <c r="AM104" i="31"/>
  <c r="AQ105" i="31"/>
  <c r="AU106" i="31"/>
  <c r="AY107" i="31"/>
  <c r="BC108" i="31"/>
  <c r="BL104" i="31"/>
  <c r="AZ108" i="31"/>
  <c r="N110" i="31"/>
  <c r="N47" i="31" s="1"/>
  <c r="AT110" i="31"/>
  <c r="AT47" i="31" s="1"/>
  <c r="R111" i="31"/>
  <c r="V112" i="31"/>
  <c r="Z113" i="31"/>
  <c r="BL107" i="31"/>
  <c r="BL51" i="31" s="1"/>
  <c r="BL92" i="31" s="1"/>
  <c r="Q104" i="31"/>
  <c r="U105" i="31"/>
  <c r="Y106" i="31"/>
  <c r="AC107" i="31"/>
  <c r="N104" i="31"/>
  <c r="R105" i="31"/>
  <c r="V106" i="31"/>
  <c r="Z107" i="31"/>
  <c r="Z51" i="31" s="1"/>
  <c r="Z92" i="31" s="1"/>
  <c r="AD108" i="31"/>
  <c r="AA104" i="31"/>
  <c r="AE105" i="31"/>
  <c r="AI106" i="31"/>
  <c r="AM107" i="31"/>
  <c r="AM51" i="31" s="1"/>
  <c r="AM92" i="31" s="1"/>
  <c r="AQ108" i="31"/>
  <c r="P104" i="31"/>
  <c r="AB108" i="31"/>
  <c r="BJ109" i="31"/>
  <c r="V111" i="31"/>
  <c r="Z112" i="31"/>
  <c r="AD113" i="31"/>
  <c r="T108" i="31"/>
  <c r="E104" i="31"/>
  <c r="G29" i="31" s="1"/>
  <c r="D29" i="31" s="1"/>
  <c r="I105" i="31"/>
  <c r="Q107" i="31"/>
  <c r="F105" i="31"/>
  <c r="N107" i="31"/>
  <c r="O104" i="31"/>
  <c r="W106" i="31"/>
  <c r="AE108" i="31"/>
  <c r="AR107" i="31"/>
  <c r="AR51" i="31" s="1"/>
  <c r="AR92" i="31" s="1"/>
  <c r="BF111" i="31"/>
  <c r="AB106" i="31"/>
  <c r="K110" i="31"/>
  <c r="K47" i="31" s="1"/>
  <c r="AQ110" i="31"/>
  <c r="AQ47" i="31" s="1"/>
  <c r="O111" i="31"/>
  <c r="S112" i="31"/>
  <c r="W113" i="31"/>
  <c r="AV106" i="31"/>
  <c r="AR111" i="31"/>
  <c r="AS113" i="31"/>
  <c r="BD107" i="31"/>
  <c r="BI111" i="31"/>
  <c r="AO104" i="31"/>
  <c r="AW106" i="31"/>
  <c r="AL104" i="31"/>
  <c r="AT106" i="31"/>
  <c r="BB108" i="31"/>
  <c r="BC105" i="31"/>
  <c r="BK107" i="31"/>
  <c r="AZ105" i="31"/>
  <c r="Z110" i="31"/>
  <c r="Z47" i="31" s="1"/>
  <c r="AH112" i="31"/>
  <c r="AK108" i="31"/>
  <c r="AI111" i="31"/>
  <c r="AM112" i="31"/>
  <c r="AQ113" i="31"/>
  <c r="BD108" i="31"/>
  <c r="AV110" i="31"/>
  <c r="AV47" i="31" s="1"/>
  <c r="X112" i="31"/>
  <c r="AC113" i="31"/>
  <c r="X109" i="31"/>
  <c r="E111" i="31"/>
  <c r="U113" i="31"/>
  <c r="BA104" i="31"/>
  <c r="BI106" i="31"/>
  <c r="AX104" i="31"/>
  <c r="BF106" i="31"/>
  <c r="F109" i="31"/>
  <c r="G106" i="31"/>
  <c r="O108" i="31"/>
  <c r="AN106" i="31"/>
  <c r="AP111" i="31"/>
  <c r="X105" i="31"/>
  <c r="X46" i="31" s="1"/>
  <c r="BK109" i="31"/>
  <c r="W111" i="31"/>
  <c r="AA112" i="31"/>
  <c r="AE113" i="31"/>
  <c r="AZ107" i="31"/>
  <c r="BH111" i="31"/>
  <c r="BD113" i="31"/>
  <c r="AO108" i="31"/>
  <c r="AO110" i="31"/>
  <c r="AO47" i="31" s="1"/>
  <c r="Q112" i="31"/>
  <c r="BL106" i="31"/>
  <c r="AV111" i="31"/>
  <c r="AV113" i="31"/>
  <c r="AC109" i="31"/>
  <c r="AS112" i="31"/>
  <c r="BE104" i="31"/>
  <c r="E107" i="31"/>
  <c r="BB104" i="31"/>
  <c r="BJ106" i="31"/>
  <c r="J109" i="31"/>
  <c r="K106" i="31"/>
  <c r="S108" i="31"/>
  <c r="BD106" i="31"/>
  <c r="AT111" i="31"/>
  <c r="AN105" i="31"/>
  <c r="G110" i="31"/>
  <c r="G47" i="31" s="1"/>
  <c r="AM110" i="31"/>
  <c r="AM47" i="31" s="1"/>
  <c r="K111" i="31"/>
  <c r="O112" i="31"/>
  <c r="S113" i="31"/>
  <c r="P106" i="31"/>
  <c r="AF110" i="31"/>
  <c r="AF47" i="31" s="1"/>
  <c r="AJ111" i="31"/>
  <c r="AN113" i="31"/>
  <c r="X107" i="31"/>
  <c r="BA111" i="31"/>
  <c r="AB105" i="31"/>
  <c r="T110" i="31"/>
  <c r="T47" i="31" s="1"/>
  <c r="X111" i="31"/>
  <c r="AF113" i="31"/>
  <c r="AW108" i="31"/>
  <c r="AS110" i="31"/>
  <c r="AS47" i="31" s="1"/>
  <c r="U112" i="31"/>
  <c r="H108" i="31"/>
  <c r="H113" i="31"/>
  <c r="BA110" i="31"/>
  <c r="BA47" i="31" s="1"/>
  <c r="AF108" i="31"/>
  <c r="P113" i="31"/>
  <c r="BI110" i="31"/>
  <c r="BI47" i="31" s="1"/>
  <c r="BH113" i="31"/>
  <c r="AF111" i="31"/>
  <c r="E109" i="31"/>
  <c r="AC112" i="31"/>
  <c r="BL105" i="31"/>
  <c r="AG111" i="31"/>
  <c r="BI112" i="31"/>
  <c r="AS104" i="31"/>
  <c r="AW105" i="31"/>
  <c r="BA106" i="31"/>
  <c r="BE107" i="31"/>
  <c r="AP104" i="31"/>
  <c r="AT105" i="31"/>
  <c r="AX106" i="31"/>
  <c r="BB107" i="31"/>
  <c r="BF108" i="31"/>
  <c r="BC104" i="31"/>
  <c r="BG105" i="31"/>
  <c r="BK106" i="31"/>
  <c r="G108" i="31"/>
  <c r="K109" i="31"/>
  <c r="H106" i="31"/>
  <c r="T109" i="31"/>
  <c r="AH111" i="31"/>
  <c r="AL112" i="31"/>
  <c r="AZ104" i="31"/>
  <c r="AS108" i="31"/>
  <c r="AG104" i="31"/>
  <c r="AK105" i="31"/>
  <c r="AO106" i="31"/>
  <c r="AS107" i="31"/>
  <c r="AD104" i="31"/>
  <c r="AH105" i="31"/>
  <c r="AL106" i="31"/>
  <c r="AP107" i="31"/>
  <c r="AP51" i="31" s="1"/>
  <c r="AP92" i="31" s="1"/>
  <c r="AT108" i="31"/>
  <c r="AQ104" i="31"/>
  <c r="AU105" i="31"/>
  <c r="AY106" i="31"/>
  <c r="BC107" i="31"/>
  <c r="BG108" i="31"/>
  <c r="T105" i="31"/>
  <c r="BH108" i="31"/>
  <c r="R110" i="31"/>
  <c r="R47" i="31" s="1"/>
  <c r="AX110" i="31"/>
  <c r="AX47" i="31" s="1"/>
  <c r="AL111" i="31"/>
  <c r="AP112" i="31"/>
  <c r="H105" i="31"/>
  <c r="H46" i="31" s="1"/>
  <c r="BA108" i="31"/>
  <c r="AO105" i="31"/>
  <c r="AW107" i="31"/>
  <c r="AL105" i="31"/>
  <c r="AL46" i="31" s="1"/>
  <c r="AT107" i="31"/>
  <c r="AU104" i="31"/>
  <c r="BC106" i="31"/>
  <c r="BK108" i="31"/>
  <c r="H109" i="31"/>
  <c r="BB110" i="31"/>
  <c r="BB47" i="31" s="1"/>
  <c r="AD112" i="31"/>
  <c r="AC108" i="31"/>
  <c r="AE111" i="31"/>
  <c r="AI112" i="31"/>
  <c r="AM113" i="31"/>
  <c r="AN108" i="31"/>
  <c r="AN110" i="31"/>
  <c r="AN47" i="31" s="1"/>
  <c r="P112" i="31"/>
  <c r="M113" i="31"/>
  <c r="M109" i="31"/>
  <c r="BE110" i="31"/>
  <c r="BE47" i="31" s="1"/>
  <c r="AG112" i="31"/>
  <c r="BJ113" i="31"/>
  <c r="M105" i="31"/>
  <c r="U107" i="31"/>
  <c r="J105" i="31"/>
  <c r="R107" i="31"/>
  <c r="S104" i="31"/>
  <c r="AA106" i="31"/>
  <c r="AI108" i="31"/>
  <c r="BH107" i="31"/>
  <c r="BH51" i="31" s="1"/>
  <c r="BH92" i="31" s="1"/>
  <c r="BF110" i="31"/>
  <c r="BF47" i="31" s="1"/>
  <c r="F113" i="31"/>
  <c r="AF109" i="31"/>
  <c r="AE110" i="31"/>
  <c r="AE47" i="31" s="1"/>
  <c r="BK110" i="31"/>
  <c r="BK47" i="31" s="1"/>
  <c r="AY111" i="31"/>
  <c r="BC112" i="31"/>
  <c r="BG113" i="31"/>
  <c r="AR109" i="31"/>
  <c r="BD112" i="31"/>
  <c r="L104" i="31"/>
  <c r="BI109" i="31"/>
  <c r="AK111" i="31"/>
  <c r="X104" i="31"/>
  <c r="Y105" i="31"/>
  <c r="AG107" i="31"/>
  <c r="AG51" i="31" s="1"/>
  <c r="AG92" i="31" s="1"/>
  <c r="V105" i="31"/>
  <c r="AD107" i="31"/>
  <c r="AE104" i="31"/>
  <c r="AM106" i="31"/>
  <c r="AU108" i="31"/>
  <c r="AJ108" i="31"/>
  <c r="AL110" i="31"/>
  <c r="AL47" i="31" s="1"/>
  <c r="N112" i="31"/>
  <c r="AF107" i="31"/>
  <c r="AF51" i="31" s="1"/>
  <c r="AF92" i="31" s="1"/>
  <c r="S110" i="31"/>
  <c r="S47" i="31" s="1"/>
  <c r="AY110" i="31"/>
  <c r="AY47" i="31" s="1"/>
  <c r="AM111" i="31"/>
  <c r="AQ112" i="31"/>
  <c r="AU113" i="31"/>
  <c r="L109" i="31"/>
  <c r="BD110" i="31"/>
  <c r="BD47" i="31" s="1"/>
  <c r="AF112" i="31"/>
  <c r="AO113" i="31"/>
  <c r="AH109" i="31"/>
  <c r="AW112" i="31"/>
  <c r="AV108" i="31"/>
  <c r="AR110" i="31"/>
  <c r="AR47" i="31" s="1"/>
  <c r="T112" i="31"/>
  <c r="AB104" i="31"/>
  <c r="E110" i="31"/>
  <c r="E47" i="31" s="1"/>
  <c r="I111" i="31"/>
  <c r="Q113" i="31"/>
  <c r="AC105" i="31"/>
  <c r="AK107" i="31"/>
  <c r="Z105" i="31"/>
  <c r="AH107" i="31"/>
  <c r="AI104" i="31"/>
  <c r="AQ106" i="31"/>
  <c r="AY108" i="31"/>
  <c r="AR108" i="31"/>
  <c r="AP110" i="31"/>
  <c r="AP47" i="31" s="1"/>
  <c r="R112" i="31"/>
  <c r="AV107" i="31"/>
  <c r="AA111" i="31"/>
  <c r="AE112" i="31"/>
  <c r="AI113" i="31"/>
  <c r="X108" i="31"/>
  <c r="H112" i="31"/>
  <c r="BI113" i="31"/>
  <c r="BE108" i="31"/>
  <c r="AW110" i="31"/>
  <c r="AW47" i="31" s="1"/>
  <c r="Y112" i="31"/>
  <c r="AJ107" i="31"/>
  <c r="AJ51" i="31" s="1"/>
  <c r="AJ92" i="31" s="1"/>
  <c r="BD111" i="31"/>
  <c r="BA113" i="31"/>
  <c r="AN109" i="31"/>
  <c r="BA112" i="31"/>
  <c r="BH110" i="31"/>
  <c r="BH47" i="31" s="1"/>
  <c r="BF113" i="31"/>
  <c r="BL109" i="31"/>
  <c r="BL113" i="31"/>
  <c r="Q109" i="31"/>
  <c r="AJ112" i="31"/>
  <c r="U110" i="31"/>
  <c r="U47" i="31" s="1"/>
  <c r="AG113" i="31"/>
  <c r="AN111" i="31"/>
  <c r="R109" i="31"/>
  <c r="AK112" i="31"/>
  <c r="BI104" i="31"/>
  <c r="E106" i="31"/>
  <c r="I107" i="31"/>
  <c r="M108" i="31"/>
  <c r="BF104" i="31"/>
  <c r="BJ105" i="31"/>
  <c r="F107" i="31"/>
  <c r="J108" i="31"/>
  <c r="G104" i="31"/>
  <c r="K105" i="31"/>
  <c r="K46" i="31" s="1"/>
  <c r="O106" i="31"/>
  <c r="S107" i="31"/>
  <c r="W108" i="31"/>
  <c r="AA109" i="31"/>
  <c r="L107" i="31"/>
  <c r="L51" i="31" s="1"/>
  <c r="L92" i="31" s="1"/>
  <c r="AO109" i="31"/>
  <c r="AD110" i="31"/>
  <c r="AD47" i="31" s="1"/>
  <c r="BJ110" i="31"/>
  <c r="BJ47" i="31" s="1"/>
  <c r="AX111" i="31"/>
  <c r="BB112" i="31"/>
  <c r="BD105" i="31"/>
  <c r="P109" i="31"/>
  <c r="AW104" i="31"/>
  <c r="BA105" i="31"/>
  <c r="BE106" i="31"/>
  <c r="BI107" i="31"/>
  <c r="AT104" i="31"/>
  <c r="AX105" i="31"/>
  <c r="BB106" i="31"/>
  <c r="BF107" i="31"/>
  <c r="BF51" i="31" s="1"/>
  <c r="BF92" i="31" s="1"/>
  <c r="BJ108" i="31"/>
  <c r="BG104" i="31"/>
  <c r="BK105" i="31"/>
  <c r="G107" i="31"/>
  <c r="K108" i="31"/>
  <c r="O109" i="31"/>
  <c r="X106" i="31"/>
  <c r="Y109" i="31"/>
  <c r="BB111" i="31"/>
  <c r="BF112" i="31"/>
  <c r="L106" i="31"/>
  <c r="U109" i="31"/>
  <c r="M106" i="31"/>
  <c r="U108" i="31"/>
  <c r="J106" i="31"/>
  <c r="R108" i="31"/>
  <c r="S105" i="31"/>
  <c r="AA107" i="31"/>
  <c r="AI109" i="31"/>
  <c r="AX109" i="31"/>
  <c r="BJ112" i="31"/>
  <c r="Z109" i="31"/>
  <c r="AA110" i="31"/>
  <c r="AA47" i="31" s="1"/>
  <c r="BG110" i="31"/>
  <c r="BG47" i="31" s="1"/>
  <c r="AU111" i="31"/>
  <c r="AY112" i="31"/>
  <c r="BC113" i="31"/>
  <c r="AG109" i="31"/>
  <c r="AV112" i="31"/>
  <c r="BE113" i="31"/>
  <c r="BA109" i="31"/>
  <c r="E113" i="31"/>
  <c r="D30" i="31" s="1"/>
  <c r="D92" i="31" s="1"/>
  <c r="BH105" i="31"/>
  <c r="BH46" i="31" s="1"/>
  <c r="BH90" i="31" s="1"/>
  <c r="AS105" i="31"/>
  <c r="BA107" i="31"/>
  <c r="AP105" i="31"/>
  <c r="AP46" i="31" s="1"/>
  <c r="AX107" i="31"/>
  <c r="AX51" i="31" s="1"/>
  <c r="AX92" i="31" s="1"/>
  <c r="AY104" i="31"/>
  <c r="BG106" i="31"/>
  <c r="G109" i="31"/>
  <c r="N109" i="31"/>
  <c r="AD111" i="31"/>
  <c r="AJ104" i="31"/>
  <c r="BG109" i="31"/>
  <c r="G112" i="31"/>
  <c r="K113" i="31"/>
  <c r="L105" i="31"/>
  <c r="P110" i="31"/>
  <c r="P47" i="31" s="1"/>
  <c r="T111" i="31"/>
  <c r="AB113" i="31"/>
  <c r="T106" i="31"/>
  <c r="AG110" i="31"/>
  <c r="AG47" i="31" s="1"/>
  <c r="I112" i="31"/>
  <c r="AF106" i="31"/>
  <c r="BE105" i="31"/>
  <c r="BE46" i="31" s="1"/>
  <c r="BE90" i="31" s="1"/>
  <c r="E108" i="31"/>
  <c r="BB105" i="31"/>
  <c r="BJ107" i="31"/>
  <c r="BK104" i="31"/>
  <c r="K107" i="31"/>
  <c r="K51" i="31" s="1"/>
  <c r="K92" i="31" s="1"/>
  <c r="S109" i="31"/>
  <c r="AD109" i="31"/>
  <c r="AT112" i="31"/>
  <c r="BI108" i="31"/>
  <c r="BC111" i="31"/>
  <c r="BG112" i="31"/>
  <c r="BK113" i="31"/>
  <c r="AZ109" i="31"/>
  <c r="BL112" i="31"/>
  <c r="AR104" i="31"/>
  <c r="I110" i="31"/>
  <c r="I47" i="31" s="1"/>
  <c r="M111" i="31"/>
  <c r="AJ113" i="31"/>
  <c r="AL109" i="31"/>
  <c r="AZ112" i="31"/>
  <c r="AJ106" i="31"/>
  <c r="AO111" i="31"/>
  <c r="AR113" i="31"/>
  <c r="BI105" i="31"/>
  <c r="I108" i="31"/>
  <c r="BF105" i="31"/>
  <c r="F108" i="31"/>
  <c r="G105" i="31"/>
  <c r="O107" i="31"/>
  <c r="W109" i="31"/>
  <c r="AJ109" i="31"/>
  <c r="AX112" i="31"/>
  <c r="I109" i="31"/>
  <c r="W110" i="31"/>
  <c r="W47" i="31" s="1"/>
  <c r="BC110" i="31"/>
  <c r="BC47" i="31" s="1"/>
  <c r="AQ111" i="31"/>
  <c r="AU112" i="31"/>
  <c r="AY113" i="31"/>
  <c r="V109" i="31"/>
  <c r="BL110" i="31"/>
  <c r="BL47" i="31" s="1"/>
  <c r="AN112" i="31"/>
  <c r="AT113" i="31"/>
  <c r="AS109" i="31"/>
  <c r="BE112" i="31"/>
  <c r="BL108" i="31"/>
  <c r="AZ110" i="31"/>
  <c r="AZ47" i="31" s="1"/>
  <c r="AB112" i="31"/>
  <c r="BH104" i="31"/>
  <c r="M110" i="31"/>
  <c r="M47" i="31" s="1"/>
  <c r="Q111" i="31"/>
  <c r="Y113" i="31"/>
  <c r="AN107" i="31"/>
  <c r="AN51" i="31" s="1"/>
  <c r="AN92" i="31" s="1"/>
  <c r="BE111" i="31"/>
  <c r="H111" i="31"/>
  <c r="L108" i="31"/>
  <c r="E112" i="31"/>
  <c r="AB110" i="31"/>
  <c r="AB47" i="31" s="1"/>
  <c r="AK113" i="31"/>
  <c r="AB109" i="31"/>
  <c r="AR112" i="31"/>
  <c r="AC110" i="31"/>
  <c r="AC47" i="31" s="1"/>
  <c r="AL113" i="31"/>
  <c r="M104" i="31"/>
  <c r="Q105" i="31"/>
  <c r="U106" i="31"/>
  <c r="Y107" i="31"/>
  <c r="J104" i="31"/>
  <c r="N105" i="31"/>
  <c r="R106" i="31"/>
  <c r="V107" i="31"/>
  <c r="Z108" i="31"/>
  <c r="W104" i="31"/>
  <c r="AA105" i="31"/>
  <c r="AE106" i="31"/>
  <c r="AI107" i="31"/>
  <c r="AM108" i="31"/>
  <c r="AQ109" i="31"/>
  <c r="P108" i="31"/>
  <c r="BF109" i="31"/>
  <c r="F112" i="31"/>
  <c r="J113" i="31"/>
  <c r="BH106" i="31"/>
  <c r="AK109" i="31"/>
  <c r="E105" i="31"/>
  <c r="I106" i="31"/>
  <c r="M107" i="31"/>
  <c r="Q108" i="31"/>
  <c r="BJ104" i="31"/>
  <c r="F106" i="31"/>
  <c r="J107" i="31"/>
  <c r="N108" i="31"/>
  <c r="K104" i="31"/>
  <c r="O105" i="31"/>
  <c r="S106" i="31"/>
  <c r="W107" i="31"/>
  <c r="W51" i="31" s="1"/>
  <c r="W92" i="31" s="1"/>
  <c r="AA108" i="31"/>
  <c r="AE109" i="31"/>
  <c r="AB107" i="31"/>
  <c r="AT109" i="31"/>
  <c r="AH110" i="31"/>
  <c r="AH47" i="31" s="1"/>
  <c r="F111" i="31"/>
  <c r="J112" i="31"/>
  <c r="N113" i="31"/>
  <c r="P107" i="31"/>
  <c r="AP109" i="31"/>
  <c r="AK104" i="31"/>
  <c r="AS106" i="31"/>
  <c r="AH104" i="31"/>
  <c r="AP106" i="31"/>
  <c r="AX108" i="31"/>
  <c r="AY105" i="31"/>
  <c r="AY46" i="31" s="1"/>
  <c r="AY90" i="31" s="1"/>
  <c r="BG107" i="31"/>
  <c r="AJ105" i="31"/>
  <c r="V110" i="31"/>
  <c r="V47" i="31" s="1"/>
  <c r="Z111" i="31"/>
  <c r="T104" i="31"/>
  <c r="BC109" i="31"/>
  <c r="BK111" i="31"/>
  <c r="G113" i="31"/>
  <c r="AN104" i="31"/>
  <c r="H110" i="31"/>
  <c r="H47" i="31" s="1"/>
  <c r="L111" i="31"/>
  <c r="T113" i="31"/>
  <c r="AV105" i="31"/>
  <c r="Y110" i="31"/>
  <c r="Y47" i="31" s="1"/>
  <c r="AC111" i="31"/>
  <c r="I104" i="31"/>
  <c r="Q106" i="31"/>
  <c r="F104" i="31"/>
  <c r="N106" i="31"/>
  <c r="V108" i="31"/>
  <c r="W105" i="31"/>
  <c r="W46" i="31" s="1"/>
  <c r="AE107" i="31"/>
  <c r="AM109" i="31"/>
  <c r="BB109" i="31"/>
  <c r="BJ111" i="31"/>
  <c r="AR106" i="31"/>
  <c r="O110" i="31"/>
  <c r="O47" i="31" s="1"/>
  <c r="AU110" i="31"/>
  <c r="AU47" i="31" s="1"/>
  <c r="S111" i="31"/>
  <c r="W112" i="31"/>
  <c r="AA113" i="31"/>
  <c r="T107" i="31"/>
  <c r="AZ111" i="31"/>
  <c r="AX113" i="31"/>
  <c r="Y108" i="31"/>
  <c r="AO112" i="31"/>
  <c r="U104" i="31"/>
  <c r="AC106" i="31"/>
  <c r="R104" i="31"/>
  <c r="Z106" i="31"/>
  <c r="AH108" i="31"/>
  <c r="AI105" i="31"/>
  <c r="AQ107" i="31"/>
  <c r="AF104" i="31"/>
  <c r="F110" i="31"/>
  <c r="F47" i="31" s="1"/>
  <c r="J111" i="31"/>
  <c r="R113" i="31"/>
  <c r="AU109" i="31"/>
  <c r="AI110" i="31"/>
  <c r="AI47" i="31" s="1"/>
  <c r="G111" i="31"/>
  <c r="K112" i="31"/>
  <c r="O113" i="31"/>
  <c r="AR105" i="31"/>
  <c r="X110" i="31"/>
  <c r="X47" i="31" s="1"/>
  <c r="AB111" i="31"/>
  <c r="AH113" i="31"/>
  <c r="AZ106" i="31"/>
  <c r="AS111" i="31"/>
  <c r="BD104" i="31"/>
  <c r="L110" i="31"/>
  <c r="L47" i="31" s="1"/>
  <c r="P111" i="31"/>
  <c r="X113" i="31"/>
  <c r="AG108" i="31"/>
  <c r="AK110" i="31"/>
  <c r="AK47" i="31" s="1"/>
  <c r="M112" i="31"/>
  <c r="Y104" i="31"/>
  <c r="AG106" i="31"/>
  <c r="V104" i="31"/>
  <c r="AD106" i="31"/>
  <c r="AL108" i="31"/>
  <c r="AM105" i="31"/>
  <c r="AU107" i="31"/>
  <c r="AV104" i="31"/>
  <c r="J110" i="31"/>
  <c r="J47" i="31" s="1"/>
  <c r="N111" i="31"/>
  <c r="V113" i="31"/>
  <c r="AY109" i="31"/>
  <c r="BG111" i="31"/>
  <c r="BK112" i="31"/>
  <c r="H104" i="31"/>
  <c r="BH109" i="31"/>
  <c r="L113" i="31"/>
  <c r="P105" i="31"/>
  <c r="Q110" i="31"/>
  <c r="Q47" i="31" s="1"/>
  <c r="U111" i="31"/>
  <c r="AZ113" i="31"/>
  <c r="AV109" i="31"/>
  <c r="BH112" i="31"/>
  <c r="H107" i="31"/>
  <c r="AW111" i="31"/>
  <c r="AW113" i="31"/>
  <c r="BL111" i="31"/>
  <c r="AW109" i="31"/>
  <c r="BB113" i="31"/>
  <c r="L112" i="31"/>
  <c r="BE109" i="31"/>
  <c r="I113" i="31"/>
  <c r="AF105" i="31"/>
  <c r="Y111" i="31"/>
  <c r="AJ110" i="31"/>
  <c r="AJ47" i="31" s="1"/>
  <c r="AP113" i="31"/>
  <c r="BD109" i="31"/>
  <c r="AS56" i="28"/>
  <c r="AS54" i="28" s="1"/>
  <c r="AS55" i="28" s="1"/>
  <c r="AT53" i="28" s="1"/>
  <c r="AP56" i="1"/>
  <c r="AP54" i="1" s="1"/>
  <c r="AP55" i="1" s="1"/>
  <c r="AQ53" i="1" s="1"/>
  <c r="AB88" i="1"/>
  <c r="AB91" i="1" s="1"/>
  <c r="AS106" i="28"/>
  <c r="AS104" i="28" s="1"/>
  <c r="AS105" i="28" s="1"/>
  <c r="AT103" i="28" s="1"/>
  <c r="AT48" i="36"/>
  <c r="AS127" i="36"/>
  <c r="K59" i="33"/>
  <c r="K55" i="33" s="1"/>
  <c r="K60" i="33" s="1"/>
  <c r="AR61" i="35"/>
  <c r="AR122" i="35"/>
  <c r="AR124" i="35" s="1"/>
  <c r="AR138" i="35"/>
  <c r="AR49" i="35"/>
  <c r="AS45" i="31"/>
  <c r="AR89" i="31"/>
  <c r="AS89" i="35"/>
  <c r="AT45" i="35"/>
  <c r="AS48" i="35"/>
  <c r="D72" i="36"/>
  <c r="D86" i="36" s="1"/>
  <c r="M63" i="34"/>
  <c r="M60" i="34"/>
  <c r="M54" i="34"/>
  <c r="N51" i="34" s="1"/>
  <c r="H40" i="5"/>
  <c r="H38" i="5" s="1"/>
  <c r="H44" i="5" s="1"/>
  <c r="K27" i="4"/>
  <c r="L25" i="4" s="1"/>
  <c r="AT39" i="26" l="1"/>
  <c r="AS42" i="26"/>
  <c r="AS83" i="26"/>
  <c r="AR43" i="26"/>
  <c r="AR109" i="26"/>
  <c r="AR111" i="26" s="1"/>
  <c r="AR126" i="26"/>
  <c r="AR55" i="26"/>
  <c r="AT182" i="36"/>
  <c r="Q112" i="37"/>
  <c r="Q114" i="37" s="1"/>
  <c r="P166" i="37"/>
  <c r="BF123" i="37"/>
  <c r="BF48" i="37"/>
  <c r="BG45" i="37"/>
  <c r="BD180" i="37"/>
  <c r="BE49" i="37"/>
  <c r="BE170" i="37"/>
  <c r="BE172" i="37" s="1"/>
  <c r="AS40" i="18"/>
  <c r="AS87" i="18"/>
  <c r="AS52" i="18"/>
  <c r="AS104" i="18"/>
  <c r="AU37" i="18"/>
  <c r="AT39" i="18"/>
  <c r="AT89" i="18"/>
  <c r="AS70" i="8"/>
  <c r="AS34" i="8"/>
  <c r="AU31" i="8"/>
  <c r="AT33" i="8"/>
  <c r="K57" i="33"/>
  <c r="L54" i="33" s="1"/>
  <c r="L59" i="33" s="1"/>
  <c r="L55" i="33" s="1"/>
  <c r="L60" i="33" s="1"/>
  <c r="AC12" i="15"/>
  <c r="AC28" i="15" s="1"/>
  <c r="AC14" i="15"/>
  <c r="AT29" i="30"/>
  <c r="AU27" i="30"/>
  <c r="H39" i="5"/>
  <c r="I37" i="5" s="1"/>
  <c r="AS66" i="30"/>
  <c r="AS30" i="30"/>
  <c r="AT106" i="28"/>
  <c r="AT104" i="28" s="1"/>
  <c r="AT105" i="28" s="1"/>
  <c r="AU103" i="28" s="1"/>
  <c r="AT56" i="28"/>
  <c r="AT54" i="28" s="1"/>
  <c r="AT55" i="28" s="1"/>
  <c r="AU53" i="28" s="1"/>
  <c r="AQ56" i="1"/>
  <c r="AQ54" i="1" s="1"/>
  <c r="AQ55" i="1" s="1"/>
  <c r="AR53" i="1" s="1"/>
  <c r="AF46" i="31"/>
  <c r="AI46" i="31"/>
  <c r="AE51" i="31"/>
  <c r="AE92" i="31" s="1"/>
  <c r="AJ46" i="31"/>
  <c r="O46" i="31"/>
  <c r="AA46" i="31"/>
  <c r="O51" i="31"/>
  <c r="O92" i="31" s="1"/>
  <c r="AP90" i="31"/>
  <c r="AP48" i="31"/>
  <c r="AP122" i="31" s="1"/>
  <c r="J93" i="31"/>
  <c r="Z93" i="31"/>
  <c r="AP93" i="31"/>
  <c r="BF93" i="31"/>
  <c r="AK93" i="31"/>
  <c r="K93" i="31"/>
  <c r="AA93" i="31"/>
  <c r="AQ93" i="31"/>
  <c r="BG93" i="31"/>
  <c r="AC93" i="31"/>
  <c r="H93" i="31"/>
  <c r="X93" i="31"/>
  <c r="AN93" i="31"/>
  <c r="BD93" i="31"/>
  <c r="AG93" i="31"/>
  <c r="N93" i="31"/>
  <c r="AD93" i="31"/>
  <c r="AT93" i="31"/>
  <c r="BJ93" i="31"/>
  <c r="BA93" i="31"/>
  <c r="O93" i="31"/>
  <c r="AE93" i="31"/>
  <c r="AU93" i="31"/>
  <c r="BK93" i="31"/>
  <c r="AO93" i="31"/>
  <c r="L93" i="31"/>
  <c r="AB93" i="31"/>
  <c r="AR93" i="31"/>
  <c r="BH93" i="31"/>
  <c r="AS93" i="31"/>
  <c r="R93" i="31"/>
  <c r="AH93" i="31"/>
  <c r="AX93" i="31"/>
  <c r="M93" i="31"/>
  <c r="E93" i="31"/>
  <c r="S93" i="31"/>
  <c r="AI93" i="31"/>
  <c r="AY93" i="31"/>
  <c r="I93" i="31"/>
  <c r="AW93" i="31"/>
  <c r="P93" i="31"/>
  <c r="AF93" i="31"/>
  <c r="AV93" i="31"/>
  <c r="BL93" i="31"/>
  <c r="BE93" i="31"/>
  <c r="F93" i="31"/>
  <c r="V93" i="31"/>
  <c r="AL93" i="31"/>
  <c r="BB93" i="31"/>
  <c r="Y93" i="31"/>
  <c r="G93" i="31"/>
  <c r="W93" i="31"/>
  <c r="AM93" i="31"/>
  <c r="BC93" i="31"/>
  <c r="Q93" i="31"/>
  <c r="BI93" i="31"/>
  <c r="T93" i="31"/>
  <c r="AJ93" i="31"/>
  <c r="AZ93" i="31"/>
  <c r="U93" i="31"/>
  <c r="G51" i="31"/>
  <c r="G92" i="31" s="1"/>
  <c r="BI51" i="31"/>
  <c r="BI92" i="31" s="1"/>
  <c r="K90" i="31"/>
  <c r="K48" i="31"/>
  <c r="K122" i="31" s="1"/>
  <c r="BJ46" i="31"/>
  <c r="BJ90" i="31" s="1"/>
  <c r="AK51" i="31"/>
  <c r="AK92" i="31" s="1"/>
  <c r="V46" i="31"/>
  <c r="M46" i="31"/>
  <c r="AL90" i="31"/>
  <c r="AL48" i="31"/>
  <c r="AL122" i="31" s="1"/>
  <c r="H90" i="31"/>
  <c r="H48" i="31"/>
  <c r="H122" i="31" s="1"/>
  <c r="BC51" i="31"/>
  <c r="BC92" i="31" s="1"/>
  <c r="AB46" i="31"/>
  <c r="AN46" i="31"/>
  <c r="D68" i="31"/>
  <c r="D58" i="31" s="1"/>
  <c r="E51" i="31"/>
  <c r="E92" i="31" s="1"/>
  <c r="AZ51" i="31"/>
  <c r="AZ92" i="31" s="1"/>
  <c r="AZ46" i="31"/>
  <c r="AZ90" i="31" s="1"/>
  <c r="N51" i="31"/>
  <c r="N92" i="31" s="1"/>
  <c r="D141" i="31"/>
  <c r="D31" i="31"/>
  <c r="R46" i="31"/>
  <c r="U46" i="31"/>
  <c r="N56" i="34"/>
  <c r="N52" i="34" s="1"/>
  <c r="N57" i="34" s="1"/>
  <c r="AU48" i="36"/>
  <c r="AT127" i="36"/>
  <c r="H51" i="31"/>
  <c r="H92" i="31" s="1"/>
  <c r="AR46" i="31"/>
  <c r="W90" i="31"/>
  <c r="W48" i="31"/>
  <c r="W122" i="31" s="1"/>
  <c r="AV46" i="31"/>
  <c r="AV90" i="31" s="1"/>
  <c r="BG51" i="31"/>
  <c r="BG92" i="31" s="1"/>
  <c r="P51" i="31"/>
  <c r="P92" i="31" s="1"/>
  <c r="E46" i="31"/>
  <c r="N46" i="31"/>
  <c r="Q46" i="31"/>
  <c r="G46" i="31"/>
  <c r="BI46" i="31"/>
  <c r="BI90" i="31" s="1"/>
  <c r="L46" i="31"/>
  <c r="BA51" i="31"/>
  <c r="BA92" i="31" s="1"/>
  <c r="BK46" i="31"/>
  <c r="BK90" i="31" s="1"/>
  <c r="BD46" i="31"/>
  <c r="BD90" i="31" s="1"/>
  <c r="AC46" i="31"/>
  <c r="R51" i="31"/>
  <c r="R92" i="31" s="1"/>
  <c r="AW51" i="31"/>
  <c r="AW92" i="31" s="1"/>
  <c r="AS51" i="31"/>
  <c r="AS92" i="31" s="1"/>
  <c r="BB51" i="31"/>
  <c r="BB92" i="31" s="1"/>
  <c r="BE51" i="31"/>
  <c r="BE92" i="31" s="1"/>
  <c r="X90" i="31"/>
  <c r="X48" i="31"/>
  <c r="X122" i="31" s="1"/>
  <c r="BK51" i="31"/>
  <c r="BK92" i="31" s="1"/>
  <c r="BD51" i="31"/>
  <c r="BD92" i="31" s="1"/>
  <c r="F46" i="31"/>
  <c r="AQ46" i="31"/>
  <c r="AT48" i="35"/>
  <c r="AT89" i="35"/>
  <c r="AU45" i="35"/>
  <c r="L28" i="4"/>
  <c r="L26" i="4" s="1"/>
  <c r="L29" i="4" s="1"/>
  <c r="L32" i="4" s="1"/>
  <c r="H47" i="5"/>
  <c r="H45" i="5"/>
  <c r="M25" i="3"/>
  <c r="N23" i="3" s="1"/>
  <c r="AS89" i="31"/>
  <c r="AT45" i="31"/>
  <c r="AB92" i="1"/>
  <c r="AB95" i="1" s="1"/>
  <c r="AU51" i="31"/>
  <c r="AU92" i="31" s="1"/>
  <c r="T51" i="31"/>
  <c r="T92" i="31" s="1"/>
  <c r="AI51" i="31"/>
  <c r="AI92" i="31" s="1"/>
  <c r="BJ51" i="31"/>
  <c r="BJ92" i="31" s="1"/>
  <c r="AS46" i="31"/>
  <c r="AS90" i="31" s="1"/>
  <c r="AA51" i="31"/>
  <c r="AA92" i="31" s="1"/>
  <c r="AX46" i="31"/>
  <c r="AX90" i="31" s="1"/>
  <c r="BA46" i="31"/>
  <c r="BA90" i="31" s="1"/>
  <c r="S51" i="31"/>
  <c r="S92" i="31" s="1"/>
  <c r="AH51" i="31"/>
  <c r="AH92" i="31" s="1"/>
  <c r="Y46" i="31"/>
  <c r="J46" i="31"/>
  <c r="AO46" i="31"/>
  <c r="T46" i="31"/>
  <c r="AU46" i="31"/>
  <c r="AU90" i="31" s="1"/>
  <c r="BG46" i="31"/>
  <c r="BG90" i="31" s="1"/>
  <c r="X51" i="31"/>
  <c r="X92" i="31" s="1"/>
  <c r="BC46" i="31"/>
  <c r="BC90" i="31" s="1"/>
  <c r="Q51" i="31"/>
  <c r="Q92" i="31" s="1"/>
  <c r="AC51" i="31"/>
  <c r="AC92" i="31" s="1"/>
  <c r="AD46" i="31"/>
  <c r="AG46" i="31"/>
  <c r="I40" i="5"/>
  <c r="I38" i="5" s="1"/>
  <c r="I44" i="5" s="1"/>
  <c r="AS49" i="35"/>
  <c r="AS61" i="35"/>
  <c r="AS122" i="35"/>
  <c r="AS124" i="35" s="1"/>
  <c r="AS138" i="35"/>
  <c r="K64" i="33"/>
  <c r="K67" i="33"/>
  <c r="P46" i="31"/>
  <c r="AM46" i="31"/>
  <c r="AQ51" i="31"/>
  <c r="AQ92" i="31" s="1"/>
  <c r="AB51" i="31"/>
  <c r="AB92" i="31" s="1"/>
  <c r="J51" i="31"/>
  <c r="J92" i="31" s="1"/>
  <c r="M51" i="31"/>
  <c r="M92" i="31" s="1"/>
  <c r="V51" i="31"/>
  <c r="V92" i="31" s="1"/>
  <c r="Y51" i="31"/>
  <c r="Y92" i="31" s="1"/>
  <c r="BF46" i="31"/>
  <c r="BF90" i="31" s="1"/>
  <c r="BB46" i="31"/>
  <c r="BB90" i="31" s="1"/>
  <c r="S46" i="31"/>
  <c r="F51" i="31"/>
  <c r="F92" i="31" s="1"/>
  <c r="I51" i="31"/>
  <c r="I92" i="31" s="1"/>
  <c r="AV51" i="31"/>
  <c r="AV92" i="31" s="1"/>
  <c r="Z46" i="31"/>
  <c r="AD51" i="31"/>
  <c r="AD92" i="31" s="1"/>
  <c r="U51" i="31"/>
  <c r="U92" i="31" s="1"/>
  <c r="AT51" i="31"/>
  <c r="AT92" i="31" s="1"/>
  <c r="AH46" i="31"/>
  <c r="AK46" i="31"/>
  <c r="AT46" i="31"/>
  <c r="AT90" i="31" s="1"/>
  <c r="AW46" i="31"/>
  <c r="AW90" i="31" s="1"/>
  <c r="BL46" i="31"/>
  <c r="BL90" i="31" s="1"/>
  <c r="I46" i="31"/>
  <c r="AE46" i="31"/>
  <c r="AY51" i="31"/>
  <c r="AY92" i="31" s="1"/>
  <c r="AS109" i="26" l="1"/>
  <c r="AS111" i="26" s="1"/>
  <c r="AS126" i="26"/>
  <c r="AS43" i="26"/>
  <c r="AS55" i="26"/>
  <c r="AT42" i="26"/>
  <c r="AU39" i="26"/>
  <c r="AT83" i="26"/>
  <c r="AU182" i="36"/>
  <c r="BF49" i="37"/>
  <c r="BF170" i="37"/>
  <c r="BF172" i="37" s="1"/>
  <c r="BE180" i="37"/>
  <c r="BG123" i="37"/>
  <c r="BH45" i="37"/>
  <c r="BG48" i="37"/>
  <c r="R112" i="37"/>
  <c r="R114" i="37" s="1"/>
  <c r="Q166" i="37"/>
  <c r="AT87" i="18"/>
  <c r="AT104" i="18"/>
  <c r="AT40" i="18"/>
  <c r="AT52" i="18"/>
  <c r="AV37" i="18"/>
  <c r="AU39" i="18"/>
  <c r="AU89" i="18"/>
  <c r="AT34" i="8"/>
  <c r="AT70" i="8"/>
  <c r="AU33" i="8"/>
  <c r="AV31" i="8"/>
  <c r="AC13" i="15"/>
  <c r="AS48" i="31"/>
  <c r="L27" i="4"/>
  <c r="M25" i="4" s="1"/>
  <c r="AU29" i="30"/>
  <c r="AV27" i="30"/>
  <c r="AT66" i="30"/>
  <c r="AT30" i="30"/>
  <c r="S90" i="31"/>
  <c r="S48" i="31"/>
  <c r="S122" i="31" s="1"/>
  <c r="AD90" i="31"/>
  <c r="AD48" i="31"/>
  <c r="AD122" i="31" s="1"/>
  <c r="L64" i="33"/>
  <c r="L67" i="33"/>
  <c r="AU89" i="35"/>
  <c r="AV45" i="35"/>
  <c r="AU48" i="35"/>
  <c r="I90" i="31"/>
  <c r="I48" i="31"/>
  <c r="I122" i="31" s="1"/>
  <c r="AH90" i="31"/>
  <c r="AH48" i="31"/>
  <c r="AH122" i="31" s="1"/>
  <c r="P90" i="31"/>
  <c r="P48" i="31"/>
  <c r="P122" i="31" s="1"/>
  <c r="I39" i="5"/>
  <c r="J37" i="5" s="1"/>
  <c r="AO90" i="31"/>
  <c r="AO48" i="31"/>
  <c r="AO122" i="31" s="1"/>
  <c r="Y90" i="31"/>
  <c r="Y48" i="31"/>
  <c r="Y122" i="31" s="1"/>
  <c r="AT89" i="31"/>
  <c r="AT48" i="31"/>
  <c r="AT122" i="31" s="1"/>
  <c r="AU45" i="31"/>
  <c r="N26" i="3"/>
  <c r="N24" i="3" s="1"/>
  <c r="N27" i="3" s="1"/>
  <c r="N31" i="3" s="1"/>
  <c r="Q90" i="31"/>
  <c r="Q48" i="31"/>
  <c r="Q122" i="31" s="1"/>
  <c r="E90" i="31"/>
  <c r="E48" i="31"/>
  <c r="E122" i="31" s="1"/>
  <c r="W61" i="31"/>
  <c r="W49" i="31"/>
  <c r="W124" i="31"/>
  <c r="W133" i="31"/>
  <c r="AV48" i="36"/>
  <c r="AU127" i="36"/>
  <c r="AL61" i="31"/>
  <c r="AL124" i="31"/>
  <c r="AL133" i="31"/>
  <c r="AL49" i="31"/>
  <c r="K61" i="31"/>
  <c r="K49" i="31"/>
  <c r="K124" i="31"/>
  <c r="K133" i="31"/>
  <c r="I47" i="5"/>
  <c r="I45" i="5"/>
  <c r="AG90" i="31"/>
  <c r="AG48" i="31"/>
  <c r="AG122" i="31" s="1"/>
  <c r="AT61" i="35"/>
  <c r="AT49" i="35"/>
  <c r="AT122" i="35"/>
  <c r="AT124" i="35" s="1"/>
  <c r="AT138" i="35"/>
  <c r="AQ90" i="31"/>
  <c r="AQ48" i="31"/>
  <c r="AQ122" i="31" s="1"/>
  <c r="L90" i="31"/>
  <c r="L48" i="31"/>
  <c r="L122" i="31" s="1"/>
  <c r="R90" i="31"/>
  <c r="R48" i="31"/>
  <c r="R122" i="31" s="1"/>
  <c r="AN90" i="31"/>
  <c r="AN48" i="31"/>
  <c r="AN122" i="31" s="1"/>
  <c r="V90" i="31"/>
  <c r="V48" i="31"/>
  <c r="V122" i="31" s="1"/>
  <c r="AJ90" i="31"/>
  <c r="AJ48" i="31"/>
  <c r="AJ122" i="31" s="1"/>
  <c r="AF90" i="31"/>
  <c r="AF48" i="31"/>
  <c r="AF122" i="31" s="1"/>
  <c r="AU56" i="28"/>
  <c r="AU54" i="28" s="1"/>
  <c r="AU55" i="28" s="1"/>
  <c r="AV53" i="28" s="1"/>
  <c r="Z90" i="31"/>
  <c r="Z48" i="31"/>
  <c r="Z122" i="31" s="1"/>
  <c r="AE90" i="31"/>
  <c r="AE48" i="31"/>
  <c r="AE122" i="31" s="1"/>
  <c r="AK90" i="31"/>
  <c r="AK48" i="31"/>
  <c r="AK122" i="31" s="1"/>
  <c r="AM90" i="31"/>
  <c r="AM48" i="31"/>
  <c r="AM122" i="31" s="1"/>
  <c r="T90" i="31"/>
  <c r="T48" i="31"/>
  <c r="T122" i="31" s="1"/>
  <c r="J90" i="31"/>
  <c r="J48" i="31"/>
  <c r="J122" i="31" s="1"/>
  <c r="L57" i="33"/>
  <c r="M54" i="33" s="1"/>
  <c r="X133" i="31"/>
  <c r="X61" i="31"/>
  <c r="X49" i="31"/>
  <c r="X124" i="31"/>
  <c r="G90" i="31"/>
  <c r="G48" i="31"/>
  <c r="G122" i="31" s="1"/>
  <c r="N90" i="31"/>
  <c r="N48" i="31"/>
  <c r="N122" i="31" s="1"/>
  <c r="N54" i="34"/>
  <c r="O51" i="34" s="1"/>
  <c r="D34" i="31"/>
  <c r="D57" i="31" s="1"/>
  <c r="H49" i="31"/>
  <c r="H124" i="31"/>
  <c r="H133" i="31"/>
  <c r="H61" i="31"/>
  <c r="AP124" i="31"/>
  <c r="AP133" i="31"/>
  <c r="AP49" i="31"/>
  <c r="AP61" i="31"/>
  <c r="AA90" i="31"/>
  <c r="AA48" i="31"/>
  <c r="AA122" i="31" s="1"/>
  <c r="O90" i="31"/>
  <c r="O48" i="31"/>
  <c r="O122" i="31" s="1"/>
  <c r="M28" i="4"/>
  <c r="M26" i="4" s="1"/>
  <c r="M29" i="4" s="1"/>
  <c r="M32" i="4" s="1"/>
  <c r="F90" i="31"/>
  <c r="F48" i="31"/>
  <c r="F122" i="31" s="1"/>
  <c r="AC90" i="31"/>
  <c r="AC48" i="31"/>
  <c r="AC122" i="31" s="1"/>
  <c r="AR90" i="31"/>
  <c r="AR48" i="31"/>
  <c r="AR122" i="31" s="1"/>
  <c r="N60" i="34"/>
  <c r="N63" i="34"/>
  <c r="U90" i="31"/>
  <c r="U48" i="31"/>
  <c r="U122" i="31" s="1"/>
  <c r="AB90" i="31"/>
  <c r="AB48" i="31"/>
  <c r="AB122" i="31" s="1"/>
  <c r="M90" i="31"/>
  <c r="M48" i="31"/>
  <c r="M122" i="31" s="1"/>
  <c r="AI90" i="31"/>
  <c r="AI48" i="31"/>
  <c r="AI122" i="31" s="1"/>
  <c r="AR56" i="1"/>
  <c r="AR54" i="1" s="1"/>
  <c r="AR55" i="1" s="1"/>
  <c r="AS53" i="1" s="1"/>
  <c r="AB93" i="1"/>
  <c r="AC90" i="1" s="1"/>
  <c r="AU106" i="28"/>
  <c r="AU104" i="28" s="1"/>
  <c r="AU105" i="28" s="1"/>
  <c r="AV103" i="28" s="1"/>
  <c r="E144" i="36" a="1"/>
  <c r="Q146" i="36" l="1"/>
  <c r="BB144" i="36"/>
  <c r="J149" i="36"/>
  <c r="AI150" i="36"/>
  <c r="AN148" i="36"/>
  <c r="E145" i="36"/>
  <c r="U149" i="36"/>
  <c r="BF147" i="36"/>
  <c r="BK148" i="36"/>
  <c r="P146" i="36"/>
  <c r="P152" i="36"/>
  <c r="BJ145" i="36"/>
  <c r="AQ151" i="36"/>
  <c r="K146" i="36"/>
  <c r="M152" i="36"/>
  <c r="BG154" i="36"/>
  <c r="BG63" i="36" s="1"/>
  <c r="AS148" i="36"/>
  <c r="AY147" i="36"/>
  <c r="AN151" i="36"/>
  <c r="AS150" i="36"/>
  <c r="AE153" i="36"/>
  <c r="AC145" i="36"/>
  <c r="F144" i="36"/>
  <c r="V148" i="36"/>
  <c r="AU149" i="36"/>
  <c r="BL146" i="36"/>
  <c r="Q144" i="36"/>
  <c r="AG148" i="36"/>
  <c r="J147" i="36"/>
  <c r="AA147" i="36"/>
  <c r="AN144" i="36"/>
  <c r="AB151" i="36"/>
  <c r="Z144" i="36"/>
  <c r="G150" i="36"/>
  <c r="AI144" i="36"/>
  <c r="Y151" i="36"/>
  <c r="K154" i="36"/>
  <c r="K63" i="36" s="1"/>
  <c r="I147" i="36"/>
  <c r="AM144" i="36"/>
  <c r="BL149" i="36"/>
  <c r="BE149" i="36"/>
  <c r="AQ152" i="36"/>
  <c r="AO144" i="36"/>
  <c r="BE148" i="36"/>
  <c r="AH147" i="36"/>
  <c r="O148" i="36"/>
  <c r="AB145" i="36"/>
  <c r="AZ151" i="36"/>
  <c r="AS147" i="36"/>
  <c r="V146" i="36"/>
  <c r="AY145" i="36"/>
  <c r="BK151" i="36"/>
  <c r="AN150" i="36"/>
  <c r="AC148" i="36"/>
  <c r="S147" i="36"/>
  <c r="X151" i="36"/>
  <c r="AK150" i="36"/>
  <c r="W153" i="36"/>
  <c r="AG145" i="36"/>
  <c r="Z148" i="36"/>
  <c r="L147" i="36"/>
  <c r="AI148" i="36"/>
  <c r="BB149" i="36"/>
  <c r="K156" i="36"/>
  <c r="I148" i="36"/>
  <c r="AT146" i="36"/>
  <c r="AM146" i="36"/>
  <c r="AA152" i="36"/>
  <c r="BL150" i="36"/>
  <c r="BE146" i="36"/>
  <c r="AH145" i="36"/>
  <c r="O144" i="36"/>
  <c r="O151" i="36"/>
  <c r="AZ149" i="36"/>
  <c r="BA146" i="36"/>
  <c r="G144" i="36"/>
  <c r="AV149" i="36"/>
  <c r="AW149" i="36"/>
  <c r="AH152" i="36"/>
  <c r="AY156" i="36"/>
  <c r="AX146" i="36"/>
  <c r="AE152" i="36"/>
  <c r="BG146" i="36"/>
  <c r="AK152" i="36"/>
  <c r="W155" i="36"/>
  <c r="U147" i="36"/>
  <c r="BF145" i="36"/>
  <c r="BK144" i="36"/>
  <c r="AM151" i="36"/>
  <c r="P150" i="36"/>
  <c r="I146" i="36"/>
  <c r="AT144" i="36"/>
  <c r="BJ148" i="36"/>
  <c r="AA150" i="36"/>
  <c r="X148" i="36"/>
  <c r="Q145" i="36"/>
  <c r="J148" i="36"/>
  <c r="AN146" i="36"/>
  <c r="S148" i="36"/>
  <c r="BH148" i="36"/>
  <c r="BK155" i="36"/>
  <c r="N145" i="36"/>
  <c r="BC150" i="36"/>
  <c r="W145" i="36"/>
  <c r="AW151" i="36"/>
  <c r="AI154" i="36"/>
  <c r="AI63" i="36" s="1"/>
  <c r="AG146" i="36"/>
  <c r="J145" i="36"/>
  <c r="Z149" i="36"/>
  <c r="AY150" i="36"/>
  <c r="L149" i="36"/>
  <c r="U145" i="36"/>
  <c r="AK149" i="36"/>
  <c r="N148" i="36"/>
  <c r="AI149" i="36"/>
  <c r="AV146" i="36"/>
  <c r="AF152" i="36"/>
  <c r="AH146" i="36"/>
  <c r="O152" i="36"/>
  <c r="AQ146" i="36"/>
  <c r="AC152" i="36"/>
  <c r="O155" i="36"/>
  <c r="Q149" i="36"/>
  <c r="BC148" i="36"/>
  <c r="L152" i="36"/>
  <c r="BI150" i="36"/>
  <c r="AU153" i="36"/>
  <c r="AS145" i="36"/>
  <c r="V144" i="36"/>
  <c r="AL148" i="36"/>
  <c r="BK149" i="36"/>
  <c r="AJ147" i="36"/>
  <c r="AG144" i="36"/>
  <c r="AW148" i="36"/>
  <c r="Z147" i="36"/>
  <c r="BG147" i="36"/>
  <c r="L145" i="36"/>
  <c r="AR151" i="36"/>
  <c r="BF144" i="36"/>
  <c r="AM150" i="36"/>
  <c r="G145" i="36"/>
  <c r="AO151" i="36"/>
  <c r="AA154" i="36"/>
  <c r="AA63" i="36" s="1"/>
  <c r="AO147" i="36"/>
  <c r="AQ145" i="36"/>
  <c r="AJ150" i="36"/>
  <c r="M150" i="36"/>
  <c r="BG152" i="36"/>
  <c r="BE144" i="36"/>
  <c r="M149" i="36"/>
  <c r="AX147" i="36"/>
  <c r="AU148" i="36"/>
  <c r="BH145" i="36"/>
  <c r="H152" i="36"/>
  <c r="BI147" i="36"/>
  <c r="AL146" i="36"/>
  <c r="W146" i="36"/>
  <c r="S152" i="36"/>
  <c r="BD150" i="36"/>
  <c r="BI148" i="36"/>
  <c r="W148" i="36"/>
  <c r="BD151" i="36"/>
  <c r="BA150" i="36"/>
  <c r="AM153" i="36"/>
  <c r="E146" i="36"/>
  <c r="BF148" i="36"/>
  <c r="P148" i="36"/>
  <c r="G149" i="36"/>
  <c r="BF150" i="36"/>
  <c r="I144" i="36"/>
  <c r="Y148" i="36"/>
  <c r="BJ146" i="36"/>
  <c r="K147" i="36"/>
  <c r="X144" i="36"/>
  <c r="T151" i="36"/>
  <c r="M147" i="36"/>
  <c r="AX145" i="36"/>
  <c r="AU144" i="36"/>
  <c r="AE151" i="36"/>
  <c r="H150" i="36"/>
  <c r="Y147" i="36"/>
  <c r="K145" i="36"/>
  <c r="T150" i="36"/>
  <c r="E150" i="36"/>
  <c r="AY152" i="36"/>
  <c r="AC144" i="36"/>
  <c r="V147" i="36"/>
  <c r="BL144" i="36"/>
  <c r="AE147" i="36"/>
  <c r="AV145" i="36"/>
  <c r="AM155" i="36"/>
  <c r="AK147" i="36"/>
  <c r="N146" i="36"/>
  <c r="AI145" i="36"/>
  <c r="BC151" i="36"/>
  <c r="AF150" i="36"/>
  <c r="Y146" i="36"/>
  <c r="BJ144" i="36"/>
  <c r="R149" i="36"/>
  <c r="AQ150" i="36"/>
  <c r="BD148" i="36"/>
  <c r="AW145" i="36"/>
  <c r="AP148" i="36"/>
  <c r="AR147" i="36"/>
  <c r="AY148" i="36"/>
  <c r="Z150" i="36"/>
  <c r="S156" i="36"/>
  <c r="AT145" i="36"/>
  <c r="AA151" i="36"/>
  <c r="BC145" i="36"/>
  <c r="E152" i="36"/>
  <c r="AY154" i="36"/>
  <c r="AY63" i="36" s="1"/>
  <c r="AW146" i="36"/>
  <c r="Z145" i="36"/>
  <c r="AP149" i="36"/>
  <c r="G151" i="36"/>
  <c r="AR149" i="36"/>
  <c r="AK145" i="36"/>
  <c r="N144" i="36"/>
  <c r="AD148" i="36"/>
  <c r="BC149" i="36"/>
  <c r="T147" i="36"/>
  <c r="M144" i="36"/>
  <c r="F147" i="36"/>
  <c r="AF144" i="36"/>
  <c r="O147" i="36"/>
  <c r="AR144" i="36"/>
  <c r="AE155" i="36"/>
  <c r="J144" i="36"/>
  <c r="AY149" i="36"/>
  <c r="S144" i="36"/>
  <c r="Q151" i="36"/>
  <c r="BK153" i="36"/>
  <c r="BI145" i="36"/>
  <c r="AL144" i="36"/>
  <c r="BB148" i="36"/>
  <c r="S150" i="36"/>
  <c r="H148" i="36"/>
  <c r="AW144" i="36"/>
  <c r="E149" i="36"/>
  <c r="AP147" i="36"/>
  <c r="AE148" i="36"/>
  <c r="AR145" i="36"/>
  <c r="BH151" i="36"/>
  <c r="AD145" i="36"/>
  <c r="K151" i="36"/>
  <c r="AM145" i="36"/>
  <c r="BE151" i="36"/>
  <c r="AQ154" i="36"/>
  <c r="AQ63" i="36" s="1"/>
  <c r="M148" i="36"/>
  <c r="AU146" i="36"/>
  <c r="H151" i="36"/>
  <c r="AC150" i="36"/>
  <c r="O153" i="36"/>
  <c r="F148" i="36"/>
  <c r="Q148" i="36"/>
  <c r="L151" i="36"/>
  <c r="I151" i="36"/>
  <c r="T149" i="36"/>
  <c r="AO148" i="36"/>
  <c r="AJ151" i="36"/>
  <c r="AU151" i="36"/>
  <c r="AZ150" i="36"/>
  <c r="BB147" i="36"/>
  <c r="BC155" i="36"/>
  <c r="K152" i="36"/>
  <c r="AH149" i="36"/>
  <c r="N149" i="36"/>
  <c r="AI156" i="36"/>
  <c r="U152" i="36"/>
  <c r="AE144" i="36"/>
  <c r="AD144" i="36"/>
  <c r="AS144" i="36"/>
  <c r="AZ146" i="36"/>
  <c r="AY144" i="36"/>
  <c r="I145" i="36"/>
  <c r="X146" i="36"/>
  <c r="X156" i="36"/>
  <c r="AU150" i="36"/>
  <c r="AS151" i="36"/>
  <c r="AY157" i="36"/>
  <c r="BH152" i="36"/>
  <c r="P157" i="36"/>
  <c r="F151" i="36"/>
  <c r="AC156" i="36"/>
  <c r="AE145" i="36"/>
  <c r="AM157" i="36"/>
  <c r="AJ153" i="36"/>
  <c r="Z146" i="36"/>
  <c r="AM147" i="36"/>
  <c r="E148" i="36"/>
  <c r="BH150" i="36"/>
  <c r="K153" i="36"/>
  <c r="BB154" i="36"/>
  <c r="BB63" i="36" s="1"/>
  <c r="AB154" i="36"/>
  <c r="AB63" i="36" s="1"/>
  <c r="AX152" i="36"/>
  <c r="AO153" i="36"/>
  <c r="BC144" i="36"/>
  <c r="AY153" i="36"/>
  <c r="N147" i="36"/>
  <c r="W147" i="36"/>
  <c r="AI155" i="36"/>
  <c r="BD145" i="36"/>
  <c r="AN155" i="36"/>
  <c r="J156" i="36"/>
  <c r="BA154" i="36"/>
  <c r="BA63" i="36" s="1"/>
  <c r="AX154" i="36"/>
  <c r="AX63" i="36" s="1"/>
  <c r="G154" i="36"/>
  <c r="G63" i="36" s="1"/>
  <c r="AJ148" i="36"/>
  <c r="AO145" i="36"/>
  <c r="AB147" i="36"/>
  <c r="L155" i="36"/>
  <c r="O150" i="36"/>
  <c r="AC151" i="36"/>
  <c r="AQ157" i="36"/>
  <c r="AZ152" i="36"/>
  <c r="H157" i="36"/>
  <c r="AH150" i="36"/>
  <c r="BF146" i="36"/>
  <c r="AO149" i="36"/>
  <c r="BG153" i="36"/>
  <c r="AZ154" i="36"/>
  <c r="AZ63" i="36" s="1"/>
  <c r="E154" i="36"/>
  <c r="E63" i="36" s="1"/>
  <c r="R152" i="36"/>
  <c r="P156" i="36"/>
  <c r="T144" i="36"/>
  <c r="BA149" i="36"/>
  <c r="AD150" i="36"/>
  <c r="BH144" i="36"/>
  <c r="Y157" i="36"/>
  <c r="AK151" i="36"/>
  <c r="N153" i="36"/>
  <c r="AF154" i="36"/>
  <c r="AF63" i="36" s="1"/>
  <c r="BB151" i="36"/>
  <c r="H145" i="36"/>
  <c r="U157" i="36"/>
  <c r="AS153" i="36"/>
  <c r="Z153" i="36"/>
  <c r="F150" i="36"/>
  <c r="S149" i="36"/>
  <c r="BB146" i="36"/>
  <c r="AG149" i="36"/>
  <c r="BC153" i="36"/>
  <c r="AM149" i="36"/>
  <c r="R147" i="36"/>
  <c r="AC147" i="36"/>
  <c r="X150" i="36"/>
  <c r="U150" i="36"/>
  <c r="H146" i="36"/>
  <c r="BA147" i="36"/>
  <c r="AV150" i="36"/>
  <c r="BG150" i="36"/>
  <c r="AV148" i="36"/>
  <c r="R146" i="36"/>
  <c r="G155" i="36"/>
  <c r="W151" i="36"/>
  <c r="AT148" i="36"/>
  <c r="AL147" i="36"/>
  <c r="AU155" i="36"/>
  <c r="AG151" i="36"/>
  <c r="Y149" i="36"/>
  <c r="T152" i="36"/>
  <c r="AC146" i="36"/>
  <c r="BL148" i="36"/>
  <c r="AT151" i="36"/>
  <c r="AD153" i="36"/>
  <c r="BL153" i="36"/>
  <c r="AZ148" i="36"/>
  <c r="Q153" i="36"/>
  <c r="AG157" i="36"/>
  <c r="BA151" i="36"/>
  <c r="AT153" i="36"/>
  <c r="BD154" i="36"/>
  <c r="BD63" i="36" s="1"/>
  <c r="BG145" i="36"/>
  <c r="AM154" i="36"/>
  <c r="AM63" i="36" s="1"/>
  <c r="AP146" i="36"/>
  <c r="AY146" i="36"/>
  <c r="S155" i="36"/>
  <c r="AZ144" i="36"/>
  <c r="AF155" i="36"/>
  <c r="AX155" i="36"/>
  <c r="AS154" i="36"/>
  <c r="AS63" i="36" s="1"/>
  <c r="AI151" i="36"/>
  <c r="AR153" i="36"/>
  <c r="AI147" i="36"/>
  <c r="AO150" i="36"/>
  <c r="S157" i="36"/>
  <c r="F152" i="36"/>
  <c r="AR156" i="36"/>
  <c r="L148" i="36"/>
  <c r="BE155" i="36"/>
  <c r="AT157" i="36"/>
  <c r="AU156" i="36"/>
  <c r="AV152" i="36"/>
  <c r="R144" i="36"/>
  <c r="AA144" i="36"/>
  <c r="BE145" i="36"/>
  <c r="BH147" i="36"/>
  <c r="AP150" i="36"/>
  <c r="BJ152" i="36"/>
  <c r="BD153" i="36"/>
  <c r="AR146" i="36"/>
  <c r="I153" i="36"/>
  <c r="P144" i="36"/>
  <c r="AQ149" i="36"/>
  <c r="AI157" i="36"/>
  <c r="BH156" i="36"/>
  <c r="M156" i="36"/>
  <c r="W157" i="36"/>
  <c r="V145" i="36"/>
  <c r="BI146" i="36"/>
  <c r="AM152" i="36"/>
  <c r="L154" i="36"/>
  <c r="L63" i="36" s="1"/>
  <c r="Y153" i="36"/>
  <c r="BF152" i="36"/>
  <c r="AU152" i="36"/>
  <c r="BB156" i="36"/>
  <c r="AZ155" i="36"/>
  <c r="AG154" i="36"/>
  <c r="AG63" i="36" s="1"/>
  <c r="Z157" i="36"/>
  <c r="AT155" i="36"/>
  <c r="BA155" i="36"/>
  <c r="AR148" i="36"/>
  <c r="BF157" i="36"/>
  <c r="M145" i="36"/>
  <c r="AF146" i="36"/>
  <c r="BC146" i="36"/>
  <c r="AA149" i="36"/>
  <c r="AK146" i="36"/>
  <c r="BJ151" i="36"/>
  <c r="AQ147" i="36"/>
  <c r="F146" i="36"/>
  <c r="BE147" i="36"/>
  <c r="G153" i="36"/>
  <c r="BK147" i="36"/>
  <c r="AD146" i="36"/>
  <c r="AO146" i="36"/>
  <c r="AB149" i="36"/>
  <c r="W149" i="36"/>
  <c r="BG151" i="36"/>
  <c r="E147" i="36"/>
  <c r="BH149" i="36"/>
  <c r="K150" i="36"/>
  <c r="AJ145" i="36"/>
  <c r="AP144" i="36"/>
  <c r="S154" i="36"/>
  <c r="S63" i="36" s="1"/>
  <c r="BJ147" i="36"/>
  <c r="E151" i="36"/>
  <c r="F145" i="36"/>
  <c r="O145" i="36"/>
  <c r="AE154" i="36"/>
  <c r="AE63" i="36" s="1"/>
  <c r="F157" i="36"/>
  <c r="H155" i="36"/>
  <c r="AT154" i="36"/>
  <c r="AT63" i="36" s="1"/>
  <c r="U154" i="36"/>
  <c r="U63" i="36" s="1"/>
  <c r="V153" i="36"/>
  <c r="BK152" i="36"/>
  <c r="R157" i="36"/>
  <c r="AF156" i="36"/>
  <c r="G152" i="36"/>
  <c r="T153" i="36"/>
  <c r="AE146" i="36"/>
  <c r="Y150" i="36"/>
  <c r="K157" i="36"/>
  <c r="AH151" i="36"/>
  <c r="AJ156" i="36"/>
  <c r="H147" i="36"/>
  <c r="Q147" i="36"/>
  <c r="L150" i="36"/>
  <c r="U144" i="36"/>
  <c r="AV144" i="36"/>
  <c r="P145" i="36"/>
  <c r="X149" i="36"/>
  <c r="AF153" i="36"/>
  <c r="AV157" i="36"/>
  <c r="AS152" i="36"/>
  <c r="BI156" i="36"/>
  <c r="Q150" i="36"/>
  <c r="L146" i="36"/>
  <c r="H154" i="36"/>
  <c r="H63" i="36" s="1"/>
  <c r="AH148" i="36"/>
  <c r="U151" i="36"/>
  <c r="AH144" i="36"/>
  <c r="AQ144" i="36"/>
  <c r="O154" i="36"/>
  <c r="O63" i="36" s="1"/>
  <c r="AP156" i="36"/>
  <c r="BH154" i="36"/>
  <c r="BH63" i="36" s="1"/>
  <c r="V154" i="36"/>
  <c r="V63" i="36" s="1"/>
  <c r="M154" i="36"/>
  <c r="M63" i="36" s="1"/>
  <c r="O149" i="36"/>
  <c r="K144" i="36"/>
  <c r="V156" i="36"/>
  <c r="BF153" i="36"/>
  <c r="AP152" i="36"/>
  <c r="AH156" i="36"/>
  <c r="BK150" i="36"/>
  <c r="W144" i="36"/>
  <c r="BC156" i="36"/>
  <c r="T156" i="36"/>
  <c r="Q155" i="36"/>
  <c r="BB155" i="36"/>
  <c r="AA155" i="36"/>
  <c r="AT150" i="36"/>
  <c r="AB157" i="36"/>
  <c r="AO156" i="36"/>
  <c r="E153" i="36"/>
  <c r="F153" i="36"/>
  <c r="BI157" i="36"/>
  <c r="BA153" i="36"/>
  <c r="M146" i="36"/>
  <c r="L157" i="36"/>
  <c r="Q152" i="36"/>
  <c r="P153" i="36"/>
  <c r="J152" i="36"/>
  <c r="AQ148" i="36"/>
  <c r="AZ153" i="36"/>
  <c r="AS149" i="36"/>
  <c r="BL151" i="36"/>
  <c r="BF155" i="36"/>
  <c r="AL153" i="36"/>
  <c r="AK156" i="36"/>
  <c r="K148" i="36"/>
  <c r="AU157" i="36"/>
  <c r="AB153" i="36"/>
  <c r="BJ156" i="36"/>
  <c r="V155" i="36"/>
  <c r="AS155" i="36"/>
  <c r="AX150" i="36"/>
  <c r="T157" i="36"/>
  <c r="AG156" i="36"/>
  <c r="P151" i="36"/>
  <c r="BD146" i="36"/>
  <c r="AD152" i="36"/>
  <c r="BL157" i="36"/>
  <c r="Q157" i="36"/>
  <c r="AL150" i="36"/>
  <c r="AL149" i="36"/>
  <c r="AL145" i="36"/>
  <c r="AU154" i="36"/>
  <c r="AU63" i="36" s="1"/>
  <c r="P155" i="36"/>
  <c r="AC154" i="36"/>
  <c r="AC63" i="36" s="1"/>
  <c r="AD154" i="36"/>
  <c r="AD63" i="36" s="1"/>
  <c r="W154" i="36"/>
  <c r="W63" i="36" s="1"/>
  <c r="AF147" i="36"/>
  <c r="AN156" i="36"/>
  <c r="AK155" i="36"/>
  <c r="R150" i="36"/>
  <c r="AR157" i="36"/>
  <c r="BE156" i="36"/>
  <c r="AW152" i="36"/>
  <c r="AX144" i="36"/>
  <c r="AG147" i="36"/>
  <c r="BC152" i="36"/>
  <c r="T154" i="36"/>
  <c r="T63" i="36" s="1"/>
  <c r="AG153" i="36"/>
  <c r="Y152" i="36"/>
  <c r="AB155" i="36"/>
  <c r="G157" i="36"/>
  <c r="BC147" i="36"/>
  <c r="BH146" i="36"/>
  <c r="AT156" i="36"/>
  <c r="I157" i="36"/>
  <c r="AG150" i="36"/>
  <c r="T148" i="36"/>
  <c r="P154" i="36"/>
  <c r="P63" i="36" s="1"/>
  <c r="AT149" i="36"/>
  <c r="AJ157" i="36"/>
  <c r="AW156" i="36"/>
  <c r="M153" i="36"/>
  <c r="AX149" i="36"/>
  <c r="AK157" i="36"/>
  <c r="H144" i="36"/>
  <c r="BD144" i="36"/>
  <c r="BD147" i="36"/>
  <c r="AD151" i="36"/>
  <c r="AZ147" i="36"/>
  <c r="K149" i="36"/>
  <c r="AM156" i="36"/>
  <c r="Y155" i="36"/>
  <c r="AW147" i="36"/>
  <c r="AG152" i="36"/>
  <c r="AJ152" i="36"/>
  <c r="AF151" i="36"/>
  <c r="R153" i="36"/>
  <c r="AP155" i="36"/>
  <c r="AX148" i="36"/>
  <c r="BL155" i="36"/>
  <c r="M151" i="36"/>
  <c r="BL152" i="36"/>
  <c r="V150" i="36"/>
  <c r="L153" i="36"/>
  <c r="AN147" i="36"/>
  <c r="AF148" i="36"/>
  <c r="S146" i="36"/>
  <c r="X155" i="36"/>
  <c r="AS156" i="36"/>
  <c r="AB146" i="36"/>
  <c r="X154" i="36"/>
  <c r="X63" i="36" s="1"/>
  <c r="AQ153" i="36"/>
  <c r="AZ156" i="36"/>
  <c r="AO157" i="36"/>
  <c r="S153" i="36"/>
  <c r="AX151" i="36"/>
  <c r="BE152" i="36"/>
  <c r="AJ146" i="36"/>
  <c r="AH154" i="36"/>
  <c r="AH63" i="36" s="1"/>
  <c r="BF154" i="36"/>
  <c r="BF63" i="36" s="1"/>
  <c r="U148" i="36"/>
  <c r="R148" i="36"/>
  <c r="BL147" i="36"/>
  <c r="BI152" i="36"/>
  <c r="K155" i="36"/>
  <c r="AJ149" i="36"/>
  <c r="AU145" i="36"/>
  <c r="H153" i="36"/>
  <c r="AW155" i="36"/>
  <c r="BI149" i="36"/>
  <c r="J155" i="36"/>
  <c r="BB150" i="36"/>
  <c r="AX156" i="36"/>
  <c r="BB152" i="36"/>
  <c r="AL154" i="36"/>
  <c r="AL63" i="36" s="1"/>
  <c r="E157" i="36"/>
  <c r="X145" i="36"/>
  <c r="BK156" i="36"/>
  <c r="AP151" i="36"/>
  <c r="BF156" i="36"/>
  <c r="BA148" i="36"/>
  <c r="AT147" i="36"/>
  <c r="J151" i="36"/>
  <c r="BA152" i="36"/>
  <c r="N155" i="36"/>
  <c r="O157" i="36"/>
  <c r="AJ155" i="36"/>
  <c r="I156" i="36"/>
  <c r="AO154" i="36"/>
  <c r="AO63" i="36" s="1"/>
  <c r="U155" i="36"/>
  <c r="U153" i="36"/>
  <c r="BI144" i="36"/>
  <c r="U146" i="36"/>
  <c r="AA156" i="36"/>
  <c r="BJ157" i="36"/>
  <c r="W152" i="36"/>
  <c r="AK148" i="36"/>
  <c r="T146" i="36"/>
  <c r="H149" i="36"/>
  <c r="AK144" i="36"/>
  <c r="AE157" i="36"/>
  <c r="F149" i="36"/>
  <c r="BB157" i="36"/>
  <c r="BC157" i="36"/>
  <c r="BE150" i="36"/>
  <c r="AG155" i="36"/>
  <c r="AP157" i="36"/>
  <c r="AL152" i="36"/>
  <c r="J153" i="36"/>
  <c r="Y145" i="36"/>
  <c r="N157" i="36"/>
  <c r="S151" i="36"/>
  <c r="AL151" i="36"/>
  <c r="BK157" i="36"/>
  <c r="AS157" i="36"/>
  <c r="BE154" i="36"/>
  <c r="BE63" i="36" s="1"/>
  <c r="I150" i="36"/>
  <c r="BA144" i="36"/>
  <c r="Z151" i="36"/>
  <c r="BI153" i="36"/>
  <c r="AX157" i="36"/>
  <c r="AB152" i="36"/>
  <c r="S145" i="36"/>
  <c r="G146" i="36"/>
  <c r="AA146" i="36"/>
  <c r="AU147" i="36"/>
  <c r="BF151" i="36"/>
  <c r="BF149" i="36"/>
  <c r="R156" i="36"/>
  <c r="AR150" i="36"/>
  <c r="P147" i="36"/>
  <c r="BB145" i="36"/>
  <c r="AA153" i="36"/>
  <c r="AW153" i="36"/>
  <c r="AR155" i="36"/>
  <c r="BG148" i="36"/>
  <c r="AL157" i="36"/>
  <c r="AR152" i="36"/>
  <c r="AI146" i="36"/>
  <c r="U156" i="36"/>
  <c r="R155" i="36"/>
  <c r="AH157" i="36"/>
  <c r="L144" i="36"/>
  <c r="BK154" i="36"/>
  <c r="BK63" i="36" s="1"/>
  <c r="AF157" i="36"/>
  <c r="F154" i="36"/>
  <c r="F63" i="36" s="1"/>
  <c r="BL156" i="36"/>
  <c r="I149" i="36"/>
  <c r="AA157" i="36"/>
  <c r="P149" i="36"/>
  <c r="AP153" i="36"/>
  <c r="BG155" i="36"/>
  <c r="AV154" i="36"/>
  <c r="AV63" i="36" s="1"/>
  <c r="E155" i="36"/>
  <c r="AK153" i="36"/>
  <c r="Q154" i="36"/>
  <c r="Q63" i="36" s="1"/>
  <c r="V151" i="36"/>
  <c r="BK146" i="36"/>
  <c r="AA148" i="36"/>
  <c r="AV153" i="36"/>
  <c r="I155" i="36"/>
  <c r="N150" i="36"/>
  <c r="J150" i="36"/>
  <c r="BI151" i="36"/>
  <c r="X157" i="36"/>
  <c r="BA156" i="36"/>
  <c r="AB148" i="36"/>
  <c r="AN152" i="36"/>
  <c r="AF145" i="36"/>
  <c r="J154" i="36"/>
  <c r="J63" i="36" s="1"/>
  <c r="BJ155" i="36"/>
  <c r="AZ157" i="36"/>
  <c r="BJ154" i="36"/>
  <c r="BJ63" i="36" s="1"/>
  <c r="AA145" i="36"/>
  <c r="Z154" i="36"/>
  <c r="Z63" i="36" s="1"/>
  <c r="BL145" i="36"/>
  <c r="O156" i="36"/>
  <c r="G148" i="36"/>
  <c r="AZ145" i="36"/>
  <c r="AN153" i="36"/>
  <c r="BI154" i="36"/>
  <c r="BI63" i="36" s="1"/>
  <c r="E144" i="36"/>
  <c r="N156" i="36"/>
  <c r="BD156" i="36"/>
  <c r="N152" i="36"/>
  <c r="R154" i="36"/>
  <c r="R63" i="36" s="1"/>
  <c r="AC157" i="36"/>
  <c r="AC155" i="36"/>
  <c r="Y144" i="36"/>
  <c r="AS146" i="36"/>
  <c r="AW154" i="36"/>
  <c r="AW63" i="36" s="1"/>
  <c r="AW157" i="36"/>
  <c r="AY155" i="36"/>
  <c r="BC154" i="36"/>
  <c r="BC63" i="36" s="1"/>
  <c r="Z152" i="36"/>
  <c r="AC149" i="36"/>
  <c r="AD149" i="36"/>
  <c r="O146" i="36"/>
  <c r="R145" i="36"/>
  <c r="AP145" i="36"/>
  <c r="W150" i="36"/>
  <c r="V149" i="36"/>
  <c r="L156" i="36"/>
  <c r="AQ155" i="36"/>
  <c r="AV156" i="36"/>
  <c r="X153" i="36"/>
  <c r="G147" i="36"/>
  <c r="Z155" i="36"/>
  <c r="AJ144" i="36"/>
  <c r="BG149" i="36"/>
  <c r="W156" i="36"/>
  <c r="AQ156" i="36"/>
  <c r="BJ149" i="36"/>
  <c r="BD149" i="36"/>
  <c r="BG144" i="36"/>
  <c r="BB153" i="36"/>
  <c r="BI155" i="36"/>
  <c r="J146" i="36"/>
  <c r="AN145" i="36"/>
  <c r="AD155" i="36"/>
  <c r="AI153" i="36"/>
  <c r="AD147" i="36"/>
  <c r="AM148" i="36"/>
  <c r="AI152" i="36"/>
  <c r="BE153" i="36"/>
  <c r="AL156" i="36"/>
  <c r="N154" i="36"/>
  <c r="N63" i="36" s="1"/>
  <c r="H156" i="36"/>
  <c r="M157" i="36"/>
  <c r="BA157" i="36"/>
  <c r="Y156" i="36"/>
  <c r="Y154" i="36"/>
  <c r="Y63" i="36" s="1"/>
  <c r="AE156" i="36"/>
  <c r="AF149" i="36"/>
  <c r="BD155" i="36"/>
  <c r="AH155" i="36"/>
  <c r="AN154" i="36"/>
  <c r="AN63" i="36" s="1"/>
  <c r="BH155" i="36"/>
  <c r="BG157" i="36"/>
  <c r="F155" i="36"/>
  <c r="BE157" i="36"/>
  <c r="BG156" i="36"/>
  <c r="BH153" i="36"/>
  <c r="AC153" i="36"/>
  <c r="I154" i="36"/>
  <c r="I63" i="36" s="1"/>
  <c r="AO152" i="36"/>
  <c r="AD156" i="36"/>
  <c r="AE150" i="36"/>
  <c r="AB150" i="36"/>
  <c r="BJ150" i="36"/>
  <c r="AO155" i="36"/>
  <c r="AP154" i="36"/>
  <c r="AP63" i="36" s="1"/>
  <c r="AV151" i="36"/>
  <c r="X147" i="36"/>
  <c r="AV155" i="36"/>
  <c r="E156" i="36"/>
  <c r="N151" i="36"/>
  <c r="AN149" i="36"/>
  <c r="AX153" i="36"/>
  <c r="AL155" i="36"/>
  <c r="AV147" i="36"/>
  <c r="F156" i="36"/>
  <c r="Z156" i="36"/>
  <c r="X152" i="36"/>
  <c r="BA145" i="36"/>
  <c r="AE149" i="36"/>
  <c r="R151" i="36"/>
  <c r="AN157" i="36"/>
  <c r="AJ154" i="36"/>
  <c r="AJ63" i="36" s="1"/>
  <c r="AT152" i="36"/>
  <c r="BL154" i="36"/>
  <c r="BL63" i="36" s="1"/>
  <c r="BJ153" i="36"/>
  <c r="M155" i="36"/>
  <c r="AY151" i="36"/>
  <c r="AK154" i="36"/>
  <c r="AK63" i="36" s="1"/>
  <c r="T145" i="36"/>
  <c r="AR154" i="36"/>
  <c r="AR63" i="36" s="1"/>
  <c r="I152" i="36"/>
  <c r="BH157" i="36"/>
  <c r="J157" i="36"/>
  <c r="AH153" i="36"/>
  <c r="G156" i="36"/>
  <c r="AW150" i="36"/>
  <c r="AD157" i="36"/>
  <c r="V157" i="36"/>
  <c r="T155" i="36"/>
  <c r="Q156" i="36"/>
  <c r="BK145" i="36"/>
  <c r="AB156" i="36"/>
  <c r="V152" i="36"/>
  <c r="BD157" i="36"/>
  <c r="BD152" i="36"/>
  <c r="AB144" i="36"/>
  <c r="AV39" i="26"/>
  <c r="AU42" i="26"/>
  <c r="AU83" i="26"/>
  <c r="AT126" i="26"/>
  <c r="AT55" i="26"/>
  <c r="AT43" i="26"/>
  <c r="AT109" i="26"/>
  <c r="AT111" i="26" s="1"/>
  <c r="AV182" i="36"/>
  <c r="AS49" i="31"/>
  <c r="AS122" i="31"/>
  <c r="AS124" i="31" s="1"/>
  <c r="BG49" i="37"/>
  <c r="BG170" i="37"/>
  <c r="BG172" i="37" s="1"/>
  <c r="BF180" i="37"/>
  <c r="S112" i="37"/>
  <c r="S114" i="37" s="1"/>
  <c r="R166" i="37"/>
  <c r="BI45" i="37"/>
  <c r="BH48" i="37"/>
  <c r="BH123" i="37"/>
  <c r="AU87" i="18"/>
  <c r="AU52" i="18"/>
  <c r="AU40" i="18"/>
  <c r="AU104" i="18"/>
  <c r="AV39" i="18"/>
  <c r="AW37" i="18"/>
  <c r="AV89" i="18"/>
  <c r="AW31" i="8"/>
  <c r="AV33" i="8"/>
  <c r="AU34" i="8"/>
  <c r="AU70" i="8"/>
  <c r="AS61" i="31"/>
  <c r="AS133" i="31"/>
  <c r="AV29" i="30"/>
  <c r="AW27" i="30"/>
  <c r="AU30" i="30"/>
  <c r="AU66" i="30"/>
  <c r="M27" i="4"/>
  <c r="N25" i="4" s="1"/>
  <c r="N28" i="4" s="1"/>
  <c r="N26" i="4" s="1"/>
  <c r="N29" i="4" s="1"/>
  <c r="N32" i="4" s="1"/>
  <c r="AV56" i="28"/>
  <c r="AV54" i="28" s="1"/>
  <c r="AV55" i="28" s="1"/>
  <c r="AW53" i="28" s="1"/>
  <c r="AS56" i="1"/>
  <c r="AS54" i="1" s="1"/>
  <c r="AS55" i="1" s="1"/>
  <c r="AT53" i="1" s="1"/>
  <c r="AV106" i="28"/>
  <c r="AV104" i="28" s="1"/>
  <c r="AV105" i="28" s="1"/>
  <c r="AW103" i="28" s="1"/>
  <c r="M133" i="31"/>
  <c r="M61" i="31"/>
  <c r="M49" i="31"/>
  <c r="M124" i="31"/>
  <c r="O133" i="31"/>
  <c r="O61" i="31"/>
  <c r="O49" i="31"/>
  <c r="O124" i="31"/>
  <c r="J49" i="31"/>
  <c r="J61" i="31"/>
  <c r="J124" i="31"/>
  <c r="J133" i="31"/>
  <c r="AM133" i="31"/>
  <c r="AM61" i="31"/>
  <c r="AM49" i="31"/>
  <c r="AM124" i="31"/>
  <c r="AE61" i="31"/>
  <c r="AE49" i="31"/>
  <c r="AE124" i="31"/>
  <c r="AE133" i="31"/>
  <c r="Z61" i="31"/>
  <c r="Z124" i="31"/>
  <c r="Z133" i="31"/>
  <c r="Z49" i="31"/>
  <c r="AJ49" i="31"/>
  <c r="AJ124" i="31"/>
  <c r="AJ133" i="31"/>
  <c r="AJ61" i="31"/>
  <c r="AN133" i="31"/>
  <c r="AN61" i="31"/>
  <c r="AN49" i="31"/>
  <c r="AN124" i="31"/>
  <c r="L49" i="31"/>
  <c r="L61" i="31"/>
  <c r="L124" i="31"/>
  <c r="L133" i="31"/>
  <c r="E49" i="31"/>
  <c r="E124" i="31"/>
  <c r="E133" i="31"/>
  <c r="E61" i="31"/>
  <c r="AT124" i="31"/>
  <c r="AT133" i="31"/>
  <c r="AT49" i="31"/>
  <c r="AT61" i="31"/>
  <c r="J40" i="5"/>
  <c r="J38" i="5" s="1"/>
  <c r="J44" i="5" s="1"/>
  <c r="AV89" i="35"/>
  <c r="AW45" i="35"/>
  <c r="AV48" i="35"/>
  <c r="AI124" i="31"/>
  <c r="AI133" i="31"/>
  <c r="AI61" i="31"/>
  <c r="AI49" i="31"/>
  <c r="F49" i="31"/>
  <c r="F61" i="31"/>
  <c r="F124" i="31"/>
  <c r="F133" i="31"/>
  <c r="AO124" i="31"/>
  <c r="AO133" i="31"/>
  <c r="AO61" i="31"/>
  <c r="AO49" i="31"/>
  <c r="P133" i="31"/>
  <c r="P61" i="31"/>
  <c r="P49" i="31"/>
  <c r="P124" i="31"/>
  <c r="I133" i="31"/>
  <c r="I61" i="31"/>
  <c r="I49" i="31"/>
  <c r="I124" i="31"/>
  <c r="S124" i="31"/>
  <c r="S133" i="31"/>
  <c r="S61" i="31"/>
  <c r="S49" i="31"/>
  <c r="N124" i="31"/>
  <c r="N133" i="31"/>
  <c r="N49" i="31"/>
  <c r="N61" i="31"/>
  <c r="AB124" i="31"/>
  <c r="AB133" i="31"/>
  <c r="AB61" i="31"/>
  <c r="AB49" i="31"/>
  <c r="AR133" i="31"/>
  <c r="AR49" i="31"/>
  <c r="AR61" i="31"/>
  <c r="AR124" i="31"/>
  <c r="AA49" i="31"/>
  <c r="AA124" i="31"/>
  <c r="AA133" i="31"/>
  <c r="AA61" i="31"/>
  <c r="O56" i="34"/>
  <c r="O52" i="34" s="1"/>
  <c r="O57" i="34" s="1"/>
  <c r="G61" i="31"/>
  <c r="G49" i="31"/>
  <c r="G124" i="31"/>
  <c r="G133" i="31"/>
  <c r="AC88" i="1"/>
  <c r="AC91" i="1" s="1"/>
  <c r="T133" i="31"/>
  <c r="T61" i="31"/>
  <c r="T49" i="31"/>
  <c r="T124" i="31"/>
  <c r="AK133" i="31"/>
  <c r="AK61" i="31"/>
  <c r="AK49" i="31"/>
  <c r="AK124" i="31"/>
  <c r="AF61" i="31"/>
  <c r="AF49" i="31"/>
  <c r="AF124" i="31"/>
  <c r="AF133" i="31"/>
  <c r="V49" i="31"/>
  <c r="V61" i="31"/>
  <c r="V124" i="31"/>
  <c r="V133" i="31"/>
  <c r="R61" i="31"/>
  <c r="R124" i="31"/>
  <c r="R133" i="31"/>
  <c r="R49" i="31"/>
  <c r="AQ124" i="31"/>
  <c r="AQ61" i="31"/>
  <c r="AQ133" i="31"/>
  <c r="AQ49" i="31"/>
  <c r="AG61" i="31"/>
  <c r="AG124" i="31"/>
  <c r="AG133" i="31"/>
  <c r="AG49" i="31"/>
  <c r="AW48" i="36"/>
  <c r="AV127" i="36"/>
  <c r="Q124" i="31"/>
  <c r="Q133" i="31"/>
  <c r="Q49" i="31"/>
  <c r="Q61" i="31"/>
  <c r="N25" i="3"/>
  <c r="O23" i="3" s="1"/>
  <c r="U124" i="31"/>
  <c r="U133" i="31"/>
  <c r="U61" i="31"/>
  <c r="U49" i="31"/>
  <c r="AC49" i="31"/>
  <c r="AC124" i="31"/>
  <c r="AC133" i="31"/>
  <c r="AC61" i="31"/>
  <c r="M59" i="33"/>
  <c r="M55" i="33" s="1"/>
  <c r="M60" i="33" s="1"/>
  <c r="AV45" i="31"/>
  <c r="AU89" i="31"/>
  <c r="AU48" i="31"/>
  <c r="AU122" i="31" s="1"/>
  <c r="Y124" i="31"/>
  <c r="Y133" i="31"/>
  <c r="Y61" i="31"/>
  <c r="Y49" i="31"/>
  <c r="AH49" i="31"/>
  <c r="AH61" i="31"/>
  <c r="AH124" i="31"/>
  <c r="AH133" i="31"/>
  <c r="AU138" i="35"/>
  <c r="AU49" i="35"/>
  <c r="AU61" i="35"/>
  <c r="AU122" i="35"/>
  <c r="AU124" i="35" s="1"/>
  <c r="AD61" i="31"/>
  <c r="AD124" i="31"/>
  <c r="AD133" i="31"/>
  <c r="AD49" i="31"/>
  <c r="AU109" i="26" l="1"/>
  <c r="AU111" i="26" s="1"/>
  <c r="AU43" i="26"/>
  <c r="AU126" i="26"/>
  <c r="AU55" i="26"/>
  <c r="AV42" i="26"/>
  <c r="AW39" i="26"/>
  <c r="AV83" i="26"/>
  <c r="O54" i="34"/>
  <c r="P51" i="34" s="1"/>
  <c r="P56" i="34" s="1"/>
  <c r="P52" i="34" s="1"/>
  <c r="P57" i="34" s="1"/>
  <c r="AW182" i="36"/>
  <c r="BH49" i="37"/>
  <c r="BH170" i="37"/>
  <c r="BH172" i="37" s="1"/>
  <c r="BI123" i="37"/>
  <c r="BI48" i="37"/>
  <c r="BJ45" i="37"/>
  <c r="T112" i="37"/>
  <c r="T114" i="37" s="1"/>
  <c r="S166" i="37"/>
  <c r="BG180" i="37"/>
  <c r="AW89" i="18"/>
  <c r="AW39" i="18"/>
  <c r="AX37" i="18"/>
  <c r="AV52" i="18"/>
  <c r="AV40" i="18"/>
  <c r="AV87" i="18"/>
  <c r="AV104" i="18"/>
  <c r="AV70" i="8"/>
  <c r="AV34" i="8"/>
  <c r="AW33" i="8"/>
  <c r="AX31" i="8"/>
  <c r="M57" i="33"/>
  <c r="N54" i="33" s="1"/>
  <c r="N59" i="33" s="1"/>
  <c r="N55" i="33" s="1"/>
  <c r="N60" i="33" s="1"/>
  <c r="AC92" i="1"/>
  <c r="AC95" i="1" s="1"/>
  <c r="J39" i="5"/>
  <c r="K37" i="5" s="1"/>
  <c r="K40" i="5" s="1"/>
  <c r="K38" i="5" s="1"/>
  <c r="K44" i="5" s="1"/>
  <c r="AX27" i="30"/>
  <c r="AW29" i="30"/>
  <c r="AV30" i="30"/>
  <c r="AV66" i="30"/>
  <c r="AW106" i="28"/>
  <c r="AW104" i="28" s="1"/>
  <c r="AW105" i="28" s="1"/>
  <c r="AX103" i="28" s="1"/>
  <c r="AU61" i="31"/>
  <c r="AU49" i="31"/>
  <c r="AU124" i="31"/>
  <c r="AU133" i="31"/>
  <c r="N27" i="4"/>
  <c r="O25" i="4" s="1"/>
  <c r="AX45" i="35"/>
  <c r="AW89" i="35"/>
  <c r="AW48" i="35"/>
  <c r="J45" i="5"/>
  <c r="J47" i="5"/>
  <c r="AT56" i="1"/>
  <c r="AT54" i="1" s="1"/>
  <c r="AT55" i="1" s="1"/>
  <c r="AU53" i="1" s="1"/>
  <c r="AV89" i="31"/>
  <c r="AV48" i="31"/>
  <c r="AV122" i="31" s="1"/>
  <c r="AW45" i="31"/>
  <c r="M64" i="33"/>
  <c r="M67" i="33"/>
  <c r="O26" i="3"/>
  <c r="O24" i="3" s="1"/>
  <c r="O27" i="3" s="1"/>
  <c r="O31" i="3" s="1"/>
  <c r="AX48" i="36"/>
  <c r="AW127" i="36"/>
  <c r="O63" i="34"/>
  <c r="O60" i="34"/>
  <c r="AV122" i="35"/>
  <c r="AV124" i="35" s="1"/>
  <c r="AV138" i="35"/>
  <c r="AV49" i="35"/>
  <c r="AV61" i="35"/>
  <c r="AW56" i="28"/>
  <c r="AW54" i="28" s="1"/>
  <c r="AW55" i="28" s="1"/>
  <c r="AX53" i="28" s="1"/>
  <c r="AW42" i="26" l="1"/>
  <c r="AW83" i="26"/>
  <c r="AX39" i="26"/>
  <c r="AV43" i="26"/>
  <c r="AV126" i="26"/>
  <c r="AV109" i="26"/>
  <c r="AV111" i="26" s="1"/>
  <c r="AV55" i="26"/>
  <c r="AX182" i="36"/>
  <c r="BH180" i="37"/>
  <c r="U112" i="37"/>
  <c r="U114" i="37" s="1"/>
  <c r="T166" i="37"/>
  <c r="BJ123" i="37"/>
  <c r="BK45" i="37"/>
  <c r="BJ48" i="37"/>
  <c r="BI49" i="37"/>
  <c r="BI170" i="37"/>
  <c r="BI172" i="37" s="1"/>
  <c r="AY37" i="18"/>
  <c r="AX89" i="18"/>
  <c r="AX39" i="18"/>
  <c r="AW104" i="18"/>
  <c r="AW52" i="18"/>
  <c r="AW87" i="18"/>
  <c r="AW40" i="18"/>
  <c r="AX33" i="8"/>
  <c r="AY31" i="8"/>
  <c r="AW34" i="8"/>
  <c r="AW70" i="8"/>
  <c r="AY27" i="30"/>
  <c r="AX29" i="30"/>
  <c r="N57" i="33"/>
  <c r="O54" i="33" s="1"/>
  <c r="O59" i="33" s="1"/>
  <c r="O55" i="33" s="1"/>
  <c r="O60" i="33" s="1"/>
  <c r="K39" i="5"/>
  <c r="L37" i="5" s="1"/>
  <c r="L40" i="5" s="1"/>
  <c r="L38" i="5" s="1"/>
  <c r="L44" i="5" s="1"/>
  <c r="AW30" i="30"/>
  <c r="AW66" i="30"/>
  <c r="AC93" i="1"/>
  <c r="AD90" i="1" s="1"/>
  <c r="AD88" i="1" s="1"/>
  <c r="AD91" i="1" s="1"/>
  <c r="AD92" i="1" s="1"/>
  <c r="AD95" i="1" s="1"/>
  <c r="AX106" i="28"/>
  <c r="AX104" i="28" s="1"/>
  <c r="AX105" i="28" s="1"/>
  <c r="AY103" i="28" s="1"/>
  <c r="AU56" i="1"/>
  <c r="AU54" i="1" s="1"/>
  <c r="AU55" i="1" s="1"/>
  <c r="AV53" i="1" s="1"/>
  <c r="AX56" i="28"/>
  <c r="AX54" i="28" s="1"/>
  <c r="AX55" i="28" s="1"/>
  <c r="AY53" i="28" s="1"/>
  <c r="AY48" i="36"/>
  <c r="AX127" i="36"/>
  <c r="AW49" i="35"/>
  <c r="AW61" i="35"/>
  <c r="AW122" i="35"/>
  <c r="AW124" i="35" s="1"/>
  <c r="AW138" i="35"/>
  <c r="K45" i="5"/>
  <c r="K47" i="5"/>
  <c r="O25" i="3"/>
  <c r="P23" i="3" s="1"/>
  <c r="P54" i="34"/>
  <c r="Q51" i="34" s="1"/>
  <c r="P63" i="34"/>
  <c r="P60" i="34"/>
  <c r="AX89" i="35"/>
  <c r="AY45" i="35"/>
  <c r="AX48" i="35"/>
  <c r="N64" i="33"/>
  <c r="N67" i="33"/>
  <c r="AX45" i="31"/>
  <c r="AW89" i="31"/>
  <c r="AW48" i="31"/>
  <c r="AW122" i="31" s="1"/>
  <c r="O28" i="4"/>
  <c r="O26" i="4" s="1"/>
  <c r="O29" i="4" s="1"/>
  <c r="O32" i="4" s="1"/>
  <c r="AV133" i="31"/>
  <c r="AV61" i="31"/>
  <c r="AV49" i="31"/>
  <c r="AV124" i="31"/>
  <c r="AY39" i="26" l="1"/>
  <c r="AX83" i="26"/>
  <c r="AX42" i="26"/>
  <c r="AW109" i="26"/>
  <c r="AW111" i="26" s="1"/>
  <c r="AW126" i="26"/>
  <c r="AW55" i="26"/>
  <c r="AW43" i="26"/>
  <c r="AY182" i="36"/>
  <c r="BJ49" i="37"/>
  <c r="BJ170" i="37"/>
  <c r="BJ172" i="37" s="1"/>
  <c r="V112" i="37"/>
  <c r="V114" i="37" s="1"/>
  <c r="U166" i="37"/>
  <c r="BI180" i="37"/>
  <c r="BK123" i="37"/>
  <c r="BL45" i="37"/>
  <c r="BK48" i="37"/>
  <c r="AZ37" i="18"/>
  <c r="AY89" i="18"/>
  <c r="AY39" i="18"/>
  <c r="AX40" i="18"/>
  <c r="AX87" i="18"/>
  <c r="AX52" i="18"/>
  <c r="AX104" i="18"/>
  <c r="AY33" i="8"/>
  <c r="AZ31" i="8"/>
  <c r="AD93" i="1"/>
  <c r="AE90" i="1" s="1"/>
  <c r="AX34" i="8"/>
  <c r="AX70" i="8"/>
  <c r="O57" i="33"/>
  <c r="P54" i="33" s="1"/>
  <c r="P59" i="33" s="1"/>
  <c r="P55" i="33" s="1"/>
  <c r="P60" i="33" s="1"/>
  <c r="AX30" i="30"/>
  <c r="AX66" i="30"/>
  <c r="O27" i="4"/>
  <c r="P25" i="4" s="1"/>
  <c r="L39" i="5"/>
  <c r="M37" i="5" s="1"/>
  <c r="M40" i="5" s="1"/>
  <c r="M38" i="5" s="1"/>
  <c r="M44" i="5" s="1"/>
  <c r="AZ27" i="30"/>
  <c r="AY29" i="30"/>
  <c r="AY106" i="28"/>
  <c r="AY104" i="28" s="1"/>
  <c r="AY105" i="28" s="1"/>
  <c r="AZ103" i="28" s="1"/>
  <c r="AV56" i="1"/>
  <c r="AV54" i="1" s="1"/>
  <c r="AV55" i="1" s="1"/>
  <c r="AW53" i="1" s="1"/>
  <c r="O64" i="33"/>
  <c r="O67" i="33"/>
  <c r="P28" i="4"/>
  <c r="P26" i="4" s="1"/>
  <c r="P29" i="4" s="1"/>
  <c r="P32" i="4" s="1"/>
  <c r="AX48" i="31"/>
  <c r="AX122" i="31" s="1"/>
  <c r="AY45" i="31"/>
  <c r="AX89" i="31"/>
  <c r="Q56" i="34"/>
  <c r="Q52" i="34" s="1"/>
  <c r="Q57" i="34" s="1"/>
  <c r="AX49" i="35"/>
  <c r="AX122" i="35"/>
  <c r="AX124" i="35" s="1"/>
  <c r="AX138" i="35"/>
  <c r="AX61" i="35"/>
  <c r="L47" i="5"/>
  <c r="L45" i="5"/>
  <c r="AE88" i="1"/>
  <c r="AE91" i="1" s="1"/>
  <c r="AE92" i="1" s="1"/>
  <c r="AE95" i="1" s="1"/>
  <c r="AW61" i="31"/>
  <c r="AW124" i="31"/>
  <c r="AW133" i="31"/>
  <c r="AW49" i="31"/>
  <c r="AZ45" i="35"/>
  <c r="AY48" i="35"/>
  <c r="AY89" i="35"/>
  <c r="P26" i="3"/>
  <c r="P24" i="3" s="1"/>
  <c r="P27" i="3" s="1"/>
  <c r="P31" i="3" s="1"/>
  <c r="AZ48" i="36"/>
  <c r="AY127" i="36"/>
  <c r="AY56" i="28"/>
  <c r="AY54" i="28" s="1"/>
  <c r="AY55" i="28" s="1"/>
  <c r="AZ53" i="28" s="1"/>
  <c r="AX126" i="26" l="1"/>
  <c r="AX55" i="26"/>
  <c r="AX43" i="26"/>
  <c r="AX109" i="26"/>
  <c r="AX111" i="26" s="1"/>
  <c r="AY83" i="26"/>
  <c r="AZ39" i="26"/>
  <c r="AY42" i="26"/>
  <c r="AZ182" i="36"/>
  <c r="BL123" i="37"/>
  <c r="BL48" i="37"/>
  <c r="W112" i="37"/>
  <c r="W114" i="37" s="1"/>
  <c r="V166" i="37"/>
  <c r="BK49" i="37"/>
  <c r="BK170" i="37"/>
  <c r="BK172" i="37" s="1"/>
  <c r="BJ180" i="37"/>
  <c r="AZ39" i="18"/>
  <c r="BA37" i="18"/>
  <c r="AZ89" i="18"/>
  <c r="AY104" i="18"/>
  <c r="AY52" i="18"/>
  <c r="AY87" i="18"/>
  <c r="AY40" i="18"/>
  <c r="AE93" i="1"/>
  <c r="AF90" i="1" s="1"/>
  <c r="AF88" i="1" s="1"/>
  <c r="AF91" i="1" s="1"/>
  <c r="AF92" i="1" s="1"/>
  <c r="AF95" i="1" s="1"/>
  <c r="AZ33" i="8"/>
  <c r="BA31" i="8"/>
  <c r="AY34" i="8"/>
  <c r="AY70" i="8"/>
  <c r="P57" i="33"/>
  <c r="Q54" i="33" s="1"/>
  <c r="Q59" i="33" s="1"/>
  <c r="Q55" i="33" s="1"/>
  <c r="Q60" i="33" s="1"/>
  <c r="M39" i="5"/>
  <c r="N37" i="5" s="1"/>
  <c r="P25" i="3"/>
  <c r="Q23" i="3" s="1"/>
  <c r="Q26" i="3" s="1"/>
  <c r="Q24" i="3" s="1"/>
  <c r="Q27" i="3" s="1"/>
  <c r="Q31" i="3" s="1"/>
  <c r="P27" i="4"/>
  <c r="Q25" i="4" s="1"/>
  <c r="Q28" i="4" s="1"/>
  <c r="Q26" i="4" s="1"/>
  <c r="Q29" i="4" s="1"/>
  <c r="Q32" i="4" s="1"/>
  <c r="AY30" i="30"/>
  <c r="AY66" i="30"/>
  <c r="BA27" i="30"/>
  <c r="AZ29" i="30"/>
  <c r="AZ56" i="28"/>
  <c r="AZ54" i="28" s="1"/>
  <c r="AZ55" i="28" s="1"/>
  <c r="BA53" i="28" s="1"/>
  <c r="AY138" i="35"/>
  <c r="AY49" i="35"/>
  <c r="AY61" i="35"/>
  <c r="AY122" i="35"/>
  <c r="AY124" i="35" s="1"/>
  <c r="Q54" i="34"/>
  <c r="R51" i="34" s="1"/>
  <c r="AX61" i="31"/>
  <c r="AX124" i="31"/>
  <c r="AX133" i="31"/>
  <c r="AX49" i="31"/>
  <c r="BA48" i="36"/>
  <c r="AZ127" i="36"/>
  <c r="N40" i="5"/>
  <c r="N38" i="5" s="1"/>
  <c r="N44" i="5" s="1"/>
  <c r="AZ89" i="35"/>
  <c r="BA45" i="35"/>
  <c r="AZ48" i="35"/>
  <c r="Q63" i="34"/>
  <c r="Q60" i="34"/>
  <c r="M45" i="5"/>
  <c r="M47" i="5"/>
  <c r="P64" i="33"/>
  <c r="P67" i="33"/>
  <c r="AZ45" i="31"/>
  <c r="AY48" i="31"/>
  <c r="AY122" i="31" s="1"/>
  <c r="AY89" i="31"/>
  <c r="AW56" i="1"/>
  <c r="AW54" i="1" s="1"/>
  <c r="AW55" i="1" s="1"/>
  <c r="AX53" i="1" s="1"/>
  <c r="AZ106" i="28"/>
  <c r="AZ104" i="28" s="1"/>
  <c r="AZ105" i="28" s="1"/>
  <c r="BA103" i="28" s="1"/>
  <c r="AY43" i="26" l="1"/>
  <c r="AY109" i="26"/>
  <c r="AY111" i="26" s="1"/>
  <c r="AY55" i="26"/>
  <c r="AY126" i="26"/>
  <c r="BA39" i="26"/>
  <c r="AZ42" i="26"/>
  <c r="AZ83" i="26"/>
  <c r="BA182" i="36"/>
  <c r="BK180" i="37"/>
  <c r="BL49" i="37"/>
  <c r="D65" i="37" s="1"/>
  <c r="D66" i="37" s="1"/>
  <c r="D72" i="37" s="1"/>
  <c r="D87" i="37" s="1"/>
  <c r="E87" i="37" s="1"/>
  <c r="BL170" i="37"/>
  <c r="BL172" i="37" s="1"/>
  <c r="X112" i="37"/>
  <c r="X114" i="37" s="1"/>
  <c r="W166" i="37"/>
  <c r="BA39" i="18"/>
  <c r="BB37" i="18"/>
  <c r="BA89" i="18"/>
  <c r="AZ40" i="18"/>
  <c r="AZ52" i="18"/>
  <c r="AZ87" i="18"/>
  <c r="AZ104" i="18"/>
  <c r="BA33" i="8"/>
  <c r="BB31" i="8"/>
  <c r="AZ70" i="8"/>
  <c r="AZ34" i="8"/>
  <c r="Q57" i="33"/>
  <c r="R54" i="33" s="1"/>
  <c r="R59" i="33" s="1"/>
  <c r="R55" i="33" s="1"/>
  <c r="R60" i="33" s="1"/>
  <c r="AF93" i="1"/>
  <c r="AG90" i="1" s="1"/>
  <c r="AZ30" i="30"/>
  <c r="AZ66" i="30"/>
  <c r="BB27" i="30"/>
  <c r="BA29" i="30"/>
  <c r="AG88" i="1"/>
  <c r="AG91" i="1" s="1"/>
  <c r="AG92" i="1" s="1"/>
  <c r="AG95" i="1" s="1"/>
  <c r="BA56" i="28"/>
  <c r="BA54" i="28" s="1"/>
  <c r="BA55" i="28" s="1"/>
  <c r="BB53" i="28" s="1"/>
  <c r="AX56" i="1"/>
  <c r="AX54" i="1" s="1"/>
  <c r="AX55" i="1" s="1"/>
  <c r="AY53" i="1" s="1"/>
  <c r="AY133" i="31"/>
  <c r="AY61" i="31"/>
  <c r="AY49" i="31"/>
  <c r="AY124" i="31"/>
  <c r="Q25" i="3"/>
  <c r="R23" i="3" s="1"/>
  <c r="Q64" i="33"/>
  <c r="Q67" i="33"/>
  <c r="BA48" i="35"/>
  <c r="BB45" i="35"/>
  <c r="BA89" i="35"/>
  <c r="N39" i="5"/>
  <c r="O37" i="5" s="1"/>
  <c r="Q27" i="4"/>
  <c r="R25" i="4" s="1"/>
  <c r="BB48" i="36"/>
  <c r="BA127" i="36"/>
  <c r="AZ48" i="31"/>
  <c r="AZ122" i="31" s="1"/>
  <c r="AZ89" i="31"/>
  <c r="BA45" i="31"/>
  <c r="AZ61" i="35"/>
  <c r="AZ122" i="35"/>
  <c r="AZ124" i="35" s="1"/>
  <c r="AZ138" i="35"/>
  <c r="AZ49" i="35"/>
  <c r="BA106" i="28"/>
  <c r="BA104" i="28" s="1"/>
  <c r="BA105" i="28" s="1"/>
  <c r="BB103" i="28" s="1"/>
  <c r="N45" i="5"/>
  <c r="N47" i="5"/>
  <c r="R56" i="34"/>
  <c r="R52" i="34" s="1"/>
  <c r="R57" i="34" s="1"/>
  <c r="AZ55" i="26" l="1"/>
  <c r="AZ43" i="26"/>
  <c r="AZ126" i="26"/>
  <c r="AZ109" i="26"/>
  <c r="AZ111" i="26" s="1"/>
  <c r="BA83" i="26"/>
  <c r="BA42" i="26"/>
  <c r="BB39" i="26"/>
  <c r="O60" i="36"/>
  <c r="AX50" i="36"/>
  <c r="Q49" i="36"/>
  <c r="M49" i="36"/>
  <c r="AO49" i="36"/>
  <c r="AC54" i="36"/>
  <c r="AC131" i="36" s="1"/>
  <c r="W54" i="36"/>
  <c r="W131" i="36" s="1"/>
  <c r="AS60" i="36"/>
  <c r="BK49" i="36"/>
  <c r="BK129" i="36" s="1"/>
  <c r="E54" i="36"/>
  <c r="E131" i="36" s="1"/>
  <c r="AG54" i="36"/>
  <c r="AG131" i="36" s="1"/>
  <c r="BD49" i="36"/>
  <c r="BD129" i="36" s="1"/>
  <c r="O82" i="36"/>
  <c r="BG82" i="36"/>
  <c r="H82" i="36"/>
  <c r="AI60" i="36"/>
  <c r="Y49" i="36"/>
  <c r="AJ50" i="36"/>
  <c r="BL50" i="36"/>
  <c r="AU54" i="36"/>
  <c r="AU131" i="36" s="1"/>
  <c r="BJ50" i="36"/>
  <c r="BJ54" i="36"/>
  <c r="BJ131" i="36" s="1"/>
  <c r="L60" i="36"/>
  <c r="W60" i="36"/>
  <c r="BC54" i="36"/>
  <c r="BC131" i="36" s="1"/>
  <c r="N49" i="36"/>
  <c r="X49" i="36"/>
  <c r="AZ60" i="36"/>
  <c r="AM60" i="36"/>
  <c r="AH82" i="36"/>
  <c r="AX60" i="36"/>
  <c r="P49" i="36"/>
  <c r="AK82" i="36"/>
  <c r="AX54" i="36"/>
  <c r="AX131" i="36" s="1"/>
  <c r="AS54" i="36"/>
  <c r="AS131" i="36" s="1"/>
  <c r="BF54" i="36"/>
  <c r="BF131" i="36" s="1"/>
  <c r="N60" i="36"/>
  <c r="BH50" i="36"/>
  <c r="AL54" i="36"/>
  <c r="AL131" i="36" s="1"/>
  <c r="AM49" i="36"/>
  <c r="V50" i="36"/>
  <c r="AW50" i="36"/>
  <c r="I49" i="36"/>
  <c r="Y60" i="36"/>
  <c r="BE54" i="36"/>
  <c r="BE131" i="36" s="1"/>
  <c r="AG60" i="36"/>
  <c r="M60" i="36"/>
  <c r="BL49" i="36"/>
  <c r="BL129" i="36" s="1"/>
  <c r="BI54" i="36"/>
  <c r="BI131" i="36" s="1"/>
  <c r="BG60" i="36"/>
  <c r="AD49" i="36"/>
  <c r="G60" i="36"/>
  <c r="H49" i="36"/>
  <c r="M82" i="36"/>
  <c r="Q54" i="36"/>
  <c r="Q131" i="36" s="1"/>
  <c r="V49" i="36"/>
  <c r="BB60" i="36"/>
  <c r="Y54" i="36"/>
  <c r="Y131" i="36" s="1"/>
  <c r="Q60" i="36"/>
  <c r="AY50" i="36"/>
  <c r="AN49" i="36"/>
  <c r="BD60" i="36"/>
  <c r="AH50" i="36"/>
  <c r="AA49" i="36"/>
  <c r="G33" i="36"/>
  <c r="D33" i="36" s="1"/>
  <c r="Q82" i="36"/>
  <c r="F54" i="36"/>
  <c r="F131" i="36" s="1"/>
  <c r="AF82" i="36"/>
  <c r="F50" i="36"/>
  <c r="I54" i="36"/>
  <c r="I131" i="36" s="1"/>
  <c r="N82" i="36"/>
  <c r="AW49" i="36"/>
  <c r="AK49" i="36"/>
  <c r="L54" i="36"/>
  <c r="L131" i="36" s="1"/>
  <c r="AF60" i="36"/>
  <c r="AC60" i="36"/>
  <c r="R49" i="36"/>
  <c r="Z49" i="36"/>
  <c r="BD50" i="36"/>
  <c r="AF54" i="36"/>
  <c r="AF131" i="36" s="1"/>
  <c r="AV49" i="36"/>
  <c r="U60" i="36"/>
  <c r="H50" i="36"/>
  <c r="AM54" i="36"/>
  <c r="AM131" i="36" s="1"/>
  <c r="P82" i="36"/>
  <c r="O50" i="36"/>
  <c r="AB50" i="36"/>
  <c r="AN50" i="36"/>
  <c r="AJ60" i="36"/>
  <c r="BI60" i="36"/>
  <c r="AU50" i="36"/>
  <c r="X82" i="36"/>
  <c r="AW82" i="36"/>
  <c r="AX49" i="36"/>
  <c r="G49" i="36"/>
  <c r="AI54" i="36"/>
  <c r="AI131" i="36" s="1"/>
  <c r="K50" i="36"/>
  <c r="AG82" i="36"/>
  <c r="AY54" i="36"/>
  <c r="AY131" i="36" s="1"/>
  <c r="AA50" i="36"/>
  <c r="BB50" i="36"/>
  <c r="K60" i="36"/>
  <c r="Z60" i="36"/>
  <c r="J82" i="36"/>
  <c r="T60" i="36"/>
  <c r="E82" i="36"/>
  <c r="AF50" i="36"/>
  <c r="AT50" i="36"/>
  <c r="AN54" i="36"/>
  <c r="AN131" i="36" s="1"/>
  <c r="AT60" i="36"/>
  <c r="BE50" i="36"/>
  <c r="AU49" i="36"/>
  <c r="AO82" i="36"/>
  <c r="BL54" i="36"/>
  <c r="BL131" i="36" s="1"/>
  <c r="BA50" i="36"/>
  <c r="BJ49" i="36"/>
  <c r="BJ129" i="36" s="1"/>
  <c r="AZ49" i="36"/>
  <c r="BA82" i="36"/>
  <c r="BE60" i="36"/>
  <c r="AH49" i="36"/>
  <c r="U50" i="36"/>
  <c r="N54" i="36"/>
  <c r="N131" i="36" s="1"/>
  <c r="AR50" i="36"/>
  <c r="BD54" i="36"/>
  <c r="BD131" i="36" s="1"/>
  <c r="AE54" i="36"/>
  <c r="AE131" i="36" s="1"/>
  <c r="BH54" i="36"/>
  <c r="BH131" i="36" s="1"/>
  <c r="BA54" i="36"/>
  <c r="BA131" i="36" s="1"/>
  <c r="BB82" i="36"/>
  <c r="BC50" i="36"/>
  <c r="AY60" i="36"/>
  <c r="D34" i="36"/>
  <c r="D131" i="36" s="1"/>
  <c r="AL60" i="36"/>
  <c r="BJ60" i="36"/>
  <c r="AJ54" i="36"/>
  <c r="AJ131" i="36" s="1"/>
  <c r="AG50" i="36"/>
  <c r="AQ82" i="36"/>
  <c r="P60" i="36"/>
  <c r="BL82" i="36"/>
  <c r="W50" i="36"/>
  <c r="BH60" i="36"/>
  <c r="Z54" i="36"/>
  <c r="Z131" i="36" s="1"/>
  <c r="AQ50" i="36"/>
  <c r="P54" i="36"/>
  <c r="P131" i="36" s="1"/>
  <c r="BK54" i="36"/>
  <c r="BK131" i="36" s="1"/>
  <c r="BH49" i="36"/>
  <c r="BH129" i="36" s="1"/>
  <c r="I60" i="36"/>
  <c r="AE49" i="36"/>
  <c r="G50" i="36"/>
  <c r="AE50" i="36"/>
  <c r="H60" i="36"/>
  <c r="AA54" i="36"/>
  <c r="AA131" i="36" s="1"/>
  <c r="K49" i="36"/>
  <c r="I82" i="36"/>
  <c r="BF82" i="36"/>
  <c r="AZ82" i="36"/>
  <c r="U82" i="36"/>
  <c r="AH60" i="36"/>
  <c r="BL60" i="36"/>
  <c r="BK62" i="36" s="1"/>
  <c r="BI50" i="36"/>
  <c r="AW60" i="36"/>
  <c r="E60" i="36"/>
  <c r="AJ82" i="36"/>
  <c r="AM82" i="36"/>
  <c r="BI82" i="36"/>
  <c r="AE82" i="36"/>
  <c r="BI49" i="36"/>
  <c r="BI129" i="36" s="1"/>
  <c r="AV50" i="36"/>
  <c r="AD54" i="36"/>
  <c r="AD131" i="36" s="1"/>
  <c r="BK82" i="36"/>
  <c r="BG54" i="36"/>
  <c r="BG131" i="36" s="1"/>
  <c r="R54" i="36"/>
  <c r="R131" i="36" s="1"/>
  <c r="S49" i="36"/>
  <c r="AK60" i="36"/>
  <c r="AR60" i="36"/>
  <c r="J49" i="36"/>
  <c r="AO50" i="36"/>
  <c r="X60" i="36"/>
  <c r="N50" i="36"/>
  <c r="AH54" i="36"/>
  <c r="AH131" i="36" s="1"/>
  <c r="AC49" i="36"/>
  <c r="AR49" i="36"/>
  <c r="BA60" i="36"/>
  <c r="AL49" i="36"/>
  <c r="AG49" i="36"/>
  <c r="AY82" i="36"/>
  <c r="BC60" i="36"/>
  <c r="AO54" i="36"/>
  <c r="AO131" i="36" s="1"/>
  <c r="Y82" i="36"/>
  <c r="AB54" i="36"/>
  <c r="AB131" i="36" s="1"/>
  <c r="R50" i="36"/>
  <c r="U54" i="36"/>
  <c r="U131" i="36" s="1"/>
  <c r="AL82" i="36"/>
  <c r="BK60" i="36"/>
  <c r="AD50" i="36"/>
  <c r="S54" i="36"/>
  <c r="S131" i="36" s="1"/>
  <c r="AJ49" i="36"/>
  <c r="P50" i="36"/>
  <c r="V60" i="36"/>
  <c r="AA82" i="36"/>
  <c r="R60" i="36"/>
  <c r="V54" i="36"/>
  <c r="V131" i="36" s="1"/>
  <c r="AI49" i="36"/>
  <c r="BE49" i="36"/>
  <c r="BE129" i="36" s="1"/>
  <c r="AC50" i="36"/>
  <c r="AY49" i="36"/>
  <c r="AQ60" i="36"/>
  <c r="H54" i="36"/>
  <c r="H131" i="36" s="1"/>
  <c r="AV54" i="36"/>
  <c r="AV131" i="36" s="1"/>
  <c r="AD60" i="36"/>
  <c r="T49" i="36"/>
  <c r="I50" i="36"/>
  <c r="AN60" i="36"/>
  <c r="BF60" i="36"/>
  <c r="L49" i="36"/>
  <c r="AN82" i="36"/>
  <c r="AI50" i="36"/>
  <c r="BF50" i="36"/>
  <c r="S60" i="36"/>
  <c r="AK50" i="36"/>
  <c r="Z50" i="36"/>
  <c r="Z82" i="36"/>
  <c r="BC49" i="36"/>
  <c r="BC129" i="36" s="1"/>
  <c r="O49" i="36"/>
  <c r="AW54" i="36"/>
  <c r="AW131" i="36" s="1"/>
  <c r="Y50" i="36"/>
  <c r="AQ49" i="36"/>
  <c r="G54" i="36"/>
  <c r="G131" i="36" s="1"/>
  <c r="T50" i="36"/>
  <c r="X54" i="36"/>
  <c r="X131" i="36" s="1"/>
  <c r="AK54" i="36"/>
  <c r="AK131" i="36" s="1"/>
  <c r="AT82" i="36"/>
  <c r="F49" i="36"/>
  <c r="E49" i="36"/>
  <c r="AQ54" i="36"/>
  <c r="AQ131" i="36" s="1"/>
  <c r="AB82" i="36"/>
  <c r="BA49" i="36"/>
  <c r="BF49" i="36"/>
  <c r="BF129" i="36" s="1"/>
  <c r="AT54" i="36"/>
  <c r="AT131" i="36" s="1"/>
  <c r="AV60" i="36"/>
  <c r="E50" i="36"/>
  <c r="T54" i="36"/>
  <c r="T131" i="36" s="1"/>
  <c r="BC82" i="36"/>
  <c r="J54" i="36"/>
  <c r="J131" i="36" s="1"/>
  <c r="AP50" i="36"/>
  <c r="K82" i="36"/>
  <c r="BJ82" i="36"/>
  <c r="AT49" i="36"/>
  <c r="AP82" i="36"/>
  <c r="BB54" i="36"/>
  <c r="BB131" i="36" s="1"/>
  <c r="AP49" i="36"/>
  <c r="X50" i="36"/>
  <c r="AM50" i="36"/>
  <c r="AS50" i="36"/>
  <c r="BG50" i="36"/>
  <c r="BB49" i="36"/>
  <c r="BB129" i="36" s="1"/>
  <c r="J50" i="36"/>
  <c r="AR54" i="36"/>
  <c r="AR131" i="36" s="1"/>
  <c r="AB49" i="36"/>
  <c r="F60" i="36"/>
  <c r="AO60" i="36"/>
  <c r="AD82" i="36"/>
  <c r="AU82" i="36"/>
  <c r="AF49" i="36"/>
  <c r="BG49" i="36"/>
  <c r="BG129" i="36" s="1"/>
  <c r="AI82" i="36"/>
  <c r="J60" i="36"/>
  <c r="BK50" i="36"/>
  <c r="O54" i="36"/>
  <c r="O131" i="36" s="1"/>
  <c r="AL50" i="36"/>
  <c r="BE82" i="36"/>
  <c r="F82" i="36"/>
  <c r="AX82" i="36"/>
  <c r="AU60" i="36"/>
  <c r="Q50" i="36"/>
  <c r="M50" i="36"/>
  <c r="U49" i="36"/>
  <c r="AZ54" i="36"/>
  <c r="AZ131" i="36" s="1"/>
  <c r="AZ50" i="36"/>
  <c r="AA60" i="36"/>
  <c r="T82" i="36"/>
  <c r="AP54" i="36"/>
  <c r="AP131" i="36" s="1"/>
  <c r="AE60" i="36"/>
  <c r="M54" i="36"/>
  <c r="M131" i="36" s="1"/>
  <c r="K54" i="36"/>
  <c r="K131" i="36" s="1"/>
  <c r="D66" i="36"/>
  <c r="AR82" i="36"/>
  <c r="AB60" i="36"/>
  <c r="AV82" i="36"/>
  <c r="V82" i="36"/>
  <c r="AS49" i="36"/>
  <c r="R82" i="36"/>
  <c r="L82" i="36"/>
  <c r="BH82" i="36"/>
  <c r="L50" i="36"/>
  <c r="AP60" i="36"/>
  <c r="W49" i="36"/>
  <c r="BD82" i="36"/>
  <c r="AS82" i="36"/>
  <c r="AC82" i="36"/>
  <c r="W82" i="36"/>
  <c r="G82" i="36"/>
  <c r="S82" i="36"/>
  <c r="S50" i="36"/>
  <c r="BB182" i="36"/>
  <c r="E88" i="37"/>
  <c r="F87" i="37"/>
  <c r="BL180" i="37"/>
  <c r="Y112" i="37"/>
  <c r="Y114" i="37" s="1"/>
  <c r="X166" i="37"/>
  <c r="BC37" i="18"/>
  <c r="BB89" i="18"/>
  <c r="BB39" i="18"/>
  <c r="BA87" i="18"/>
  <c r="BA40" i="18"/>
  <c r="BA52" i="18"/>
  <c r="BA104" i="18"/>
  <c r="BB33" i="8"/>
  <c r="BC31" i="8"/>
  <c r="BA34" i="8"/>
  <c r="BA70" i="8"/>
  <c r="BC27" i="30"/>
  <c r="BB29" i="30"/>
  <c r="R57" i="33"/>
  <c r="S54" i="33" s="1"/>
  <c r="S59" i="33" s="1"/>
  <c r="S55" i="33" s="1"/>
  <c r="S60" i="33" s="1"/>
  <c r="BA66" i="30"/>
  <c r="BA30" i="30"/>
  <c r="AY56" i="1"/>
  <c r="AY54" i="1" s="1"/>
  <c r="AY55" i="1" s="1"/>
  <c r="AZ53" i="1" s="1"/>
  <c r="BB106" i="28"/>
  <c r="BB104" i="28" s="1"/>
  <c r="BB105" i="28" s="1"/>
  <c r="BC103" i="28" s="1"/>
  <c r="R28" i="4"/>
  <c r="R26" i="4" s="1"/>
  <c r="R29" i="4" s="1"/>
  <c r="R32" i="4" s="1"/>
  <c r="R54" i="34"/>
  <c r="S51" i="34" s="1"/>
  <c r="O40" i="5"/>
  <c r="O38" i="5" s="1"/>
  <c r="O44" i="5" s="1"/>
  <c r="R63" i="34"/>
  <c r="R60" i="34"/>
  <c r="AZ124" i="31"/>
  <c r="AZ133" i="31"/>
  <c r="AZ61" i="31"/>
  <c r="AZ49" i="31"/>
  <c r="BA48" i="31"/>
  <c r="BA122" i="31" s="1"/>
  <c r="BA89" i="31"/>
  <c r="BB45" i="31"/>
  <c r="AG93" i="1"/>
  <c r="AH90" i="1" s="1"/>
  <c r="BC48" i="36"/>
  <c r="BB127" i="36"/>
  <c r="BB89" i="35"/>
  <c r="BC45" i="35"/>
  <c r="BB48" i="35"/>
  <c r="R26" i="3"/>
  <c r="R24" i="3" s="1"/>
  <c r="R27" i="3" s="1"/>
  <c r="R31" i="3" s="1"/>
  <c r="R64" i="33"/>
  <c r="R67" i="33"/>
  <c r="BA49" i="35"/>
  <c r="BA61" i="35"/>
  <c r="BA122" i="35"/>
  <c r="BA124" i="35" s="1"/>
  <c r="BA138" i="35"/>
  <c r="BB56" i="28"/>
  <c r="BB54" i="28" s="1"/>
  <c r="BB55" i="28" s="1"/>
  <c r="BC53" i="28" s="1"/>
  <c r="BC39" i="26" l="1"/>
  <c r="BB83" i="26"/>
  <c r="BB42" i="26"/>
  <c r="BA43" i="26"/>
  <c r="BA126" i="26"/>
  <c r="BA109" i="26"/>
  <c r="BA111" i="26" s="1"/>
  <c r="BA55" i="26"/>
  <c r="BB62" i="36"/>
  <c r="G62" i="36"/>
  <c r="M62" i="36"/>
  <c r="BG62" i="36"/>
  <c r="BE62" i="36"/>
  <c r="S62" i="36"/>
  <c r="AA62" i="36"/>
  <c r="E62" i="36"/>
  <c r="U62" i="36"/>
  <c r="AQ62" i="36"/>
  <c r="AX62" i="36"/>
  <c r="W62" i="36"/>
  <c r="AJ62" i="36"/>
  <c r="R62" i="36"/>
  <c r="AZ62" i="36"/>
  <c r="AV62" i="36"/>
  <c r="O62" i="36"/>
  <c r="AK62" i="36"/>
  <c r="J62" i="36"/>
  <c r="AG62" i="36"/>
  <c r="AD62" i="36"/>
  <c r="Z62" i="36"/>
  <c r="AU62" i="36"/>
  <c r="BI62" i="36"/>
  <c r="F62" i="36"/>
  <c r="K62" i="36"/>
  <c r="I62" i="36"/>
  <c r="AN62" i="36"/>
  <c r="Q62" i="36"/>
  <c r="BC62" i="36"/>
  <c r="AO62" i="36"/>
  <c r="H62" i="36"/>
  <c r="BD62" i="36"/>
  <c r="AE62" i="36"/>
  <c r="L62" i="36"/>
  <c r="V62" i="36"/>
  <c r="BF62" i="36"/>
  <c r="X62" i="36"/>
  <c r="AH62" i="36"/>
  <c r="AT62" i="36"/>
  <c r="AM62" i="36"/>
  <c r="AC62" i="36"/>
  <c r="BJ62" i="36"/>
  <c r="D62" i="36"/>
  <c r="AS62" i="36"/>
  <c r="BH62" i="36"/>
  <c r="AB62" i="36"/>
  <c r="P62" i="36"/>
  <c r="AY62" i="36"/>
  <c r="AR62" i="36"/>
  <c r="N62" i="36"/>
  <c r="AP62" i="36"/>
  <c r="Y62" i="36"/>
  <c r="AI62" i="36"/>
  <c r="T62" i="36"/>
  <c r="BA62" i="36"/>
  <c r="AF62" i="36"/>
  <c r="AW62" i="36"/>
  <c r="AL62" i="36"/>
  <c r="BB51" i="36"/>
  <c r="BB174" i="36" s="1"/>
  <c r="W51" i="36"/>
  <c r="W129" i="36"/>
  <c r="D69" i="36"/>
  <c r="D99" i="36"/>
  <c r="D85" i="36"/>
  <c r="AS129" i="36"/>
  <c r="AS51" i="36"/>
  <c r="AB51" i="36"/>
  <c r="AB129" i="36"/>
  <c r="AQ51" i="36"/>
  <c r="AQ129" i="36"/>
  <c r="O51" i="36"/>
  <c r="O129" i="36"/>
  <c r="T51" i="36"/>
  <c r="T129" i="36"/>
  <c r="AY129" i="36"/>
  <c r="AY51" i="36"/>
  <c r="AR129" i="36"/>
  <c r="AR51" i="36"/>
  <c r="AX129" i="36"/>
  <c r="AX51" i="36"/>
  <c r="AN51" i="36"/>
  <c r="AN129" i="36"/>
  <c r="V129" i="36"/>
  <c r="V51" i="36"/>
  <c r="AD51" i="36"/>
  <c r="AD129" i="36"/>
  <c r="AO51" i="36"/>
  <c r="AO129" i="36"/>
  <c r="U51" i="36"/>
  <c r="U129" i="36"/>
  <c r="AT129" i="36"/>
  <c r="AT51" i="36"/>
  <c r="BA129" i="36"/>
  <c r="BA51" i="36"/>
  <c r="S51" i="36"/>
  <c r="S129" i="36"/>
  <c r="K129" i="36"/>
  <c r="K51" i="36"/>
  <c r="V132" i="36"/>
  <c r="BC132" i="36"/>
  <c r="I132" i="36"/>
  <c r="Q132" i="36"/>
  <c r="AU132" i="36"/>
  <c r="AH132" i="36"/>
  <c r="S132" i="36"/>
  <c r="BG132" i="36"/>
  <c r="AC132" i="36"/>
  <c r="BK132" i="36"/>
  <c r="BA132" i="36"/>
  <c r="AQ132" i="36"/>
  <c r="M132" i="36"/>
  <c r="O132" i="36"/>
  <c r="E132" i="36"/>
  <c r="AG132" i="36"/>
  <c r="AJ132" i="36"/>
  <c r="AX132" i="36"/>
  <c r="AI132" i="36"/>
  <c r="P132" i="36"/>
  <c r="AS132" i="36"/>
  <c r="AZ132" i="36"/>
  <c r="N132" i="36"/>
  <c r="BB132" i="36"/>
  <c r="AB132" i="36"/>
  <c r="AO132" i="36"/>
  <c r="AP132" i="36"/>
  <c r="AL132" i="36"/>
  <c r="L132" i="36"/>
  <c r="Y132" i="36"/>
  <c r="AF132" i="36"/>
  <c r="BI132" i="36"/>
  <c r="AK132" i="36"/>
  <c r="AD132" i="36"/>
  <c r="K132" i="36"/>
  <c r="AR132" i="36"/>
  <c r="BE132" i="36"/>
  <c r="AE132" i="36"/>
  <c r="AN132" i="36"/>
  <c r="W132" i="36"/>
  <c r="H132" i="36"/>
  <c r="AW132" i="36"/>
  <c r="U132" i="36"/>
  <c r="G132" i="36"/>
  <c r="AY132" i="36"/>
  <c r="AA132" i="36"/>
  <c r="BH132" i="36"/>
  <c r="Z132" i="36"/>
  <c r="T132" i="36"/>
  <c r="F132" i="36"/>
  <c r="AM132" i="36"/>
  <c r="X132" i="36"/>
  <c r="BL132" i="36"/>
  <c r="BF132" i="36"/>
  <c r="R132" i="36"/>
  <c r="BJ132" i="36"/>
  <c r="AV132" i="36"/>
  <c r="J132" i="36"/>
  <c r="BD132" i="36"/>
  <c r="AT132" i="36"/>
  <c r="AV129" i="36"/>
  <c r="AV51" i="36"/>
  <c r="R51" i="36"/>
  <c r="R129" i="36"/>
  <c r="AW129" i="36"/>
  <c r="AW51" i="36"/>
  <c r="D118" i="36"/>
  <c r="D35" i="36"/>
  <c r="D37" i="36" s="1"/>
  <c r="D71" i="36" s="1"/>
  <c r="D73" i="36" s="1"/>
  <c r="D195" i="36"/>
  <c r="H51" i="36"/>
  <c r="H129" i="36"/>
  <c r="AM51" i="36"/>
  <c r="AM129" i="36"/>
  <c r="P51" i="36"/>
  <c r="P129" i="36"/>
  <c r="M129" i="36"/>
  <c r="M51" i="36"/>
  <c r="AF51" i="36"/>
  <c r="AF129" i="36"/>
  <c r="E51" i="36"/>
  <c r="E129" i="36"/>
  <c r="L129" i="36"/>
  <c r="L51" i="36"/>
  <c r="AL51" i="36"/>
  <c r="AL129" i="36"/>
  <c r="AC129" i="36"/>
  <c r="AC51" i="36"/>
  <c r="AE129" i="36"/>
  <c r="AE51" i="36"/>
  <c r="AK129" i="36"/>
  <c r="AK51" i="36"/>
  <c r="AA51" i="36"/>
  <c r="AA129" i="36"/>
  <c r="I51" i="36"/>
  <c r="I129" i="36"/>
  <c r="Q51" i="36"/>
  <c r="Q129" i="36"/>
  <c r="AP51" i="36"/>
  <c r="AP129" i="36"/>
  <c r="F51" i="36"/>
  <c r="F129" i="36"/>
  <c r="AI129" i="36"/>
  <c r="AI51" i="36"/>
  <c r="AJ51" i="36"/>
  <c r="AJ129" i="36"/>
  <c r="AG51" i="36"/>
  <c r="AG129" i="36"/>
  <c r="J51" i="36"/>
  <c r="J129" i="36"/>
  <c r="AH51" i="36"/>
  <c r="AH129" i="36"/>
  <c r="AZ129" i="36"/>
  <c r="AZ51" i="36"/>
  <c r="AU129" i="36"/>
  <c r="AU51" i="36"/>
  <c r="G51" i="36"/>
  <c r="G129" i="36"/>
  <c r="Z51" i="36"/>
  <c r="Z129" i="36"/>
  <c r="X51" i="36"/>
  <c r="X129" i="36"/>
  <c r="N51" i="36"/>
  <c r="N129" i="36"/>
  <c r="Y51" i="36"/>
  <c r="Y129" i="36"/>
  <c r="BC51" i="36"/>
  <c r="BC174" i="36" s="1"/>
  <c r="BC182" i="36"/>
  <c r="E90" i="37"/>
  <c r="E162" i="37"/>
  <c r="F88" i="37"/>
  <c r="G87" i="37"/>
  <c r="I19" i="37"/>
  <c r="Z112" i="37"/>
  <c r="Z114" i="37" s="1"/>
  <c r="Y166" i="37"/>
  <c r="BD37" i="18"/>
  <c r="BC89" i="18"/>
  <c r="BC39" i="18"/>
  <c r="BB87" i="18"/>
  <c r="BB104" i="18"/>
  <c r="BB52" i="18"/>
  <c r="BB40" i="18"/>
  <c r="BC33" i="8"/>
  <c r="BD31" i="8"/>
  <c r="BB34" i="8"/>
  <c r="BB70" i="8"/>
  <c r="S57" i="33"/>
  <c r="T54" i="33" s="1"/>
  <c r="BB30" i="30"/>
  <c r="BB66" i="30"/>
  <c r="BC29" i="30"/>
  <c r="BD27" i="30"/>
  <c r="AZ56" i="1"/>
  <c r="AZ54" i="1" s="1"/>
  <c r="AZ55" i="1" s="1"/>
  <c r="BA53" i="1" s="1"/>
  <c r="BC56" i="28"/>
  <c r="BC54" i="28" s="1"/>
  <c r="BC55" i="28" s="1"/>
  <c r="BD53" i="28" s="1"/>
  <c r="BA133" i="31"/>
  <c r="BA61" i="31"/>
  <c r="BA49" i="31"/>
  <c r="BA124" i="31"/>
  <c r="O47" i="5"/>
  <c r="O45" i="5"/>
  <c r="BB49" i="35"/>
  <c r="BB122" i="35"/>
  <c r="BB124" i="35" s="1"/>
  <c r="BB138" i="35"/>
  <c r="BB61" i="35"/>
  <c r="S64" i="33"/>
  <c r="S67" i="33"/>
  <c r="O39" i="5"/>
  <c r="P37" i="5" s="1"/>
  <c r="R27" i="4"/>
  <c r="S25" i="4" s="1"/>
  <c r="BC48" i="35"/>
  <c r="BC89" i="35"/>
  <c r="BD45" i="35"/>
  <c r="BD48" i="36"/>
  <c r="BC127" i="36"/>
  <c r="BB89" i="31"/>
  <c r="BB48" i="31"/>
  <c r="BB122" i="31" s="1"/>
  <c r="BC45" i="31"/>
  <c r="R25" i="3"/>
  <c r="S23" i="3" s="1"/>
  <c r="AH88" i="1"/>
  <c r="AH91" i="1" s="1"/>
  <c r="S56" i="34"/>
  <c r="S52" i="34" s="1"/>
  <c r="S57" i="34" s="1"/>
  <c r="BC106" i="28"/>
  <c r="BC104" i="28" s="1"/>
  <c r="BC105" i="28" s="1"/>
  <c r="BD103" i="28" s="1"/>
  <c r="BB126" i="26" l="1"/>
  <c r="BB55" i="26"/>
  <c r="BB43" i="26"/>
  <c r="BB109" i="26"/>
  <c r="BB111" i="26" s="1"/>
  <c r="BC42" i="26"/>
  <c r="BD39" i="26"/>
  <c r="BC83" i="26"/>
  <c r="D61" i="33"/>
  <c r="S54" i="34"/>
  <c r="BB52" i="36"/>
  <c r="BB83" i="36" s="1"/>
  <c r="AU174" i="36"/>
  <c r="AU52" i="36"/>
  <c r="AU83" i="36" s="1"/>
  <c r="L174" i="36"/>
  <c r="L52" i="36"/>
  <c r="L83" i="36" s="1"/>
  <c r="AN174" i="36"/>
  <c r="AN52" i="36"/>
  <c r="AN83" i="36" s="1"/>
  <c r="Z174" i="36"/>
  <c r="Z52" i="36"/>
  <c r="Z83" i="36" s="1"/>
  <c r="AH174" i="36"/>
  <c r="AH52" i="36"/>
  <c r="AH83" i="36" s="1"/>
  <c r="I174" i="36"/>
  <c r="I52" i="36"/>
  <c r="I83" i="36" s="1"/>
  <c r="AF174" i="36"/>
  <c r="AF52" i="36"/>
  <c r="AF83" i="36" s="1"/>
  <c r="AW174" i="36"/>
  <c r="AW52" i="36"/>
  <c r="AW83" i="36" s="1"/>
  <c r="AT174" i="36"/>
  <c r="AT52" i="36"/>
  <c r="AT83" i="36" s="1"/>
  <c r="AX174" i="36"/>
  <c r="AX52" i="36"/>
  <c r="AX83" i="36" s="1"/>
  <c r="AY174" i="36"/>
  <c r="AY52" i="36"/>
  <c r="AY83" i="36" s="1"/>
  <c r="W174" i="36"/>
  <c r="W52" i="36"/>
  <c r="W83" i="36" s="1"/>
  <c r="AZ174" i="36"/>
  <c r="AZ52" i="36"/>
  <c r="AZ83" i="36" s="1"/>
  <c r="AE174" i="36"/>
  <c r="AE52" i="36"/>
  <c r="AE83" i="36" s="1"/>
  <c r="M174" i="36"/>
  <c r="M52" i="36"/>
  <c r="M83" i="36" s="1"/>
  <c r="S174" i="36"/>
  <c r="S52" i="36"/>
  <c r="S83" i="36" s="1"/>
  <c r="AO174" i="36"/>
  <c r="AO52" i="36"/>
  <c r="AO83" i="36" s="1"/>
  <c r="O174" i="36"/>
  <c r="O52" i="36"/>
  <c r="O83" i="36" s="1"/>
  <c r="AB174" i="36"/>
  <c r="AB52" i="36"/>
  <c r="AB83" i="36" s="1"/>
  <c r="AI174" i="36"/>
  <c r="AI52" i="36"/>
  <c r="AI83" i="36" s="1"/>
  <c r="AC174" i="36"/>
  <c r="AC52" i="36"/>
  <c r="AC83" i="36" s="1"/>
  <c r="R174" i="36"/>
  <c r="R52" i="36"/>
  <c r="R83" i="36" s="1"/>
  <c r="AD174" i="36"/>
  <c r="AD52" i="36"/>
  <c r="AD83" i="36" s="1"/>
  <c r="N174" i="36"/>
  <c r="N52" i="36"/>
  <c r="N83" i="36" s="1"/>
  <c r="AG174" i="36"/>
  <c r="AG52" i="36"/>
  <c r="AG83" i="36" s="1"/>
  <c r="AP174" i="36"/>
  <c r="AP52" i="36"/>
  <c r="AP83" i="36" s="1"/>
  <c r="H174" i="36"/>
  <c r="H52" i="36"/>
  <c r="H83" i="36" s="1"/>
  <c r="AV174" i="36"/>
  <c r="AV52" i="36"/>
  <c r="AV83" i="36" s="1"/>
  <c r="V174" i="36"/>
  <c r="V52" i="36"/>
  <c r="V83" i="36" s="1"/>
  <c r="Y174" i="36"/>
  <c r="Y52" i="36"/>
  <c r="Y83" i="36" s="1"/>
  <c r="X174" i="36"/>
  <c r="X52" i="36"/>
  <c r="X83" i="36" s="1"/>
  <c r="G174" i="36"/>
  <c r="G52" i="36"/>
  <c r="G83" i="36" s="1"/>
  <c r="J174" i="36"/>
  <c r="J52" i="36"/>
  <c r="J83" i="36" s="1"/>
  <c r="AJ174" i="36"/>
  <c r="AJ52" i="36"/>
  <c r="AJ83" i="36" s="1"/>
  <c r="F174" i="36"/>
  <c r="F52" i="36"/>
  <c r="F83" i="36" s="1"/>
  <c r="Q174" i="36"/>
  <c r="Q52" i="36"/>
  <c r="Q83" i="36" s="1"/>
  <c r="AA174" i="36"/>
  <c r="AA52" i="36"/>
  <c r="AA83" i="36" s="1"/>
  <c r="AL174" i="36"/>
  <c r="AL52" i="36"/>
  <c r="AL83" i="36" s="1"/>
  <c r="E174" i="36"/>
  <c r="E52" i="36"/>
  <c r="E83" i="36" s="1"/>
  <c r="AM174" i="36"/>
  <c r="AM52" i="36"/>
  <c r="AM83" i="36" s="1"/>
  <c r="K174" i="36"/>
  <c r="K52" i="36"/>
  <c r="K83" i="36" s="1"/>
  <c r="BA174" i="36"/>
  <c r="BA52" i="36"/>
  <c r="BA83" i="36" s="1"/>
  <c r="AR174" i="36"/>
  <c r="AR52" i="36"/>
  <c r="AR83" i="36" s="1"/>
  <c r="AS174" i="36"/>
  <c r="AS52" i="36"/>
  <c r="AS83" i="36" s="1"/>
  <c r="U174" i="36"/>
  <c r="U52" i="36"/>
  <c r="U83" i="36" s="1"/>
  <c r="T174" i="36"/>
  <c r="T52" i="36"/>
  <c r="T83" i="36" s="1"/>
  <c r="AQ174" i="36"/>
  <c r="AQ52" i="36"/>
  <c r="AQ83" i="36" s="1"/>
  <c r="AK174" i="36"/>
  <c r="AK52" i="36"/>
  <c r="AK83" i="36" s="1"/>
  <c r="P174" i="36"/>
  <c r="P52" i="36"/>
  <c r="P83" i="36" s="1"/>
  <c r="BD51" i="36"/>
  <c r="BD174" i="36" s="1"/>
  <c r="BD182" i="36"/>
  <c r="H87" i="37"/>
  <c r="G88" i="37"/>
  <c r="F162" i="37"/>
  <c r="F90" i="37"/>
  <c r="AA112" i="37"/>
  <c r="AA114" i="37" s="1"/>
  <c r="Z166" i="37"/>
  <c r="D71" i="37"/>
  <c r="D74" i="37"/>
  <c r="BC87" i="18"/>
  <c r="BC40" i="18"/>
  <c r="BC52" i="18"/>
  <c r="BC104" i="18"/>
  <c r="BE37" i="18"/>
  <c r="BD89" i="18"/>
  <c r="BD39" i="18"/>
  <c r="BD33" i="8"/>
  <c r="BE31" i="8"/>
  <c r="BC70" i="8"/>
  <c r="BC34" i="8"/>
  <c r="BE27" i="30"/>
  <c r="BD29" i="30"/>
  <c r="BC30" i="30"/>
  <c r="BC66" i="30"/>
  <c r="T51" i="34"/>
  <c r="D58" i="34"/>
  <c r="AH92" i="1"/>
  <c r="AH95" i="1" s="1"/>
  <c r="BB133" i="31"/>
  <c r="BB49" i="31"/>
  <c r="BB61" i="31"/>
  <c r="BB124" i="31"/>
  <c r="BE48" i="36"/>
  <c r="BD127" i="36"/>
  <c r="BE45" i="35"/>
  <c r="BD89" i="35"/>
  <c r="BD48" i="35"/>
  <c r="P40" i="5"/>
  <c r="P38" i="5" s="1"/>
  <c r="P44" i="5" s="1"/>
  <c r="BD106" i="28"/>
  <c r="BD104" i="28" s="1"/>
  <c r="BD105" i="28" s="1"/>
  <c r="BE103" i="28" s="1"/>
  <c r="T59" i="33"/>
  <c r="T55" i="33" s="1"/>
  <c r="T60" i="33" s="1"/>
  <c r="BD56" i="28"/>
  <c r="BD54" i="28" s="1"/>
  <c r="BD55" i="28" s="1"/>
  <c r="BE53" i="28" s="1"/>
  <c r="S60" i="34"/>
  <c r="S63" i="34"/>
  <c r="S26" i="3"/>
  <c r="S24" i="3" s="1"/>
  <c r="S27" i="3" s="1"/>
  <c r="S31" i="3" s="1"/>
  <c r="BC61" i="35"/>
  <c r="BC138" i="35"/>
  <c r="BC49" i="35"/>
  <c r="BC122" i="35"/>
  <c r="BC124" i="35" s="1"/>
  <c r="BC89" i="31"/>
  <c r="BD45" i="31"/>
  <c r="BC48" i="31"/>
  <c r="BC122" i="31" s="1"/>
  <c r="BC52" i="36"/>
  <c r="BC83" i="36" s="1"/>
  <c r="S28" i="4"/>
  <c r="S26" i="4" s="1"/>
  <c r="S29" i="4" s="1"/>
  <c r="S32" i="4" s="1"/>
  <c r="BA56" i="1"/>
  <c r="BA54" i="1" s="1"/>
  <c r="BA55" i="1" s="1"/>
  <c r="BB53" i="1" s="1"/>
  <c r="BE39" i="26" l="1"/>
  <c r="BD83" i="26"/>
  <c r="BD42" i="26"/>
  <c r="BC109" i="26"/>
  <c r="BC111" i="26" s="1"/>
  <c r="BC126" i="26"/>
  <c r="BC55" i="26"/>
  <c r="BC43" i="26"/>
  <c r="BE51" i="36"/>
  <c r="BE174" i="36" s="1"/>
  <c r="BE182" i="36"/>
  <c r="H88" i="37"/>
  <c r="I87" i="37"/>
  <c r="G162" i="37"/>
  <c r="G90" i="37"/>
  <c r="AB112" i="37"/>
  <c r="AB114" i="37" s="1"/>
  <c r="AA166" i="37"/>
  <c r="P39" i="5"/>
  <c r="Q37" i="5" s="1"/>
  <c r="Q40" i="5" s="1"/>
  <c r="Q38" i="5" s="1"/>
  <c r="Q44" i="5" s="1"/>
  <c r="BD87" i="18"/>
  <c r="BD104" i="18"/>
  <c r="BD40" i="18"/>
  <c r="BD52" i="18"/>
  <c r="BF37" i="18"/>
  <c r="BE89" i="18"/>
  <c r="BE39" i="18"/>
  <c r="BF31" i="8"/>
  <c r="BE33" i="8"/>
  <c r="BD34" i="8"/>
  <c r="BD70" i="8"/>
  <c r="S27" i="4"/>
  <c r="D30" i="4" s="1"/>
  <c r="S25" i="3"/>
  <c r="T23" i="3" s="1"/>
  <c r="BD30" i="30"/>
  <c r="BD66" i="30"/>
  <c r="T57" i="33"/>
  <c r="U54" i="33" s="1"/>
  <c r="U59" i="33" s="1"/>
  <c r="U55" i="33" s="1"/>
  <c r="U60" i="33" s="1"/>
  <c r="AH93" i="1"/>
  <c r="AI90" i="1" s="1"/>
  <c r="BE29" i="30"/>
  <c r="BF27" i="30"/>
  <c r="BB56" i="1"/>
  <c r="BB54" i="1" s="1"/>
  <c r="BB55" i="1" s="1"/>
  <c r="BC53" i="1" s="1"/>
  <c r="BE106" i="28"/>
  <c r="BE104" i="28" s="1"/>
  <c r="BE105" i="28" s="1"/>
  <c r="BF103" i="28" s="1"/>
  <c r="BE56" i="28"/>
  <c r="BE54" i="28" s="1"/>
  <c r="BE55" i="28" s="1"/>
  <c r="BF53" i="28" s="1"/>
  <c r="BC49" i="31"/>
  <c r="BC124" i="31"/>
  <c r="BC133" i="31"/>
  <c r="BC61" i="31"/>
  <c r="D29" i="3"/>
  <c r="BE45" i="31"/>
  <c r="BD48" i="31"/>
  <c r="BD122" i="31" s="1"/>
  <c r="BD89" i="31"/>
  <c r="P45" i="5"/>
  <c r="P47" i="5"/>
  <c r="BD138" i="35"/>
  <c r="BD49" i="35"/>
  <c r="BD61" i="35"/>
  <c r="BD122" i="35"/>
  <c r="BD124" i="35" s="1"/>
  <c r="T64" i="33"/>
  <c r="T67" i="33"/>
  <c r="BD52" i="36"/>
  <c r="BD83" i="36" s="1"/>
  <c r="T56" i="34"/>
  <c r="T52" i="34" s="1"/>
  <c r="T57" i="34" s="1"/>
  <c r="T25" i="4"/>
  <c r="BE89" i="35"/>
  <c r="BE48" i="35"/>
  <c r="BF45" i="35"/>
  <c r="BF48" i="36"/>
  <c r="BE127" i="36"/>
  <c r="AI88" i="1"/>
  <c r="AI91" i="1" s="1"/>
  <c r="AI92" i="1" s="1"/>
  <c r="AI95" i="1" s="1"/>
  <c r="BD43" i="26" l="1"/>
  <c r="BD126" i="26"/>
  <c r="BD109" i="26"/>
  <c r="BD111" i="26" s="1"/>
  <c r="BD55" i="26"/>
  <c r="BF39" i="26"/>
  <c r="BE83" i="26"/>
  <c r="BE42" i="26"/>
  <c r="BF51" i="36"/>
  <c r="BF174" i="36" s="1"/>
  <c r="BF182" i="36"/>
  <c r="H162" i="37"/>
  <c r="H90" i="37"/>
  <c r="J87" i="37"/>
  <c r="I88" i="37"/>
  <c r="AC112" i="37"/>
  <c r="AC114" i="37" s="1"/>
  <c r="AB166" i="37"/>
  <c r="BE87" i="18"/>
  <c r="BE40" i="18"/>
  <c r="BE52" i="18"/>
  <c r="BE104" i="18"/>
  <c r="BF39" i="18"/>
  <c r="BG37" i="18"/>
  <c r="BF89" i="18"/>
  <c r="BE70" i="8"/>
  <c r="BE34" i="8"/>
  <c r="BF33" i="8"/>
  <c r="BG31" i="8"/>
  <c r="U57" i="33"/>
  <c r="V54" i="33" s="1"/>
  <c r="V59" i="33" s="1"/>
  <c r="V55" i="33" s="1"/>
  <c r="V60" i="33" s="1"/>
  <c r="BF29" i="30"/>
  <c r="BG27" i="30"/>
  <c r="BE66" i="30"/>
  <c r="BE30" i="30"/>
  <c r="BF106" i="28"/>
  <c r="BF104" i="28" s="1"/>
  <c r="BF105" i="28" s="1"/>
  <c r="BG103" i="28" s="1"/>
  <c r="T54" i="34"/>
  <c r="U51" i="34" s="1"/>
  <c r="BD61" i="31"/>
  <c r="BD49" i="31"/>
  <c r="BD124" i="31"/>
  <c r="BD133" i="31"/>
  <c r="BE122" i="35"/>
  <c r="BE124" i="35" s="1"/>
  <c r="BE138" i="35"/>
  <c r="BE49" i="35"/>
  <c r="BE61" i="35"/>
  <c r="T60" i="34"/>
  <c r="T63" i="34"/>
  <c r="BF45" i="31"/>
  <c r="BE48" i="31"/>
  <c r="BE122" i="31" s="1"/>
  <c r="BE89" i="31"/>
  <c r="T26" i="3"/>
  <c r="T24" i="3" s="1"/>
  <c r="T27" i="3" s="1"/>
  <c r="T31" i="3" s="1"/>
  <c r="BF48" i="35"/>
  <c r="BF89" i="35"/>
  <c r="BG45" i="35"/>
  <c r="BE52" i="36"/>
  <c r="BE83" i="36" s="1"/>
  <c r="U64" i="33"/>
  <c r="U67" i="33"/>
  <c r="Q39" i="5"/>
  <c r="R37" i="5" s="1"/>
  <c r="AI93" i="1"/>
  <c r="AJ90" i="1" s="1"/>
  <c r="BG48" i="36"/>
  <c r="BF127" i="36"/>
  <c r="T28" i="4"/>
  <c r="T26" i="4" s="1"/>
  <c r="T29" i="4" s="1"/>
  <c r="T32" i="4" s="1"/>
  <c r="Q45" i="5"/>
  <c r="Q47" i="5"/>
  <c r="BF56" i="28"/>
  <c r="BF54" i="28" s="1"/>
  <c r="BF55" i="28" s="1"/>
  <c r="BG53" i="28" s="1"/>
  <c r="BC56" i="1"/>
  <c r="BC54" i="1" s="1"/>
  <c r="BC55" i="1" s="1"/>
  <c r="BD53" i="1" s="1"/>
  <c r="BE109" i="26" l="1"/>
  <c r="BE111" i="26" s="1"/>
  <c r="BE126" i="26"/>
  <c r="BE55" i="26"/>
  <c r="BE43" i="26"/>
  <c r="BG39" i="26"/>
  <c r="BF42" i="26"/>
  <c r="BF83" i="26"/>
  <c r="BG51" i="36"/>
  <c r="BG174" i="36" s="1"/>
  <c r="BG182" i="36"/>
  <c r="I90" i="37"/>
  <c r="I162" i="37"/>
  <c r="J88" i="37"/>
  <c r="K87" i="37"/>
  <c r="AD112" i="37"/>
  <c r="AD114" i="37" s="1"/>
  <c r="AC166" i="37"/>
  <c r="BF87" i="18"/>
  <c r="BF104" i="18"/>
  <c r="BF52" i="18"/>
  <c r="BF40" i="18"/>
  <c r="BH37" i="18"/>
  <c r="BG89" i="18"/>
  <c r="BG39" i="18"/>
  <c r="BG33" i="8"/>
  <c r="BH31" i="8"/>
  <c r="BF34" i="8"/>
  <c r="BF70" i="8"/>
  <c r="BG29" i="30"/>
  <c r="BH27" i="30"/>
  <c r="BF30" i="30"/>
  <c r="BF66" i="30"/>
  <c r="BG106" i="28"/>
  <c r="BG104" i="28" s="1"/>
  <c r="BG105" i="28" s="1"/>
  <c r="BH103" i="28" s="1"/>
  <c r="BG56" i="28"/>
  <c r="BG54" i="28" s="1"/>
  <c r="BG55" i="28" s="1"/>
  <c r="BH53" i="28" s="1"/>
  <c r="BD56" i="1"/>
  <c r="BD54" i="1" s="1"/>
  <c r="BD55" i="1" s="1"/>
  <c r="BE53" i="1" s="1"/>
  <c r="BF52" i="36"/>
  <c r="BF83" i="36" s="1"/>
  <c r="BG48" i="35"/>
  <c r="BH45" i="35"/>
  <c r="BG89" i="35"/>
  <c r="T27" i="4"/>
  <c r="U25" i="4" s="1"/>
  <c r="BH48" i="36"/>
  <c r="BG127" i="36"/>
  <c r="T25" i="3"/>
  <c r="U23" i="3" s="1"/>
  <c r="BE61" i="31"/>
  <c r="BE49" i="31"/>
  <c r="BE124" i="31"/>
  <c r="BE133" i="31"/>
  <c r="V57" i="33"/>
  <c r="W54" i="33" s="1"/>
  <c r="U56" i="34"/>
  <c r="U52" i="34" s="1"/>
  <c r="U57" i="34" s="1"/>
  <c r="AJ88" i="1"/>
  <c r="AJ91" i="1" s="1"/>
  <c r="BF122" i="35"/>
  <c r="BF124" i="35" s="1"/>
  <c r="BF138" i="35"/>
  <c r="BF61" i="35"/>
  <c r="BF49" i="35"/>
  <c r="BF89" i="31"/>
  <c r="BF48" i="31"/>
  <c r="BF122" i="31" s="1"/>
  <c r="BG45" i="31"/>
  <c r="V64" i="33"/>
  <c r="V67" i="33"/>
  <c r="R40" i="5"/>
  <c r="R38" i="5" s="1"/>
  <c r="R44" i="5" s="1"/>
  <c r="BF109" i="26" l="1"/>
  <c r="BF111" i="26" s="1"/>
  <c r="BF126" i="26"/>
  <c r="BF55" i="26"/>
  <c r="BF43" i="26"/>
  <c r="BG83" i="26"/>
  <c r="BG42" i="26"/>
  <c r="BH39" i="26"/>
  <c r="BH51" i="36"/>
  <c r="BH174" i="36" s="1"/>
  <c r="BH182" i="36"/>
  <c r="L87" i="37"/>
  <c r="K88" i="37"/>
  <c r="J90" i="37"/>
  <c r="J162" i="37"/>
  <c r="AE112" i="37"/>
  <c r="AE114" i="37" s="1"/>
  <c r="AD166" i="37"/>
  <c r="BG104" i="18"/>
  <c r="BG52" i="18"/>
  <c r="BG87" i="18"/>
  <c r="BG40" i="18"/>
  <c r="BH39" i="18"/>
  <c r="BI37" i="18"/>
  <c r="BH89" i="18"/>
  <c r="R39" i="5"/>
  <c r="S37" i="5" s="1"/>
  <c r="BH33" i="8"/>
  <c r="BI31" i="8"/>
  <c r="BG70" i="8"/>
  <c r="BG34" i="8"/>
  <c r="BG66" i="30"/>
  <c r="BG30" i="30"/>
  <c r="AJ92" i="1"/>
  <c r="AJ95" i="1" s="1"/>
  <c r="BI27" i="30"/>
  <c r="BH29" i="30"/>
  <c r="BH56" i="28"/>
  <c r="BH54" i="28" s="1"/>
  <c r="BH55" i="28" s="1"/>
  <c r="BI53" i="28" s="1"/>
  <c r="BH106" i="28"/>
  <c r="BH104" i="28" s="1"/>
  <c r="BH105" i="28" s="1"/>
  <c r="BI103" i="28" s="1"/>
  <c r="BG89" i="31"/>
  <c r="BG48" i="31"/>
  <c r="BG122" i="31" s="1"/>
  <c r="BH45" i="31"/>
  <c r="U54" i="34"/>
  <c r="V51" i="34" s="1"/>
  <c r="W59" i="33"/>
  <c r="W55" i="33" s="1"/>
  <c r="W60" i="33" s="1"/>
  <c r="BI48" i="36"/>
  <c r="BH127" i="36"/>
  <c r="BI45" i="35"/>
  <c r="BH48" i="35"/>
  <c r="BH89" i="35"/>
  <c r="R45" i="5"/>
  <c r="R47" i="5"/>
  <c r="BF49" i="31"/>
  <c r="BF61" i="31"/>
  <c r="BF124" i="31"/>
  <c r="BF133" i="31"/>
  <c r="U63" i="34"/>
  <c r="U60" i="34"/>
  <c r="U26" i="3"/>
  <c r="U24" i="3" s="1"/>
  <c r="U27" i="3" s="1"/>
  <c r="U31" i="3" s="1"/>
  <c r="U28" i="4"/>
  <c r="U26" i="4" s="1"/>
  <c r="U29" i="4" s="1"/>
  <c r="U32" i="4" s="1"/>
  <c r="BG61" i="35"/>
  <c r="BG122" i="35"/>
  <c r="BG124" i="35" s="1"/>
  <c r="BG138" i="35"/>
  <c r="BG49" i="35"/>
  <c r="S40" i="5"/>
  <c r="S38" i="5" s="1"/>
  <c r="S44" i="5" s="1"/>
  <c r="BE56" i="1"/>
  <c r="BE54" i="1" s="1"/>
  <c r="BE55" i="1" s="1"/>
  <c r="BF53" i="1" s="1"/>
  <c r="BG52" i="36"/>
  <c r="BG83" i="36" s="1"/>
  <c r="BH83" i="26" l="1"/>
  <c r="BH42" i="26"/>
  <c r="BI39" i="26"/>
  <c r="BG55" i="26"/>
  <c r="BG43" i="26"/>
  <c r="BG109" i="26"/>
  <c r="BG111" i="26" s="1"/>
  <c r="BG126" i="26"/>
  <c r="BI51" i="36"/>
  <c r="BI174" i="36" s="1"/>
  <c r="BI182" i="36"/>
  <c r="L88" i="37"/>
  <c r="M87" i="37"/>
  <c r="K162" i="37"/>
  <c r="K90" i="37"/>
  <c r="AF112" i="37"/>
  <c r="AF114" i="37" s="1"/>
  <c r="AE166" i="37"/>
  <c r="BH52" i="18"/>
  <c r="BH40" i="18"/>
  <c r="BH87" i="18"/>
  <c r="BH104" i="18"/>
  <c r="BI89" i="18"/>
  <c r="BI39" i="18"/>
  <c r="BJ37" i="18"/>
  <c r="BH70" i="8"/>
  <c r="BH34" i="8"/>
  <c r="BI33" i="8"/>
  <c r="BJ31" i="8"/>
  <c r="U27" i="4"/>
  <c r="V25" i="4" s="1"/>
  <c r="V28" i="4" s="1"/>
  <c r="V26" i="4" s="1"/>
  <c r="V29" i="4" s="1"/>
  <c r="V32" i="4" s="1"/>
  <c r="BH30" i="30"/>
  <c r="BH66" i="30"/>
  <c r="BJ27" i="30"/>
  <c r="BI29" i="30"/>
  <c r="W57" i="33"/>
  <c r="X54" i="33" s="1"/>
  <c r="X59" i="33" s="1"/>
  <c r="X55" i="33" s="1"/>
  <c r="X60" i="33" s="1"/>
  <c r="AJ93" i="1"/>
  <c r="AK90" i="1" s="1"/>
  <c r="AK88" i="1" s="1"/>
  <c r="AK91" i="1" s="1"/>
  <c r="AK92" i="1" s="1"/>
  <c r="AK95" i="1" s="1"/>
  <c r="BI106" i="28"/>
  <c r="BI104" i="28" s="1"/>
  <c r="BI105" i="28" s="1"/>
  <c r="BJ103" i="28" s="1"/>
  <c r="BF56" i="1"/>
  <c r="BF54" i="1" s="1"/>
  <c r="BF55" i="1" s="1"/>
  <c r="BG53" i="1" s="1"/>
  <c r="BI56" i="28"/>
  <c r="BI54" i="28" s="1"/>
  <c r="BI55" i="28" s="1"/>
  <c r="BJ53" i="28" s="1"/>
  <c r="BH52" i="36"/>
  <c r="BH83" i="36" s="1"/>
  <c r="V56" i="34"/>
  <c r="V52" i="34" s="1"/>
  <c r="V57" i="34" s="1"/>
  <c r="U25" i="3"/>
  <c r="V23" i="3" s="1"/>
  <c r="BH49" i="35"/>
  <c r="BH61" i="35"/>
  <c r="BH122" i="35"/>
  <c r="BH124" i="35" s="1"/>
  <c r="BH138" i="35"/>
  <c r="BJ48" i="36"/>
  <c r="BI127" i="36"/>
  <c r="BI45" i="31"/>
  <c r="BH48" i="31"/>
  <c r="BH122" i="31" s="1"/>
  <c r="BH89" i="31"/>
  <c r="S47" i="5"/>
  <c r="S45" i="5"/>
  <c r="BI89" i="35"/>
  <c r="BI48" i="35"/>
  <c r="BJ45" i="35"/>
  <c r="BG49" i="31"/>
  <c r="BG124" i="31"/>
  <c r="BG61" i="31"/>
  <c r="BG133" i="31"/>
  <c r="S39" i="5"/>
  <c r="W64" i="33"/>
  <c r="W67" i="33"/>
  <c r="BI83" i="26" l="1"/>
  <c r="BJ39" i="26"/>
  <c r="BI42" i="26"/>
  <c r="BH126" i="26"/>
  <c r="BH109" i="26"/>
  <c r="BH111" i="26" s="1"/>
  <c r="BH43" i="26"/>
  <c r="BH55" i="26"/>
  <c r="BJ51" i="36"/>
  <c r="BJ174" i="36" s="1"/>
  <c r="BJ182" i="36"/>
  <c r="M88" i="37"/>
  <c r="N87" i="37"/>
  <c r="L90" i="37"/>
  <c r="L162" i="37"/>
  <c r="AG112" i="37"/>
  <c r="AG114" i="37" s="1"/>
  <c r="AF166" i="37"/>
  <c r="AK93" i="1"/>
  <c r="AL90" i="1" s="1"/>
  <c r="AL88" i="1" s="1"/>
  <c r="AL91" i="1" s="1"/>
  <c r="AL92" i="1" s="1"/>
  <c r="BJ89" i="18"/>
  <c r="BJ39" i="18"/>
  <c r="BK37" i="18"/>
  <c r="BI40" i="18"/>
  <c r="BI104" i="18"/>
  <c r="BI52" i="18"/>
  <c r="BI87" i="18"/>
  <c r="BI70" i="8"/>
  <c r="BI34" i="8"/>
  <c r="BK31" i="8"/>
  <c r="BJ33" i="8"/>
  <c r="BI30" i="30"/>
  <c r="BI66" i="30"/>
  <c r="BK27" i="30"/>
  <c r="BJ29" i="30"/>
  <c r="T37" i="5"/>
  <c r="D42" i="5"/>
  <c r="V26" i="3"/>
  <c r="V24" i="3" s="1"/>
  <c r="V27" i="3" s="1"/>
  <c r="V31" i="3" s="1"/>
  <c r="BJ89" i="35"/>
  <c r="BK45" i="35"/>
  <c r="BJ48" i="35"/>
  <c r="V27" i="4"/>
  <c r="W25" i="4" s="1"/>
  <c r="BI138" i="35"/>
  <c r="BI49" i="35"/>
  <c r="BI61" i="35"/>
  <c r="BI122" i="35"/>
  <c r="BI124" i="35" s="1"/>
  <c r="BJ56" i="28"/>
  <c r="BJ54" i="28" s="1"/>
  <c r="BJ55" i="28" s="1"/>
  <c r="BK53" i="28" s="1"/>
  <c r="BJ106" i="28"/>
  <c r="BJ104" i="28" s="1"/>
  <c r="BJ105" i="28" s="1"/>
  <c r="BK103" i="28" s="1"/>
  <c r="X57" i="33"/>
  <c r="Y54" i="33" s="1"/>
  <c r="BH133" i="31"/>
  <c r="BH49" i="31"/>
  <c r="BH61" i="31"/>
  <c r="BH124" i="31"/>
  <c r="BK48" i="36"/>
  <c r="BJ127" i="36"/>
  <c r="V54" i="34"/>
  <c r="W51" i="34" s="1"/>
  <c r="BI52" i="36"/>
  <c r="BI83" i="36" s="1"/>
  <c r="X64" i="33"/>
  <c r="X67" i="33"/>
  <c r="BJ45" i="31"/>
  <c r="BI89" i="31"/>
  <c r="BI48" i="31"/>
  <c r="BI122" i="31" s="1"/>
  <c r="V60" i="34"/>
  <c r="V63" i="34"/>
  <c r="BG56" i="1"/>
  <c r="BG54" i="1" s="1"/>
  <c r="BG55" i="1" s="1"/>
  <c r="BH53" i="1" s="1"/>
  <c r="BI43" i="26" l="1"/>
  <c r="BI126" i="26"/>
  <c r="BI109" i="26"/>
  <c r="BI111" i="26" s="1"/>
  <c r="BI55" i="26"/>
  <c r="BK39" i="26"/>
  <c r="BJ83" i="26"/>
  <c r="BJ42" i="26"/>
  <c r="BK51" i="36"/>
  <c r="BK174" i="36" s="1"/>
  <c r="BK182" i="36"/>
  <c r="O87" i="37"/>
  <c r="N88" i="37"/>
  <c r="M162" i="37"/>
  <c r="M90" i="37"/>
  <c r="AH112" i="37"/>
  <c r="AH114" i="37" s="1"/>
  <c r="AG166" i="37"/>
  <c r="BK89" i="18"/>
  <c r="BL37" i="18"/>
  <c r="BK39" i="18"/>
  <c r="BJ104" i="18"/>
  <c r="BJ40" i="18"/>
  <c r="BJ52" i="18"/>
  <c r="BJ87" i="18"/>
  <c r="BJ34" i="8"/>
  <c r="BJ70" i="8"/>
  <c r="BL31" i="8"/>
  <c r="BL33" i="8" s="1"/>
  <c r="BK33" i="8"/>
  <c r="BJ30" i="30"/>
  <c r="BJ66" i="30"/>
  <c r="BL27" i="30"/>
  <c r="BL29" i="30" s="1"/>
  <c r="BK29" i="30"/>
  <c r="BH56" i="1"/>
  <c r="BH54" i="1" s="1"/>
  <c r="BH55" i="1" s="1"/>
  <c r="BI53" i="1" s="1"/>
  <c r="AL95" i="1"/>
  <c r="AL93" i="1"/>
  <c r="AM90" i="1" s="1"/>
  <c r="BK106" i="28"/>
  <c r="BK104" i="28" s="1"/>
  <c r="BK105" i="28" s="1"/>
  <c r="BL103" i="28" s="1"/>
  <c r="BJ52" i="36"/>
  <c r="BJ83" i="36" s="1"/>
  <c r="BI124" i="31"/>
  <c r="BI133" i="31"/>
  <c r="BI61" i="31"/>
  <c r="BI49" i="31"/>
  <c r="W56" i="34"/>
  <c r="W52" i="34" s="1"/>
  <c r="W57" i="34" s="1"/>
  <c r="BL48" i="36"/>
  <c r="BK127" i="36"/>
  <c r="T40" i="5"/>
  <c r="T38" i="5" s="1"/>
  <c r="T44" i="5" s="1"/>
  <c r="Y59" i="33"/>
  <c r="Y55" i="33" s="1"/>
  <c r="Y60" i="33" s="1"/>
  <c r="BK56" i="28"/>
  <c r="BK54" i="28" s="1"/>
  <c r="BK55" i="28" s="1"/>
  <c r="BL53" i="28" s="1"/>
  <c r="W28" i="4"/>
  <c r="W26" i="4" s="1"/>
  <c r="W29" i="4" s="1"/>
  <c r="W32" i="4" s="1"/>
  <c r="BK45" i="31"/>
  <c r="BJ89" i="31"/>
  <c r="BJ48" i="31"/>
  <c r="BJ122" i="31" s="1"/>
  <c r="BJ138" i="35"/>
  <c r="BJ61" i="35"/>
  <c r="BJ49" i="35"/>
  <c r="BJ122" i="35"/>
  <c r="BJ124" i="35" s="1"/>
  <c r="V25" i="3"/>
  <c r="W23" i="3" s="1"/>
  <c r="BK89" i="35"/>
  <c r="BL45" i="35"/>
  <c r="BK48" i="35"/>
  <c r="BJ43" i="26" l="1"/>
  <c r="BJ55" i="26"/>
  <c r="BJ109" i="26"/>
  <c r="BJ111" i="26" s="1"/>
  <c r="BJ126" i="26"/>
  <c r="BK83" i="26"/>
  <c r="BK42" i="26"/>
  <c r="BL39" i="26"/>
  <c r="BL51" i="36"/>
  <c r="BL174" i="36" s="1"/>
  <c r="BL182" i="36"/>
  <c r="D183" i="36" s="1"/>
  <c r="H23" i="36" s="1"/>
  <c r="N90" i="37"/>
  <c r="N162" i="37"/>
  <c r="O88" i="37"/>
  <c r="P87" i="37"/>
  <c r="AI112" i="37"/>
  <c r="AI114" i="37" s="1"/>
  <c r="AH166" i="37"/>
  <c r="W54" i="34"/>
  <c r="X51" i="34" s="1"/>
  <c r="X56" i="34" s="1"/>
  <c r="X52" i="34" s="1"/>
  <c r="X57" i="34" s="1"/>
  <c r="BK40" i="18"/>
  <c r="BK52" i="18"/>
  <c r="BK104" i="18"/>
  <c r="BK87" i="18"/>
  <c r="BL89" i="18"/>
  <c r="BL39" i="18"/>
  <c r="BK70" i="8"/>
  <c r="BK34" i="8"/>
  <c r="BL70" i="8"/>
  <c r="BL34" i="8"/>
  <c r="D38" i="8" s="1"/>
  <c r="D39" i="8" s="1"/>
  <c r="BK30" i="30"/>
  <c r="BK66" i="30"/>
  <c r="BL30" i="30"/>
  <c r="D34" i="30" s="1"/>
  <c r="D35" i="30" s="1"/>
  <c r="BL66" i="30"/>
  <c r="BL56" i="28"/>
  <c r="BL54" i="28" s="1"/>
  <c r="BL55" i="28" s="1"/>
  <c r="BK52" i="36"/>
  <c r="BK83" i="36" s="1"/>
  <c r="BL89" i="35"/>
  <c r="BL48" i="35"/>
  <c r="W26" i="3"/>
  <c r="W24" i="3" s="1"/>
  <c r="W27" i="3" s="1"/>
  <c r="W31" i="3" s="1"/>
  <c r="BK89" i="31"/>
  <c r="BK48" i="31"/>
  <c r="BK122" i="31" s="1"/>
  <c r="BL45" i="31"/>
  <c r="W27" i="4"/>
  <c r="X25" i="4" s="1"/>
  <c r="Y57" i="33"/>
  <c r="Z54" i="33" s="1"/>
  <c r="BL127" i="36"/>
  <c r="AM88" i="1"/>
  <c r="AM91" i="1" s="1"/>
  <c r="AM92" i="1" s="1"/>
  <c r="Y64" i="33"/>
  <c r="Y67" i="33"/>
  <c r="BJ133" i="31"/>
  <c r="BJ49" i="31"/>
  <c r="BJ61" i="31"/>
  <c r="BJ124" i="31"/>
  <c r="T39" i="5"/>
  <c r="U37" i="5" s="1"/>
  <c r="W60" i="34"/>
  <c r="W63" i="34"/>
  <c r="BK122" i="35"/>
  <c r="BK124" i="35" s="1"/>
  <c r="BK138" i="35"/>
  <c r="BK49" i="35"/>
  <c r="BK61" i="35"/>
  <c r="T45" i="5"/>
  <c r="T47" i="5"/>
  <c r="BL106" i="28"/>
  <c r="BL104" i="28" s="1"/>
  <c r="BL105" i="28" s="1"/>
  <c r="BI56" i="1"/>
  <c r="BI54" i="1" s="1"/>
  <c r="BI55" i="1" s="1"/>
  <c r="BJ53" i="1" s="1"/>
  <c r="BL83" i="26" l="1"/>
  <c r="BL42" i="26"/>
  <c r="BK43" i="26"/>
  <c r="BK55" i="26"/>
  <c r="BK109" i="26"/>
  <c r="BK111" i="26" s="1"/>
  <c r="BK126" i="26"/>
  <c r="X54" i="34"/>
  <c r="Y51" i="34" s="1"/>
  <c r="Q87" i="37"/>
  <c r="P88" i="37"/>
  <c r="O90" i="37"/>
  <c r="O162" i="37"/>
  <c r="AJ112" i="37"/>
  <c r="AJ114" i="37" s="1"/>
  <c r="AI166" i="37"/>
  <c r="BL52" i="18"/>
  <c r="D53" i="18" s="1"/>
  <c r="BL40" i="18"/>
  <c r="D44" i="18" s="1"/>
  <c r="BL87" i="18"/>
  <c r="BL104" i="18"/>
  <c r="D42" i="8"/>
  <c r="E42" i="8" s="1"/>
  <c r="D40" i="8"/>
  <c r="D36" i="30"/>
  <c r="D38" i="30"/>
  <c r="E38" i="30" s="1"/>
  <c r="AM95" i="1"/>
  <c r="AM93" i="1"/>
  <c r="AN90" i="1" s="1"/>
  <c r="BJ56" i="1"/>
  <c r="BJ54" i="1" s="1"/>
  <c r="BJ55" i="1" s="1"/>
  <c r="BK53" i="1" s="1"/>
  <c r="D110" i="28"/>
  <c r="P1" i="28"/>
  <c r="X28" i="4"/>
  <c r="X26" i="4" s="1"/>
  <c r="X29" i="4" s="1"/>
  <c r="X32" i="4" s="1"/>
  <c r="BL138" i="35"/>
  <c r="BL122" i="35"/>
  <c r="BL124" i="35" s="1"/>
  <c r="BL49" i="35"/>
  <c r="BL61" i="35"/>
  <c r="D62" i="35" s="1"/>
  <c r="Y56" i="34"/>
  <c r="Y52" i="34" s="1"/>
  <c r="Y57" i="34" s="1"/>
  <c r="Z59" i="33"/>
  <c r="Z55" i="33" s="1"/>
  <c r="Z60" i="33" s="1"/>
  <c r="BL89" i="31"/>
  <c r="BL48" i="31"/>
  <c r="BL122" i="31" s="1"/>
  <c r="U40" i="5"/>
  <c r="U38" i="5" s="1"/>
  <c r="U44" i="5" s="1"/>
  <c r="X60" i="34"/>
  <c r="X63" i="34"/>
  <c r="BK61" i="31"/>
  <c r="BK49" i="31"/>
  <c r="BK124" i="31"/>
  <c r="BK133" i="31"/>
  <c r="W25" i="3"/>
  <c r="X23" i="3" s="1"/>
  <c r="BL52" i="36"/>
  <c r="BL83" i="36" s="1"/>
  <c r="D84" i="36" s="1"/>
  <c r="D87" i="36" s="1"/>
  <c r="D89" i="36" s="1"/>
  <c r="BL126" i="26" l="1"/>
  <c r="BL55" i="26"/>
  <c r="D56" i="26" s="1"/>
  <c r="D58" i="26" s="1"/>
  <c r="E58" i="26" s="1"/>
  <c r="BL43" i="26"/>
  <c r="D50" i="26" s="1"/>
  <c r="BL109" i="26"/>
  <c r="BL111" i="26" s="1"/>
  <c r="P90" i="37"/>
  <c r="P162" i="37"/>
  <c r="R87" i="37"/>
  <c r="Q88" i="37"/>
  <c r="AK112" i="37"/>
  <c r="AK114" i="37" s="1"/>
  <c r="AJ166" i="37"/>
  <c r="Y54" i="34"/>
  <c r="Z51" i="34" s="1"/>
  <c r="Z56" i="34" s="1"/>
  <c r="Z52" i="34" s="1"/>
  <c r="Z57" i="34" s="1"/>
  <c r="X27" i="4"/>
  <c r="Y25" i="4" s="1"/>
  <c r="Y28" i="4" s="1"/>
  <c r="Y26" i="4" s="1"/>
  <c r="Y29" i="4" s="1"/>
  <c r="Y32" i="4" s="1"/>
  <c r="D49" i="18"/>
  <c r="D50" i="18" s="1"/>
  <c r="D48" i="18"/>
  <c r="I19" i="18"/>
  <c r="E43" i="8"/>
  <c r="F42" i="8"/>
  <c r="Z57" i="33"/>
  <c r="AA54" i="33" s="1"/>
  <c r="AA59" i="33" s="1"/>
  <c r="AA55" i="33" s="1"/>
  <c r="AA60" i="33" s="1"/>
  <c r="E39" i="30"/>
  <c r="F38" i="30"/>
  <c r="U39" i="5"/>
  <c r="V37" i="5" s="1"/>
  <c r="BK56" i="1"/>
  <c r="BK54" i="1" s="1"/>
  <c r="BK55" i="1" s="1"/>
  <c r="BL53" i="1" s="1"/>
  <c r="V40" i="5"/>
  <c r="V38" i="5" s="1"/>
  <c r="V44" i="5" s="1"/>
  <c r="BL49" i="31"/>
  <c r="BL133" i="31"/>
  <c r="BL124" i="31"/>
  <c r="BL61" i="31"/>
  <c r="D62" i="31" s="1"/>
  <c r="D56" i="35"/>
  <c r="AN88" i="1"/>
  <c r="AN91" i="1" s="1"/>
  <c r="AN92" i="1" s="1"/>
  <c r="AN95" i="1" s="1"/>
  <c r="D68" i="36"/>
  <c r="X26" i="3"/>
  <c r="X24" i="3" s="1"/>
  <c r="X27" i="3" s="1"/>
  <c r="X31" i="3" s="1"/>
  <c r="U47" i="5"/>
  <c r="U45" i="5"/>
  <c r="Z64" i="33"/>
  <c r="Z67" i="33"/>
  <c r="Y63" i="34"/>
  <c r="Y60" i="34"/>
  <c r="H51" i="26" l="1"/>
  <c r="D53" i="26" s="1"/>
  <c r="I19" i="26"/>
  <c r="H50" i="26"/>
  <c r="E59" i="26"/>
  <c r="E104" i="26" s="1"/>
  <c r="F58" i="26"/>
  <c r="Q90" i="37"/>
  <c r="Q162" i="37"/>
  <c r="S87" i="37"/>
  <c r="R88" i="37"/>
  <c r="AL112" i="37"/>
  <c r="AL114" i="37" s="1"/>
  <c r="AK166" i="37"/>
  <c r="Z54" i="34"/>
  <c r="AA51" i="34" s="1"/>
  <c r="D55" i="18"/>
  <c r="E55" i="18" s="1"/>
  <c r="F55" i="18" s="1"/>
  <c r="V39" i="5"/>
  <c r="W37" i="5" s="1"/>
  <c r="F43" i="8"/>
  <c r="G42" i="8"/>
  <c r="AA57" i="33"/>
  <c r="AB54" i="33" s="1"/>
  <c r="AB59" i="33" s="1"/>
  <c r="AB55" i="33" s="1"/>
  <c r="AB60" i="33" s="1"/>
  <c r="F39" i="30"/>
  <c r="G38" i="30"/>
  <c r="AA56" i="34"/>
  <c r="AA52" i="34" s="1"/>
  <c r="AA57" i="34" s="1"/>
  <c r="Z63" i="34"/>
  <c r="Z60" i="34"/>
  <c r="H56" i="35"/>
  <c r="I19" i="35"/>
  <c r="H57" i="35"/>
  <c r="V47" i="5"/>
  <c r="V45" i="5"/>
  <c r="I22" i="36"/>
  <c r="BL56" i="1"/>
  <c r="BL54" i="1" s="1"/>
  <c r="BL55" i="1" s="1"/>
  <c r="X25" i="3"/>
  <c r="Y23" i="3" s="1"/>
  <c r="AN93" i="1"/>
  <c r="AO90" i="1" s="1"/>
  <c r="AA64" i="33"/>
  <c r="AA67" i="33"/>
  <c r="Y27" i="4"/>
  <c r="Z25" i="4" s="1"/>
  <c r="D56" i="31"/>
  <c r="W40" i="5"/>
  <c r="W38" i="5" s="1"/>
  <c r="W44" i="5" s="1"/>
  <c r="G58" i="26" l="1"/>
  <c r="F59" i="26"/>
  <c r="R162" i="37"/>
  <c r="R90" i="37"/>
  <c r="T87" i="37"/>
  <c r="S88" i="37"/>
  <c r="AM112" i="37"/>
  <c r="AM114" i="37" s="1"/>
  <c r="AL166" i="37"/>
  <c r="E56" i="18"/>
  <c r="D68" i="18" s="1"/>
  <c r="E77" i="18" s="1"/>
  <c r="E92" i="18" s="1"/>
  <c r="G55" i="18"/>
  <c r="F56" i="18"/>
  <c r="E68" i="18" s="1"/>
  <c r="AA54" i="34"/>
  <c r="AB51" i="34" s="1"/>
  <c r="AB56" i="34" s="1"/>
  <c r="AB52" i="34" s="1"/>
  <c r="AB57" i="34" s="1"/>
  <c r="H42" i="8"/>
  <c r="G43" i="8"/>
  <c r="H38" i="30"/>
  <c r="G39" i="30"/>
  <c r="D50" i="30" s="1"/>
  <c r="I19" i="31"/>
  <c r="H57" i="31"/>
  <c r="H56" i="31"/>
  <c r="W47" i="5"/>
  <c r="W45" i="5"/>
  <c r="W39" i="5"/>
  <c r="X37" i="5" s="1"/>
  <c r="Z28" i="4"/>
  <c r="Z26" i="4" s="1"/>
  <c r="Z29" i="4" s="1"/>
  <c r="Z32" i="4" s="1"/>
  <c r="Y26" i="3"/>
  <c r="Y24" i="3" s="1"/>
  <c r="Y27" i="3" s="1"/>
  <c r="Y31" i="3" s="1"/>
  <c r="D59" i="35"/>
  <c r="D64" i="35"/>
  <c r="E64" i="35" s="1"/>
  <c r="AB64" i="33"/>
  <c r="AB67" i="33"/>
  <c r="AO88" i="1"/>
  <c r="AO91" i="1" s="1"/>
  <c r="AO92" i="1" s="1"/>
  <c r="AO95" i="1" s="1"/>
  <c r="AB57" i="33"/>
  <c r="AC54" i="33" s="1"/>
  <c r="AA60" i="34"/>
  <c r="AA63" i="34"/>
  <c r="D71" i="26" l="1"/>
  <c r="F104" i="26"/>
  <c r="H58" i="26"/>
  <c r="G59" i="26"/>
  <c r="E71" i="26" s="1"/>
  <c r="S90" i="37"/>
  <c r="S162" i="37"/>
  <c r="T88" i="37"/>
  <c r="U87" i="37"/>
  <c r="D59" i="31"/>
  <c r="D64" i="31"/>
  <c r="E64" i="31" s="1"/>
  <c r="AN112" i="37"/>
  <c r="AN114" i="37" s="1"/>
  <c r="AM166" i="37"/>
  <c r="D73" i="18"/>
  <c r="E74" i="18" s="1"/>
  <c r="E57" i="18" s="1"/>
  <c r="E58" i="18" s="1"/>
  <c r="E73" i="18"/>
  <c r="F74" i="18" s="1"/>
  <c r="F57" i="18" s="1"/>
  <c r="F58" i="18" s="1"/>
  <c r="E93" i="18"/>
  <c r="F77" i="18"/>
  <c r="F92" i="18" s="1"/>
  <c r="G56" i="18"/>
  <c r="F68" i="18" s="1"/>
  <c r="H55" i="18"/>
  <c r="D54" i="8"/>
  <c r="H43" i="8"/>
  <c r="I42" i="8"/>
  <c r="AO93" i="1"/>
  <c r="AP90" i="1" s="1"/>
  <c r="AP88" i="1" s="1"/>
  <c r="AP91" i="1" s="1"/>
  <c r="AP92" i="1" s="1"/>
  <c r="E55" i="30"/>
  <c r="E57" i="30" s="1"/>
  <c r="D52" i="30"/>
  <c r="I38" i="30"/>
  <c r="H39" i="30"/>
  <c r="E50" i="30" s="1"/>
  <c r="AB54" i="34"/>
  <c r="AC51" i="34" s="1"/>
  <c r="F64" i="35"/>
  <c r="E65" i="35"/>
  <c r="Z27" i="4"/>
  <c r="AA25" i="4" s="1"/>
  <c r="AC59" i="33"/>
  <c r="AC55" i="33" s="1"/>
  <c r="AC60" i="33" s="1"/>
  <c r="AB60" i="34"/>
  <c r="AB63" i="34"/>
  <c r="Y25" i="3"/>
  <c r="Z23" i="3" s="1"/>
  <c r="X40" i="5"/>
  <c r="X38" i="5" s="1"/>
  <c r="X44" i="5" s="1"/>
  <c r="F80" i="26" l="1"/>
  <c r="E115" i="26"/>
  <c r="E76" i="26"/>
  <c r="F77" i="26" s="1"/>
  <c r="I58" i="26"/>
  <c r="H59" i="26"/>
  <c r="G104" i="26"/>
  <c r="F71" i="26"/>
  <c r="E80" i="26"/>
  <c r="D76" i="26"/>
  <c r="E77" i="26" s="1"/>
  <c r="T90" i="37"/>
  <c r="T162" i="37"/>
  <c r="V87" i="37"/>
  <c r="U88" i="37"/>
  <c r="E65" i="31"/>
  <c r="E117" i="31" s="1"/>
  <c r="F64" i="31"/>
  <c r="AO112" i="37"/>
  <c r="AO114" i="37" s="1"/>
  <c r="AN166" i="37"/>
  <c r="G77" i="18"/>
  <c r="G92" i="18" s="1"/>
  <c r="F93" i="18"/>
  <c r="F73" i="18"/>
  <c r="G74" i="18" s="1"/>
  <c r="G57" i="18" s="1"/>
  <c r="G58" i="18" s="1"/>
  <c r="H56" i="18"/>
  <c r="G68" i="18" s="1"/>
  <c r="I55" i="18"/>
  <c r="J42" i="8"/>
  <c r="I43" i="8"/>
  <c r="E54" i="8"/>
  <c r="D56" i="8"/>
  <c r="E59" i="8"/>
  <c r="E61" i="8" s="1"/>
  <c r="F54" i="8"/>
  <c r="F55" i="30"/>
  <c r="F57" i="30" s="1"/>
  <c r="E68" i="30"/>
  <c r="AC57" i="33"/>
  <c r="J38" i="30"/>
  <c r="I39" i="30"/>
  <c r="F50" i="30" s="1"/>
  <c r="AP95" i="1"/>
  <c r="AP93" i="1"/>
  <c r="AQ90" i="1" s="1"/>
  <c r="X39" i="5"/>
  <c r="Y37" i="5" s="1"/>
  <c r="X45" i="5"/>
  <c r="X47" i="5"/>
  <c r="AA28" i="4"/>
  <c r="AA26" i="4" s="1"/>
  <c r="AA29" i="4" s="1"/>
  <c r="AA32" i="4" s="1"/>
  <c r="E117" i="35"/>
  <c r="Z26" i="3"/>
  <c r="Z24" i="3" s="1"/>
  <c r="Z27" i="3" s="1"/>
  <c r="Z31" i="3" s="1"/>
  <c r="G64" i="35"/>
  <c r="F65" i="35"/>
  <c r="D77" i="35" s="1"/>
  <c r="AC64" i="33"/>
  <c r="AC67" i="33"/>
  <c r="D68" i="33" s="1"/>
  <c r="I14" i="33" s="1"/>
  <c r="AC56" i="34"/>
  <c r="AC52" i="34" s="1"/>
  <c r="AC57" i="34" s="1"/>
  <c r="F115" i="26" l="1"/>
  <c r="F76" i="26"/>
  <c r="G77" i="26" s="1"/>
  <c r="G80" i="26"/>
  <c r="F60" i="26"/>
  <c r="F61" i="26" s="1"/>
  <c r="F105" i="26"/>
  <c r="E103" i="26"/>
  <c r="E114" i="26"/>
  <c r="J58" i="26"/>
  <c r="I59" i="26"/>
  <c r="I104" i="26" s="1"/>
  <c r="E105" i="26"/>
  <c r="E60" i="26"/>
  <c r="E61" i="26" s="1"/>
  <c r="H104" i="26"/>
  <c r="G71" i="26"/>
  <c r="F103" i="26"/>
  <c r="F114" i="26"/>
  <c r="U90" i="37"/>
  <c r="U162" i="37"/>
  <c r="W87" i="37"/>
  <c r="V88" i="37"/>
  <c r="F65" i="31"/>
  <c r="G64" i="31"/>
  <c r="AP112" i="37"/>
  <c r="AP114" i="37" s="1"/>
  <c r="AO166" i="37"/>
  <c r="G73" i="18"/>
  <c r="H74" i="18" s="1"/>
  <c r="H57" i="18" s="1"/>
  <c r="H58" i="18" s="1"/>
  <c r="G93" i="18"/>
  <c r="H77" i="18"/>
  <c r="H92" i="18" s="1"/>
  <c r="Z25" i="3"/>
  <c r="AA23" i="3" s="1"/>
  <c r="AA26" i="3" s="1"/>
  <c r="AA24" i="3" s="1"/>
  <c r="AA27" i="3" s="1"/>
  <c r="AA31" i="3" s="1"/>
  <c r="J55" i="18"/>
  <c r="I56" i="18"/>
  <c r="H68" i="18" s="1"/>
  <c r="E72" i="8"/>
  <c r="F59" i="8"/>
  <c r="F61" i="8" s="1"/>
  <c r="G59" i="8"/>
  <c r="G61" i="8" s="1"/>
  <c r="F72" i="8"/>
  <c r="AC54" i="34"/>
  <c r="K42" i="8"/>
  <c r="J43" i="8"/>
  <c r="J39" i="30"/>
  <c r="K38" i="30"/>
  <c r="F68" i="30"/>
  <c r="G55" i="30"/>
  <c r="G57" i="30" s="1"/>
  <c r="H64" i="35"/>
  <c r="G65" i="35"/>
  <c r="AC60" i="34"/>
  <c r="AC63" i="34"/>
  <c r="D64" i="34" s="1"/>
  <c r="I14" i="34" s="1"/>
  <c r="E86" i="35"/>
  <c r="D82" i="35"/>
  <c r="E83" i="35" s="1"/>
  <c r="F117" i="35"/>
  <c r="AA27" i="4"/>
  <c r="AB25" i="4" s="1"/>
  <c r="Y40" i="5"/>
  <c r="Y38" i="5" s="1"/>
  <c r="Y44" i="5" s="1"/>
  <c r="AQ88" i="1"/>
  <c r="AQ91" i="1" s="1"/>
  <c r="AQ92" i="1" s="1"/>
  <c r="K58" i="26" l="1"/>
  <c r="J59" i="26"/>
  <c r="G103" i="26"/>
  <c r="G114" i="26"/>
  <c r="G60" i="26"/>
  <c r="G61" i="26" s="1"/>
  <c r="G105" i="26"/>
  <c r="G76" i="26"/>
  <c r="H77" i="26" s="1"/>
  <c r="G115" i="26"/>
  <c r="H80" i="26"/>
  <c r="V90" i="37"/>
  <c r="V162" i="37"/>
  <c r="X87" i="37"/>
  <c r="W88" i="37"/>
  <c r="H64" i="31"/>
  <c r="G65" i="31"/>
  <c r="D77" i="31"/>
  <c r="F117" i="31"/>
  <c r="AQ112" i="37"/>
  <c r="AQ114" i="37" s="1"/>
  <c r="AP166" i="37"/>
  <c r="K55" i="18"/>
  <c r="J56" i="18"/>
  <c r="I68" i="18" s="1"/>
  <c r="I77" i="18"/>
  <c r="I92" i="18" s="1"/>
  <c r="H93" i="18"/>
  <c r="H73" i="18"/>
  <c r="I74" i="18" s="1"/>
  <c r="I57" i="18" s="1"/>
  <c r="I58" i="18" s="1"/>
  <c r="G54" i="8"/>
  <c r="K43" i="8"/>
  <c r="H54" i="8" s="1"/>
  <c r="L42" i="8"/>
  <c r="K39" i="30"/>
  <c r="L38" i="30"/>
  <c r="AA25" i="3"/>
  <c r="AB23" i="3" s="1"/>
  <c r="AB26" i="3" s="1"/>
  <c r="AB24" i="3" s="1"/>
  <c r="AB27" i="3" s="1"/>
  <c r="AB31" i="3" s="1"/>
  <c r="G50" i="30"/>
  <c r="AQ95" i="1"/>
  <c r="AQ93" i="1"/>
  <c r="AR90" i="1" s="1"/>
  <c r="Y39" i="5"/>
  <c r="Z37" i="5" s="1"/>
  <c r="E66" i="35"/>
  <c r="E67" i="35" s="1"/>
  <c r="E118" i="35"/>
  <c r="G117" i="35"/>
  <c r="E77" i="35"/>
  <c r="I64" i="35"/>
  <c r="H65" i="35"/>
  <c r="F77" i="35" s="1"/>
  <c r="Y45" i="5"/>
  <c r="Y47" i="5"/>
  <c r="AB28" i="4"/>
  <c r="AB26" i="4" s="1"/>
  <c r="AB29" i="4" s="1"/>
  <c r="AB32" i="4" s="1"/>
  <c r="E116" i="35"/>
  <c r="H71" i="26" l="1"/>
  <c r="J104" i="26"/>
  <c r="H105" i="26"/>
  <c r="H60" i="26"/>
  <c r="H61" i="26" s="1"/>
  <c r="H114" i="26"/>
  <c r="H103" i="26"/>
  <c r="L58" i="26"/>
  <c r="K59" i="26"/>
  <c r="K104" i="26" s="1"/>
  <c r="W90" i="37"/>
  <c r="W162" i="37"/>
  <c r="Y87" i="37"/>
  <c r="X88" i="37"/>
  <c r="D82" i="31"/>
  <c r="E83" i="31" s="1"/>
  <c r="E86" i="31"/>
  <c r="E116" i="31" s="1"/>
  <c r="E77" i="31"/>
  <c r="G117" i="31"/>
  <c r="I64" i="31"/>
  <c r="H65" i="31"/>
  <c r="H117" i="31" s="1"/>
  <c r="AR112" i="37"/>
  <c r="AR114" i="37" s="1"/>
  <c r="AQ166" i="37"/>
  <c r="I73" i="18"/>
  <c r="J74" i="18" s="1"/>
  <c r="J57" i="18" s="1"/>
  <c r="J58" i="18" s="1"/>
  <c r="I93" i="18"/>
  <c r="J77" i="18"/>
  <c r="J92" i="18" s="1"/>
  <c r="K56" i="18"/>
  <c r="J68" i="18" s="1"/>
  <c r="L55" i="18"/>
  <c r="AB25" i="3"/>
  <c r="AC23" i="3" s="1"/>
  <c r="M42" i="8"/>
  <c r="L43" i="8"/>
  <c r="I54" i="8" s="1"/>
  <c r="H59" i="8"/>
  <c r="H61" i="8" s="1"/>
  <c r="G72" i="8"/>
  <c r="H72" i="8"/>
  <c r="I59" i="8"/>
  <c r="I61" i="8" s="1"/>
  <c r="M38" i="30"/>
  <c r="L39" i="30"/>
  <c r="H50" i="30"/>
  <c r="H55" i="30"/>
  <c r="H57" i="30" s="1"/>
  <c r="G68" i="30"/>
  <c r="H117" i="35"/>
  <c r="J64" i="35"/>
  <c r="I65" i="35"/>
  <c r="G77" i="35" s="1"/>
  <c r="AC26" i="3"/>
  <c r="AC24" i="3" s="1"/>
  <c r="AC27" i="3" s="1"/>
  <c r="AC31" i="3" s="1"/>
  <c r="AB27" i="4"/>
  <c r="AC25" i="4" s="1"/>
  <c r="E127" i="35"/>
  <c r="F86" i="35"/>
  <c r="E82" i="35"/>
  <c r="F83" i="35" s="1"/>
  <c r="G86" i="35"/>
  <c r="F127" i="35"/>
  <c r="F82" i="35"/>
  <c r="G83" i="35" s="1"/>
  <c r="Z40" i="5"/>
  <c r="Z38" i="5" s="1"/>
  <c r="Z44" i="5" s="1"/>
  <c r="AR88" i="1"/>
  <c r="AR91" i="1" s="1"/>
  <c r="I71" i="26" l="1"/>
  <c r="I115" i="26" s="1"/>
  <c r="J80" i="26"/>
  <c r="M58" i="26"/>
  <c r="L59" i="26"/>
  <c r="H76" i="26"/>
  <c r="I77" i="26" s="1"/>
  <c r="I80" i="26"/>
  <c r="H115" i="26"/>
  <c r="X162" i="37"/>
  <c r="X90" i="37"/>
  <c r="Y88" i="37"/>
  <c r="Z87" i="37"/>
  <c r="F77" i="31"/>
  <c r="F127" i="31" s="1"/>
  <c r="F86" i="31"/>
  <c r="F116" i="31" s="1"/>
  <c r="E127" i="31"/>
  <c r="E82" i="31"/>
  <c r="F83" i="31" s="1"/>
  <c r="J64" i="31"/>
  <c r="I65" i="31"/>
  <c r="E118" i="31"/>
  <c r="E66" i="31"/>
  <c r="E67" i="31" s="1"/>
  <c r="AS112" i="37"/>
  <c r="AS114" i="37" s="1"/>
  <c r="AR166" i="37"/>
  <c r="J93" i="18"/>
  <c r="K77" i="18"/>
  <c r="K92" i="18" s="1"/>
  <c r="J73" i="18"/>
  <c r="K74" i="18" s="1"/>
  <c r="K57" i="18" s="1"/>
  <c r="K58" i="18" s="1"/>
  <c r="M55" i="18"/>
  <c r="L56" i="18"/>
  <c r="K68" i="18" s="1"/>
  <c r="M43" i="8"/>
  <c r="N42" i="8"/>
  <c r="I72" i="8"/>
  <c r="J59" i="8"/>
  <c r="J61" i="8" s="1"/>
  <c r="I55" i="30"/>
  <c r="I57" i="30" s="1"/>
  <c r="H68" i="30"/>
  <c r="AR92" i="1"/>
  <c r="AR95" i="1" s="1"/>
  <c r="Z39" i="5"/>
  <c r="AA37" i="5" s="1"/>
  <c r="AA40" i="5" s="1"/>
  <c r="AA38" i="5" s="1"/>
  <c r="AA44" i="5" s="1"/>
  <c r="I50" i="30"/>
  <c r="AC25" i="3"/>
  <c r="M39" i="30"/>
  <c r="N38" i="30"/>
  <c r="H86" i="35"/>
  <c r="G82" i="35"/>
  <c r="H83" i="35" s="1"/>
  <c r="G127" i="35"/>
  <c r="Z47" i="5"/>
  <c r="Z45" i="5"/>
  <c r="F66" i="35"/>
  <c r="F67" i="35" s="1"/>
  <c r="F118" i="35"/>
  <c r="K64" i="35"/>
  <c r="J65" i="35"/>
  <c r="H77" i="35" s="1"/>
  <c r="AC28" i="4"/>
  <c r="AC26" i="4" s="1"/>
  <c r="AC29" i="4" s="1"/>
  <c r="AC32" i="4" s="1"/>
  <c r="F116" i="35"/>
  <c r="G116" i="35"/>
  <c r="G66" i="35"/>
  <c r="G67" i="35" s="1"/>
  <c r="G118" i="35"/>
  <c r="I117" i="35"/>
  <c r="I76" i="26" l="1"/>
  <c r="J77" i="26" s="1"/>
  <c r="M59" i="26"/>
  <c r="N58" i="26"/>
  <c r="J103" i="26"/>
  <c r="J114" i="26"/>
  <c r="I60" i="26"/>
  <c r="I61" i="26" s="1"/>
  <c r="I105" i="26"/>
  <c r="J105" i="26"/>
  <c r="J60" i="26"/>
  <c r="J61" i="26" s="1"/>
  <c r="I103" i="26"/>
  <c r="I114" i="26"/>
  <c r="J71" i="26"/>
  <c r="L104" i="26"/>
  <c r="AA87" i="37"/>
  <c r="Z88" i="37"/>
  <c r="Y162" i="37"/>
  <c r="Y90" i="37"/>
  <c r="G86" i="31"/>
  <c r="G116" i="31" s="1"/>
  <c r="F82" i="31"/>
  <c r="G83" i="31" s="1"/>
  <c r="G118" i="31" s="1"/>
  <c r="J65" i="31"/>
  <c r="K64" i="31"/>
  <c r="F118" i="31"/>
  <c r="F66" i="31"/>
  <c r="F67" i="31" s="1"/>
  <c r="G77" i="31"/>
  <c r="I117" i="31"/>
  <c r="AT112" i="37"/>
  <c r="AT114" i="37" s="1"/>
  <c r="AS166" i="37"/>
  <c r="N55" i="18"/>
  <c r="M56" i="18"/>
  <c r="L68" i="18" s="1"/>
  <c r="L77" i="18"/>
  <c r="L92" i="18" s="1"/>
  <c r="K73" i="18"/>
  <c r="L74" i="18" s="1"/>
  <c r="L57" i="18" s="1"/>
  <c r="L58" i="18" s="1"/>
  <c r="K93" i="18"/>
  <c r="O42" i="8"/>
  <c r="N43" i="8"/>
  <c r="J54" i="8"/>
  <c r="O38" i="30"/>
  <c r="N39" i="30"/>
  <c r="K50" i="30" s="1"/>
  <c r="J50" i="30"/>
  <c r="I68" i="30"/>
  <c r="J55" i="30"/>
  <c r="J57" i="30" s="1"/>
  <c r="AR93" i="1"/>
  <c r="AS90" i="1" s="1"/>
  <c r="AA39" i="5"/>
  <c r="AB37" i="5" s="1"/>
  <c r="AC27" i="4"/>
  <c r="J117" i="35"/>
  <c r="L64" i="35"/>
  <c r="K65" i="35"/>
  <c r="I77" i="35" s="1"/>
  <c r="H127" i="35"/>
  <c r="H82" i="35"/>
  <c r="I83" i="35" s="1"/>
  <c r="I86" i="35"/>
  <c r="H118" i="35"/>
  <c r="H66" i="35"/>
  <c r="H67" i="35" s="1"/>
  <c r="AA47" i="5"/>
  <c r="AA45" i="5"/>
  <c r="H116" i="35"/>
  <c r="K80" i="26" l="1"/>
  <c r="J115" i="26"/>
  <c r="J76" i="26"/>
  <c r="K77" i="26" s="1"/>
  <c r="O58" i="26"/>
  <c r="N59" i="26"/>
  <c r="K71" i="26"/>
  <c r="M104" i="26"/>
  <c r="Z90" i="37"/>
  <c r="Z162" i="37"/>
  <c r="AA88" i="37"/>
  <c r="AB87" i="37"/>
  <c r="G66" i="31"/>
  <c r="G67" i="31" s="1"/>
  <c r="G127" i="31"/>
  <c r="G82" i="31"/>
  <c r="H83" i="31" s="1"/>
  <c r="H86" i="31"/>
  <c r="H116" i="31" s="1"/>
  <c r="L64" i="31"/>
  <c r="K65" i="31"/>
  <c r="K117" i="31" s="1"/>
  <c r="H77" i="31"/>
  <c r="J117" i="31"/>
  <c r="AU112" i="37"/>
  <c r="AU114" i="37" s="1"/>
  <c r="AT166" i="37"/>
  <c r="L73" i="18"/>
  <c r="M74" i="18" s="1"/>
  <c r="M57" i="18" s="1"/>
  <c r="M58" i="18" s="1"/>
  <c r="M77" i="18"/>
  <c r="M92" i="18" s="1"/>
  <c r="L93" i="18"/>
  <c r="O55" i="18"/>
  <c r="N56" i="18"/>
  <c r="M68" i="18" s="1"/>
  <c r="K59" i="8"/>
  <c r="K61" i="8" s="1"/>
  <c r="J72" i="8"/>
  <c r="K54" i="8"/>
  <c r="P42" i="8"/>
  <c r="O43" i="8"/>
  <c r="L54" i="8" s="1"/>
  <c r="AS88" i="1"/>
  <c r="AS91" i="1" s="1"/>
  <c r="P38" i="30"/>
  <c r="O39" i="30"/>
  <c r="K55" i="30"/>
  <c r="K57" i="30" s="1"/>
  <c r="J68" i="30"/>
  <c r="L55" i="30"/>
  <c r="L57" i="30" s="1"/>
  <c r="K68" i="30"/>
  <c r="J86" i="35"/>
  <c r="I82" i="35"/>
  <c r="J83" i="35" s="1"/>
  <c r="I127" i="35"/>
  <c r="I116" i="35"/>
  <c r="M64" i="35"/>
  <c r="L65" i="35"/>
  <c r="J77" i="35" s="1"/>
  <c r="I118" i="35"/>
  <c r="I66" i="35"/>
  <c r="I67" i="35" s="1"/>
  <c r="AB40" i="5"/>
  <c r="AB38" i="5" s="1"/>
  <c r="AB44" i="5" s="1"/>
  <c r="K117" i="35"/>
  <c r="L80" i="26" l="1"/>
  <c r="K115" i="26"/>
  <c r="K76" i="26"/>
  <c r="L77" i="26" s="1"/>
  <c r="P58" i="26"/>
  <c r="O59" i="26"/>
  <c r="K105" i="26"/>
  <c r="K60" i="26"/>
  <c r="K61" i="26" s="1"/>
  <c r="L71" i="26"/>
  <c r="N104" i="26"/>
  <c r="K114" i="26"/>
  <c r="K103" i="26"/>
  <c r="AA90" i="37"/>
  <c r="AA162" i="37"/>
  <c r="AB88" i="37"/>
  <c r="AC87" i="37"/>
  <c r="I77" i="31"/>
  <c r="M64" i="31"/>
  <c r="L65" i="31"/>
  <c r="H82" i="31"/>
  <c r="I83" i="31" s="1"/>
  <c r="H127" i="31"/>
  <c r="I86" i="31"/>
  <c r="I116" i="31" s="1"/>
  <c r="H118" i="31"/>
  <c r="H66" i="31"/>
  <c r="H67" i="31" s="1"/>
  <c r="AV112" i="37"/>
  <c r="AV114" i="37" s="1"/>
  <c r="AU166" i="37"/>
  <c r="P55" i="18"/>
  <c r="O56" i="18"/>
  <c r="N68" i="18" s="1"/>
  <c r="N77" i="18"/>
  <c r="N92" i="18" s="1"/>
  <c r="M93" i="18"/>
  <c r="M73" i="18"/>
  <c r="N74" i="18" s="1"/>
  <c r="N57" i="18" s="1"/>
  <c r="N58" i="18" s="1"/>
  <c r="L59" i="8"/>
  <c r="L61" i="8" s="1"/>
  <c r="K72" i="8"/>
  <c r="AB39" i="5"/>
  <c r="AC37" i="5" s="1"/>
  <c r="M59" i="8"/>
  <c r="M61" i="8" s="1"/>
  <c r="L72" i="8"/>
  <c r="Q42" i="8"/>
  <c r="P43" i="8"/>
  <c r="L50" i="30"/>
  <c r="Q38" i="30"/>
  <c r="P39" i="30"/>
  <c r="AS92" i="1"/>
  <c r="AS95" i="1" s="1"/>
  <c r="AB45" i="5"/>
  <c r="AB47" i="5"/>
  <c r="N64" i="35"/>
  <c r="M65" i="35"/>
  <c r="K77" i="35" s="1"/>
  <c r="J82" i="35"/>
  <c r="K83" i="35" s="1"/>
  <c r="J127" i="35"/>
  <c r="K86" i="35"/>
  <c r="J118" i="35"/>
  <c r="J66" i="35"/>
  <c r="J67" i="35" s="1"/>
  <c r="AC40" i="5"/>
  <c r="AC38" i="5" s="1"/>
  <c r="AC44" i="5" s="1"/>
  <c r="L117" i="35"/>
  <c r="J116" i="35"/>
  <c r="L60" i="26" l="1"/>
  <c r="L61" i="26" s="1"/>
  <c r="L105" i="26"/>
  <c r="M80" i="26"/>
  <c r="L115" i="26"/>
  <c r="L76" i="26"/>
  <c r="M77" i="26" s="1"/>
  <c r="P59" i="26"/>
  <c r="Q58" i="26"/>
  <c r="M71" i="26"/>
  <c r="O104" i="26"/>
  <c r="N71" i="26"/>
  <c r="L103" i="26"/>
  <c r="L114" i="26"/>
  <c r="AD87" i="37"/>
  <c r="AC88" i="37"/>
  <c r="AB90" i="37"/>
  <c r="AB162" i="37"/>
  <c r="I66" i="31"/>
  <c r="I67" i="31" s="1"/>
  <c r="I118" i="31"/>
  <c r="J77" i="31"/>
  <c r="L117" i="31"/>
  <c r="N64" i="31"/>
  <c r="M65" i="31"/>
  <c r="K77" i="31" s="1"/>
  <c r="J86" i="31"/>
  <c r="J116" i="31" s="1"/>
  <c r="I82" i="31"/>
  <c r="J83" i="31" s="1"/>
  <c r="I127" i="31"/>
  <c r="AW112" i="37"/>
  <c r="AW114" i="37" s="1"/>
  <c r="AV166" i="37"/>
  <c r="N73" i="18"/>
  <c r="O74" i="18" s="1"/>
  <c r="O57" i="18" s="1"/>
  <c r="O58" i="18" s="1"/>
  <c r="N93" i="18"/>
  <c r="O77" i="18"/>
  <c r="O92" i="18" s="1"/>
  <c r="Q55" i="18"/>
  <c r="P56" i="18"/>
  <c r="O68" i="18" s="1"/>
  <c r="M54" i="8"/>
  <c r="Q43" i="8"/>
  <c r="N54" i="8" s="1"/>
  <c r="R42" i="8"/>
  <c r="M55" i="30"/>
  <c r="M57" i="30" s="1"/>
  <c r="L68" i="30"/>
  <c r="M50" i="30"/>
  <c r="R38" i="30"/>
  <c r="Q39" i="30"/>
  <c r="AS93" i="1"/>
  <c r="AT90" i="1" s="1"/>
  <c r="L86" i="35"/>
  <c r="K82" i="35"/>
  <c r="L83" i="35" s="1"/>
  <c r="K127" i="35"/>
  <c r="K66" i="35"/>
  <c r="K67" i="35" s="1"/>
  <c r="K118" i="35"/>
  <c r="AC39" i="5"/>
  <c r="M117" i="35"/>
  <c r="AC45" i="5"/>
  <c r="AC47" i="5"/>
  <c r="D48" i="5" s="1"/>
  <c r="D50" i="5" s="1" a="1"/>
  <c r="D50" i="5" s="1"/>
  <c r="K116" i="35"/>
  <c r="O64" i="35"/>
  <c r="N65" i="35"/>
  <c r="M76" i="26" l="1"/>
  <c r="N77" i="26" s="1"/>
  <c r="N80" i="26"/>
  <c r="M115" i="26"/>
  <c r="M114" i="26"/>
  <c r="M103" i="26"/>
  <c r="N76" i="26"/>
  <c r="O77" i="26" s="1"/>
  <c r="N115" i="26"/>
  <c r="O80" i="26"/>
  <c r="P104" i="26"/>
  <c r="R58" i="26"/>
  <c r="Q59" i="26"/>
  <c r="Q104" i="26" s="1"/>
  <c r="M60" i="26"/>
  <c r="M61" i="26" s="1"/>
  <c r="M105" i="26"/>
  <c r="AC90" i="37"/>
  <c r="AC162" i="37"/>
  <c r="AE87" i="37"/>
  <c r="AD88" i="37"/>
  <c r="M117" i="31"/>
  <c r="K86" i="31"/>
  <c r="K116" i="31" s="1"/>
  <c r="J127" i="31"/>
  <c r="J82" i="31"/>
  <c r="K83" i="31" s="1"/>
  <c r="O64" i="31"/>
  <c r="N65" i="31"/>
  <c r="N117" i="31" s="1"/>
  <c r="J66" i="31"/>
  <c r="J67" i="31" s="1"/>
  <c r="J118" i="31"/>
  <c r="K82" i="31"/>
  <c r="L83" i="31" s="1"/>
  <c r="L86" i="31"/>
  <c r="L116" i="31" s="1"/>
  <c r="K127" i="31"/>
  <c r="AX112" i="37"/>
  <c r="AX114" i="37" s="1"/>
  <c r="AW166" i="37"/>
  <c r="R55" i="18"/>
  <c r="Q56" i="18"/>
  <c r="P68" i="18" s="1"/>
  <c r="O73" i="18"/>
  <c r="P74" i="18" s="1"/>
  <c r="P57" i="18" s="1"/>
  <c r="P58" i="18" s="1"/>
  <c r="P77" i="18"/>
  <c r="P92" i="18" s="1"/>
  <c r="O93" i="18"/>
  <c r="S42" i="8"/>
  <c r="R43" i="8"/>
  <c r="O54" i="8" s="1"/>
  <c r="O59" i="8"/>
  <c r="O61" i="8" s="1"/>
  <c r="N72" i="8"/>
  <c r="N59" i="8"/>
  <c r="N61" i="8" s="1"/>
  <c r="M72" i="8"/>
  <c r="AT88" i="1"/>
  <c r="AT91" i="1" s="1"/>
  <c r="AT92" i="1" s="1"/>
  <c r="AT95" i="1" s="1"/>
  <c r="N55" i="30"/>
  <c r="N57" i="30" s="1"/>
  <c r="M68" i="30"/>
  <c r="S38" i="30"/>
  <c r="R39" i="30"/>
  <c r="O50" i="30" s="1"/>
  <c r="N50" i="30"/>
  <c r="N117" i="35"/>
  <c r="P64" i="35"/>
  <c r="O65" i="35"/>
  <c r="L118" i="35"/>
  <c r="L66" i="35"/>
  <c r="L67" i="35" s="1"/>
  <c r="L77" i="35"/>
  <c r="L116" i="35"/>
  <c r="O71" i="26" l="1"/>
  <c r="P80" i="26" s="1"/>
  <c r="O114" i="26"/>
  <c r="O103" i="26"/>
  <c r="R59" i="26"/>
  <c r="S58" i="26"/>
  <c r="O76" i="26"/>
  <c r="P77" i="26" s="1"/>
  <c r="O105" i="26"/>
  <c r="O60" i="26"/>
  <c r="O61" i="26" s="1"/>
  <c r="N114" i="26"/>
  <c r="N103" i="26"/>
  <c r="N105" i="26"/>
  <c r="N60" i="26"/>
  <c r="N61" i="26" s="1"/>
  <c r="AD90" i="37"/>
  <c r="AD162" i="37"/>
  <c r="AF87" i="37"/>
  <c r="AE88" i="37"/>
  <c r="L77" i="31"/>
  <c r="L82" i="31" s="1"/>
  <c r="M83" i="31" s="1"/>
  <c r="L66" i="31"/>
  <c r="L67" i="31" s="1"/>
  <c r="L118" i="31"/>
  <c r="P64" i="31"/>
  <c r="O65" i="31"/>
  <c r="K66" i="31"/>
  <c r="K67" i="31" s="1"/>
  <c r="K118" i="31"/>
  <c r="AY112" i="37"/>
  <c r="AY114" i="37" s="1"/>
  <c r="AX166" i="37"/>
  <c r="P73" i="18"/>
  <c r="Q74" i="18" s="1"/>
  <c r="Q57" i="18" s="1"/>
  <c r="Q58" i="18" s="1"/>
  <c r="P93" i="18"/>
  <c r="Q77" i="18"/>
  <c r="Q92" i="18" s="1"/>
  <c r="S55" i="18"/>
  <c r="R56" i="18"/>
  <c r="Q68" i="18" s="1"/>
  <c r="P59" i="8"/>
  <c r="P61" i="8" s="1"/>
  <c r="O72" i="8"/>
  <c r="T42" i="8"/>
  <c r="S43" i="8"/>
  <c r="O55" i="30"/>
  <c r="O57" i="30" s="1"/>
  <c r="N68" i="30"/>
  <c r="T38" i="30"/>
  <c r="S39" i="30"/>
  <c r="P55" i="30"/>
  <c r="P57" i="30" s="1"/>
  <c r="O68" i="30"/>
  <c r="AT93" i="1"/>
  <c r="AU90" i="1" s="1"/>
  <c r="O117" i="35"/>
  <c r="L82" i="35"/>
  <c r="M83" i="35" s="1"/>
  <c r="M86" i="35"/>
  <c r="L127" i="35"/>
  <c r="Q64" i="35"/>
  <c r="P65" i="35"/>
  <c r="M77" i="35"/>
  <c r="O115" i="26" l="1"/>
  <c r="T58" i="26"/>
  <c r="S59" i="26"/>
  <c r="P60" i="26"/>
  <c r="P61" i="26" s="1"/>
  <c r="P105" i="26"/>
  <c r="P71" i="26"/>
  <c r="R104" i="26"/>
  <c r="P103" i="26"/>
  <c r="P114" i="26"/>
  <c r="AE90" i="37"/>
  <c r="AE162" i="37"/>
  <c r="AG87" i="37"/>
  <c r="AF88" i="37"/>
  <c r="L127" i="31"/>
  <c r="M86" i="31"/>
  <c r="M116" i="31" s="1"/>
  <c r="M77" i="31"/>
  <c r="O117" i="31"/>
  <c r="Q64" i="31"/>
  <c r="P65" i="31"/>
  <c r="M118" i="31"/>
  <c r="M66" i="31"/>
  <c r="M67" i="31" s="1"/>
  <c r="AZ112" i="37"/>
  <c r="AZ114" i="37" s="1"/>
  <c r="AY166" i="37"/>
  <c r="T55" i="18"/>
  <c r="S56" i="18"/>
  <c r="R68" i="18" s="1"/>
  <c r="R77" i="18"/>
  <c r="R92" i="18" s="1"/>
  <c r="Q73" i="18"/>
  <c r="R74" i="18" s="1"/>
  <c r="R57" i="18" s="1"/>
  <c r="R58" i="18" s="1"/>
  <c r="Q93" i="18"/>
  <c r="U42" i="8"/>
  <c r="T43" i="8"/>
  <c r="Q54" i="8" s="1"/>
  <c r="P54" i="8"/>
  <c r="U38" i="30"/>
  <c r="T39" i="30"/>
  <c r="Q50" i="30" s="1"/>
  <c r="AU88" i="1"/>
  <c r="AU91" i="1" s="1"/>
  <c r="AU92" i="1" s="1"/>
  <c r="P50" i="30"/>
  <c r="P117" i="35"/>
  <c r="M66" i="35"/>
  <c r="M67" i="35" s="1"/>
  <c r="M118" i="35"/>
  <c r="R64" i="35"/>
  <c r="Q65" i="35"/>
  <c r="M82" i="35"/>
  <c r="N83" i="35" s="1"/>
  <c r="M127" i="35"/>
  <c r="N86" i="35"/>
  <c r="M116" i="35"/>
  <c r="N77" i="35"/>
  <c r="Q71" i="26" l="1"/>
  <c r="S104" i="26"/>
  <c r="Q80" i="26"/>
  <c r="P115" i="26"/>
  <c r="P76" i="26"/>
  <c r="Q77" i="26" s="1"/>
  <c r="T59" i="26"/>
  <c r="R71" i="26" s="1"/>
  <c r="U58" i="26"/>
  <c r="AF90" i="37"/>
  <c r="AF162" i="37"/>
  <c r="AH87" i="37"/>
  <c r="AG88" i="37"/>
  <c r="N77" i="31"/>
  <c r="P117" i="31"/>
  <c r="R64" i="31"/>
  <c r="Q65" i="31"/>
  <c r="O77" i="31" s="1"/>
  <c r="M127" i="31"/>
  <c r="M82" i="31"/>
  <c r="N83" i="31" s="1"/>
  <c r="N86" i="31"/>
  <c r="N116" i="31" s="1"/>
  <c r="BA112" i="37"/>
  <c r="BA114" i="37" s="1"/>
  <c r="AZ166" i="37"/>
  <c r="AU95" i="1"/>
  <c r="AU93" i="1"/>
  <c r="AV90" i="1" s="1"/>
  <c r="R93" i="18"/>
  <c r="R73" i="18"/>
  <c r="S74" i="18" s="1"/>
  <c r="S57" i="18" s="1"/>
  <c r="S58" i="18" s="1"/>
  <c r="S77" i="18"/>
  <c r="S92" i="18" s="1"/>
  <c r="T56" i="18"/>
  <c r="S68" i="18" s="1"/>
  <c r="U55" i="18"/>
  <c r="P72" i="8"/>
  <c r="Q59" i="8"/>
  <c r="Q61" i="8" s="1"/>
  <c r="R59" i="8"/>
  <c r="R61" i="8" s="1"/>
  <c r="Q72" i="8"/>
  <c r="U43" i="8"/>
  <c r="V42" i="8"/>
  <c r="R55" i="30"/>
  <c r="R57" i="30" s="1"/>
  <c r="Q68" i="30"/>
  <c r="Q55" i="30"/>
  <c r="Q57" i="30" s="1"/>
  <c r="P68" i="30"/>
  <c r="AV88" i="1"/>
  <c r="AV91" i="1" s="1"/>
  <c r="AV92" i="1" s="1"/>
  <c r="AV95" i="1" s="1"/>
  <c r="V38" i="30"/>
  <c r="U39" i="30"/>
  <c r="N82" i="35"/>
  <c r="O83" i="35" s="1"/>
  <c r="O86" i="35"/>
  <c r="N127" i="35"/>
  <c r="N66" i="35"/>
  <c r="N67" i="35" s="1"/>
  <c r="N118" i="35"/>
  <c r="Q117" i="35"/>
  <c r="S64" i="35"/>
  <c r="R65" i="35"/>
  <c r="P77" i="35" s="1"/>
  <c r="N116" i="35"/>
  <c r="O77" i="35"/>
  <c r="T104" i="26" l="1"/>
  <c r="R115" i="26"/>
  <c r="R76" i="26"/>
  <c r="S77" i="26" s="1"/>
  <c r="S80" i="26"/>
  <c r="V58" i="26"/>
  <c r="U59" i="26"/>
  <c r="S71" i="26" s="1"/>
  <c r="Q105" i="26"/>
  <c r="Q60" i="26"/>
  <c r="Q61" i="26" s="1"/>
  <c r="Q103" i="26"/>
  <c r="Q114" i="26"/>
  <c r="R80" i="26"/>
  <c r="Q115" i="26"/>
  <c r="Q76" i="26"/>
  <c r="R77" i="26" s="1"/>
  <c r="AG90" i="37"/>
  <c r="AG162" i="37"/>
  <c r="AI87" i="37"/>
  <c r="AH88" i="37"/>
  <c r="O82" i="31"/>
  <c r="P83" i="31" s="1"/>
  <c r="O127" i="31"/>
  <c r="P86" i="31"/>
  <c r="P116" i="31" s="1"/>
  <c r="S64" i="31"/>
  <c r="R65" i="31"/>
  <c r="N66" i="31"/>
  <c r="N67" i="31" s="1"/>
  <c r="N118" i="31"/>
  <c r="Q117" i="31"/>
  <c r="P77" i="31"/>
  <c r="O86" i="31"/>
  <c r="O116" i="31" s="1"/>
  <c r="N127" i="31"/>
  <c r="N82" i="31"/>
  <c r="O83" i="31" s="1"/>
  <c r="BB112" i="37"/>
  <c r="BB114" i="37" s="1"/>
  <c r="BA166" i="37"/>
  <c r="U56" i="18"/>
  <c r="T68" i="18" s="1"/>
  <c r="V55" i="18"/>
  <c r="T77" i="18"/>
  <c r="T92" i="18" s="1"/>
  <c r="S73" i="18"/>
  <c r="T74" i="18" s="1"/>
  <c r="T57" i="18" s="1"/>
  <c r="T58" i="18" s="1"/>
  <c r="S93" i="18"/>
  <c r="AV93" i="1"/>
  <c r="AW90" i="1" s="1"/>
  <c r="W42" i="8"/>
  <c r="V43" i="8"/>
  <c r="R54" i="8"/>
  <c r="R50" i="30"/>
  <c r="W38" i="30"/>
  <c r="V39" i="30"/>
  <c r="P82" i="35"/>
  <c r="Q83" i="35" s="1"/>
  <c r="P127" i="35"/>
  <c r="Q86" i="35"/>
  <c r="P86" i="35"/>
  <c r="O82" i="35"/>
  <c r="P83" i="35" s="1"/>
  <c r="O127" i="35"/>
  <c r="T64" i="35"/>
  <c r="S65" i="35"/>
  <c r="Q77" i="35" s="1"/>
  <c r="O116" i="35"/>
  <c r="O66" i="35"/>
  <c r="O67" i="35" s="1"/>
  <c r="O118" i="35"/>
  <c r="R117" i="35"/>
  <c r="S105" i="26" l="1"/>
  <c r="S60" i="26"/>
  <c r="S61" i="26" s="1"/>
  <c r="U104" i="26"/>
  <c r="T71" i="26"/>
  <c r="R114" i="26"/>
  <c r="R103" i="26"/>
  <c r="R60" i="26"/>
  <c r="R61" i="26" s="1"/>
  <c r="R105" i="26"/>
  <c r="W58" i="26"/>
  <c r="V59" i="26"/>
  <c r="V104" i="26" s="1"/>
  <c r="T80" i="26"/>
  <c r="S76" i="26"/>
  <c r="T77" i="26" s="1"/>
  <c r="S115" i="26"/>
  <c r="S114" i="26"/>
  <c r="S103" i="26"/>
  <c r="AH90" i="37"/>
  <c r="AH162" i="37"/>
  <c r="AJ87" i="37"/>
  <c r="AI88" i="37"/>
  <c r="O118" i="31"/>
  <c r="O66" i="31"/>
  <c r="O67" i="31" s="1"/>
  <c r="S65" i="31"/>
  <c r="Q77" i="31" s="1"/>
  <c r="T64" i="31"/>
  <c r="P127" i="31"/>
  <c r="P82" i="31"/>
  <c r="Q83" i="31" s="1"/>
  <c r="Q86" i="31"/>
  <c r="Q116" i="31" s="1"/>
  <c r="R117" i="31"/>
  <c r="P66" i="31"/>
  <c r="P67" i="31" s="1"/>
  <c r="P118" i="31"/>
  <c r="BC112" i="37"/>
  <c r="BC114" i="37" s="1"/>
  <c r="BB166" i="37"/>
  <c r="W55" i="18"/>
  <c r="V56" i="18"/>
  <c r="U68" i="18" s="1"/>
  <c r="T93" i="18"/>
  <c r="T73" i="18"/>
  <c r="U74" i="18" s="1"/>
  <c r="U57" i="18" s="1"/>
  <c r="U58" i="18" s="1"/>
  <c r="U77" i="18"/>
  <c r="U92" i="18" s="1"/>
  <c r="S54" i="8"/>
  <c r="X42" i="8"/>
  <c r="W43" i="8"/>
  <c r="S59" i="8"/>
  <c r="S61" i="8" s="1"/>
  <c r="R72" i="8"/>
  <c r="AW88" i="1"/>
  <c r="AW91" i="1" s="1"/>
  <c r="AW92" i="1" s="1"/>
  <c r="AW95" i="1" s="1"/>
  <c r="S50" i="30"/>
  <c r="S55" i="30"/>
  <c r="S57" i="30" s="1"/>
  <c r="R68" i="30"/>
  <c r="X38" i="30"/>
  <c r="W39" i="30"/>
  <c r="T50" i="30" s="1"/>
  <c r="Q116" i="35"/>
  <c r="R86" i="35"/>
  <c r="Q82" i="35"/>
  <c r="R83" i="35" s="1"/>
  <c r="Q127" i="35"/>
  <c r="S117" i="35"/>
  <c r="P66" i="35"/>
  <c r="P67" i="35" s="1"/>
  <c r="P118" i="35"/>
  <c r="U64" i="35"/>
  <c r="T65" i="35"/>
  <c r="R77" i="35" s="1"/>
  <c r="P116" i="35"/>
  <c r="Q66" i="35"/>
  <c r="Q67" i="35" s="1"/>
  <c r="Q118" i="35"/>
  <c r="T114" i="26" l="1"/>
  <c r="T103" i="26"/>
  <c r="T76" i="26"/>
  <c r="U77" i="26" s="1"/>
  <c r="U80" i="26"/>
  <c r="T115" i="26"/>
  <c r="T105" i="26"/>
  <c r="T60" i="26"/>
  <c r="T61" i="26" s="1"/>
  <c r="X58" i="26"/>
  <c r="W59" i="26"/>
  <c r="AI90" i="37"/>
  <c r="AI162" i="37"/>
  <c r="AJ88" i="37"/>
  <c r="AK87" i="37"/>
  <c r="U64" i="31"/>
  <c r="T65" i="31"/>
  <c r="T117" i="31" s="1"/>
  <c r="S117" i="31"/>
  <c r="Q66" i="31"/>
  <c r="Q67" i="31" s="1"/>
  <c r="Q118" i="31"/>
  <c r="Q82" i="31"/>
  <c r="R83" i="31" s="1"/>
  <c r="Q127" i="31"/>
  <c r="R86" i="31"/>
  <c r="R116" i="31" s="1"/>
  <c r="BD112" i="37"/>
  <c r="BD114" i="37" s="1"/>
  <c r="BC166" i="37"/>
  <c r="V77" i="18"/>
  <c r="V92" i="18" s="1"/>
  <c r="U93" i="18"/>
  <c r="U73" i="18"/>
  <c r="V74" i="18" s="1"/>
  <c r="V57" i="18" s="1"/>
  <c r="V58" i="18" s="1"/>
  <c r="X55" i="18"/>
  <c r="W56" i="18"/>
  <c r="V68" i="18" s="1"/>
  <c r="Y42" i="8"/>
  <c r="X43" i="8"/>
  <c r="T59" i="8"/>
  <c r="T61" i="8" s="1"/>
  <c r="S72" i="8"/>
  <c r="AW93" i="1"/>
  <c r="AX90" i="1" s="1"/>
  <c r="T54" i="8"/>
  <c r="S68" i="30"/>
  <c r="T55" i="30"/>
  <c r="T57" i="30" s="1"/>
  <c r="Y38" i="30"/>
  <c r="X39" i="30"/>
  <c r="U50" i="30" s="1"/>
  <c r="U55" i="30"/>
  <c r="U57" i="30" s="1"/>
  <c r="T68" i="30"/>
  <c r="S86" i="35"/>
  <c r="R82" i="35"/>
  <c r="S83" i="35" s="1"/>
  <c r="R127" i="35"/>
  <c r="V64" i="35"/>
  <c r="U65" i="35"/>
  <c r="S77" i="35" s="1"/>
  <c r="R118" i="35"/>
  <c r="R66" i="35"/>
  <c r="R67" i="35" s="1"/>
  <c r="R116" i="35"/>
  <c r="T117" i="35"/>
  <c r="U60" i="26" l="1"/>
  <c r="U61" i="26" s="1"/>
  <c r="U105" i="26"/>
  <c r="X59" i="26"/>
  <c r="V71" i="26" s="1"/>
  <c r="Y58" i="26"/>
  <c r="U103" i="26"/>
  <c r="U114" i="26"/>
  <c r="U71" i="26"/>
  <c r="W104" i="26"/>
  <c r="AJ90" i="37"/>
  <c r="AJ162" i="37"/>
  <c r="AK88" i="37"/>
  <c r="AL87" i="37"/>
  <c r="R77" i="31"/>
  <c r="R118" i="31"/>
  <c r="R66" i="31"/>
  <c r="R67" i="31" s="1"/>
  <c r="V64" i="31"/>
  <c r="U65" i="31"/>
  <c r="BE112" i="37"/>
  <c r="BE114" i="37" s="1"/>
  <c r="BD166" i="37"/>
  <c r="X56" i="18"/>
  <c r="W68" i="18" s="1"/>
  <c r="Y55" i="18"/>
  <c r="V93" i="18"/>
  <c r="W77" i="18"/>
  <c r="W92" i="18" s="1"/>
  <c r="V73" i="18"/>
  <c r="W74" i="18" s="1"/>
  <c r="W57" i="18" s="1"/>
  <c r="W58" i="18" s="1"/>
  <c r="T72" i="8"/>
  <c r="U59" i="8"/>
  <c r="U61" i="8" s="1"/>
  <c r="U54" i="8"/>
  <c r="AX88" i="1"/>
  <c r="AX91" i="1" s="1"/>
  <c r="AX92" i="1" s="1"/>
  <c r="AX95" i="1" s="1"/>
  <c r="Z42" i="8"/>
  <c r="Y43" i="8"/>
  <c r="V55" i="30"/>
  <c r="V57" i="30" s="1"/>
  <c r="U68" i="30"/>
  <c r="Z38" i="30"/>
  <c r="Y39" i="30"/>
  <c r="V50" i="30" s="1"/>
  <c r="S82" i="35"/>
  <c r="T83" i="35" s="1"/>
  <c r="S127" i="35"/>
  <c r="T86" i="35"/>
  <c r="S118" i="35"/>
  <c r="S66" i="35"/>
  <c r="S67" i="35" s="1"/>
  <c r="U117" i="35"/>
  <c r="S116" i="35"/>
  <c r="W64" i="35"/>
  <c r="V65" i="35"/>
  <c r="V80" i="26" l="1"/>
  <c r="U76" i="26"/>
  <c r="V77" i="26" s="1"/>
  <c r="U115" i="26"/>
  <c r="X104" i="26"/>
  <c r="Z58" i="26"/>
  <c r="Y59" i="26"/>
  <c r="Y104" i="26" s="1"/>
  <c r="W80" i="26"/>
  <c r="V76" i="26"/>
  <c r="W77" i="26" s="1"/>
  <c r="V115" i="26"/>
  <c r="AL88" i="37"/>
  <c r="AM87" i="37"/>
  <c r="AK90" i="37"/>
  <c r="AK162" i="37"/>
  <c r="V65" i="31"/>
  <c r="T77" i="31" s="1"/>
  <c r="W64" i="31"/>
  <c r="S77" i="31"/>
  <c r="U117" i="31"/>
  <c r="R82" i="31"/>
  <c r="S83" i="31" s="1"/>
  <c r="R127" i="31"/>
  <c r="S86" i="31"/>
  <c r="S116" i="31" s="1"/>
  <c r="BF112" i="37"/>
  <c r="BF114" i="37" s="1"/>
  <c r="BE166" i="37"/>
  <c r="W73" i="18"/>
  <c r="X74" i="18" s="1"/>
  <c r="X57" i="18" s="1"/>
  <c r="X58" i="18" s="1"/>
  <c r="W93" i="18"/>
  <c r="X77" i="18"/>
  <c r="X92" i="18" s="1"/>
  <c r="Z55" i="18"/>
  <c r="Y56" i="18"/>
  <c r="X68" i="18" s="1"/>
  <c r="V54" i="8"/>
  <c r="U72" i="8"/>
  <c r="V59" i="8"/>
  <c r="V61" i="8" s="1"/>
  <c r="AA42" i="8"/>
  <c r="Z43" i="8"/>
  <c r="AX93" i="1"/>
  <c r="AY90" i="1" s="1"/>
  <c r="W55" i="30"/>
  <c r="W57" i="30" s="1"/>
  <c r="V68" i="30"/>
  <c r="AA38" i="30"/>
  <c r="Z39" i="30"/>
  <c r="V117" i="35"/>
  <c r="T66" i="35"/>
  <c r="T67" i="35" s="1"/>
  <c r="T118" i="35"/>
  <c r="T77" i="35"/>
  <c r="T116" i="35"/>
  <c r="X64" i="35"/>
  <c r="W65" i="35"/>
  <c r="W71" i="26" l="1"/>
  <c r="W115" i="26" s="1"/>
  <c r="W114" i="26"/>
  <c r="W103" i="26"/>
  <c r="AA58" i="26"/>
  <c r="Z59" i="26"/>
  <c r="V105" i="26"/>
  <c r="V60" i="26"/>
  <c r="V61" i="26" s="1"/>
  <c r="W105" i="26"/>
  <c r="W60" i="26"/>
  <c r="W61" i="26" s="1"/>
  <c r="V114" i="26"/>
  <c r="V103" i="26"/>
  <c r="AM88" i="37"/>
  <c r="AN87" i="37"/>
  <c r="AL90" i="37"/>
  <c r="AL162" i="37"/>
  <c r="T86" i="31"/>
  <c r="T116" i="31" s="1"/>
  <c r="S82" i="31"/>
  <c r="T83" i="31" s="1"/>
  <c r="S127" i="31"/>
  <c r="S66" i="31"/>
  <c r="S67" i="31" s="1"/>
  <c r="S118" i="31"/>
  <c r="X64" i="31"/>
  <c r="W65" i="31"/>
  <c r="W117" i="31" s="1"/>
  <c r="U86" i="31"/>
  <c r="U116" i="31" s="1"/>
  <c r="T82" i="31"/>
  <c r="U83" i="31" s="1"/>
  <c r="T127" i="31"/>
  <c r="V117" i="31"/>
  <c r="BG112" i="37"/>
  <c r="BG114" i="37" s="1"/>
  <c r="BF166" i="37"/>
  <c r="AA55" i="18"/>
  <c r="Z56" i="18"/>
  <c r="Y68" i="18" s="1"/>
  <c r="X93" i="18"/>
  <c r="Y77" i="18"/>
  <c r="Y92" i="18" s="1"/>
  <c r="X73" i="18"/>
  <c r="Y74" i="18" s="1"/>
  <c r="Y57" i="18" s="1"/>
  <c r="Y58" i="18" s="1"/>
  <c r="AY88" i="1"/>
  <c r="AY91" i="1" s="1"/>
  <c r="AY92" i="1" s="1"/>
  <c r="AY95" i="1" s="1"/>
  <c r="W54" i="8"/>
  <c r="V72" i="8"/>
  <c r="W59" i="8"/>
  <c r="W61" i="8" s="1"/>
  <c r="AA43" i="8"/>
  <c r="X54" i="8" s="1"/>
  <c r="AB42" i="8"/>
  <c r="AB38" i="30"/>
  <c r="AA39" i="30"/>
  <c r="W50" i="30"/>
  <c r="W117" i="35"/>
  <c r="U77" i="35"/>
  <c r="Y64" i="35"/>
  <c r="X65" i="35"/>
  <c r="V77" i="35" s="1"/>
  <c r="U86" i="35"/>
  <c r="T82" i="35"/>
  <c r="U83" i="35" s="1"/>
  <c r="T127" i="35"/>
  <c r="X80" i="26" l="1"/>
  <c r="X114" i="26" s="1"/>
  <c r="W76" i="26"/>
  <c r="X77" i="26" s="1"/>
  <c r="X105" i="26" s="1"/>
  <c r="X71" i="26"/>
  <c r="Z104" i="26"/>
  <c r="X103" i="26"/>
  <c r="AB58" i="26"/>
  <c r="AA59" i="26"/>
  <c r="AN88" i="37"/>
  <c r="AO87" i="37"/>
  <c r="AM90" i="37"/>
  <c r="AM162" i="37"/>
  <c r="U77" i="31"/>
  <c r="V86" i="31" s="1"/>
  <c r="V116" i="31" s="1"/>
  <c r="X65" i="31"/>
  <c r="Y64" i="31"/>
  <c r="T118" i="31"/>
  <c r="T66" i="31"/>
  <c r="T67" i="31" s="1"/>
  <c r="U118" i="31"/>
  <c r="U66" i="31"/>
  <c r="U67" i="31" s="1"/>
  <c r="BH112" i="37"/>
  <c r="BH114" i="37" s="1"/>
  <c r="BG166" i="37"/>
  <c r="Z77" i="18"/>
  <c r="Z92" i="18" s="1"/>
  <c r="Y93" i="18"/>
  <c r="Y73" i="18"/>
  <c r="Z74" i="18" s="1"/>
  <c r="Z57" i="18" s="1"/>
  <c r="Z58" i="18" s="1"/>
  <c r="AB55" i="18"/>
  <c r="AA56" i="18"/>
  <c r="Z68" i="18" s="1"/>
  <c r="AC42" i="8"/>
  <c r="AB43" i="8"/>
  <c r="Y54" i="8" s="1"/>
  <c r="X59" i="8"/>
  <c r="X61" i="8" s="1"/>
  <c r="W72" i="8"/>
  <c r="Y59" i="8"/>
  <c r="Y61" i="8" s="1"/>
  <c r="X72" i="8"/>
  <c r="AY93" i="1"/>
  <c r="AZ90" i="1" s="1"/>
  <c r="AZ88" i="1" s="1"/>
  <c r="AZ91" i="1" s="1"/>
  <c r="AZ92" i="1" s="1"/>
  <c r="AZ95" i="1" s="1"/>
  <c r="X55" i="30"/>
  <c r="X57" i="30" s="1"/>
  <c r="W68" i="30"/>
  <c r="X50" i="30"/>
  <c r="AB39" i="30"/>
  <c r="Y50" i="30" s="1"/>
  <c r="AC38" i="30"/>
  <c r="V127" i="35"/>
  <c r="V82" i="35"/>
  <c r="W83" i="35" s="1"/>
  <c r="W86" i="35"/>
  <c r="AZ93" i="1"/>
  <c r="BA90" i="1" s="1"/>
  <c r="Z64" i="35"/>
  <c r="Y65" i="35"/>
  <c r="U66" i="35"/>
  <c r="U67" i="35" s="1"/>
  <c r="U118" i="35"/>
  <c r="V86" i="35"/>
  <c r="U127" i="35"/>
  <c r="U82" i="35"/>
  <c r="V83" i="35" s="1"/>
  <c r="U116" i="35"/>
  <c r="X117" i="35"/>
  <c r="W77" i="35"/>
  <c r="X60" i="26" l="1"/>
  <c r="X61" i="26" s="1"/>
  <c r="Y71" i="26"/>
  <c r="AA104" i="26"/>
  <c r="AC58" i="26"/>
  <c r="AB59" i="26"/>
  <c r="Y80" i="26"/>
  <c r="X115" i="26"/>
  <c r="X76" i="26"/>
  <c r="Y77" i="26" s="1"/>
  <c r="AP87" i="37"/>
  <c r="AO88" i="37"/>
  <c r="AN90" i="37"/>
  <c r="AN162" i="37"/>
  <c r="U127" i="31"/>
  <c r="U82" i="31"/>
  <c r="V83" i="31" s="1"/>
  <c r="V118" i="31" s="1"/>
  <c r="V77" i="31"/>
  <c r="X117" i="31"/>
  <c r="Z64" i="31"/>
  <c r="Y65" i="31"/>
  <c r="BI112" i="37"/>
  <c r="BI114" i="37" s="1"/>
  <c r="BH166" i="37"/>
  <c r="AC55" i="18"/>
  <c r="AB56" i="18"/>
  <c r="AA68" i="18" s="1"/>
  <c r="Z73" i="18"/>
  <c r="AA74" i="18" s="1"/>
  <c r="AA57" i="18" s="1"/>
  <c r="AA58" i="18" s="1"/>
  <c r="Z93" i="18"/>
  <c r="AA77" i="18"/>
  <c r="AA92" i="18" s="1"/>
  <c r="Z59" i="8"/>
  <c r="Z61" i="8" s="1"/>
  <c r="Y72" i="8"/>
  <c r="AD42" i="8"/>
  <c r="AC43" i="8"/>
  <c r="Y68" i="30"/>
  <c r="Z55" i="30"/>
  <c r="Z57" i="30" s="1"/>
  <c r="X68" i="30"/>
  <c r="Y55" i="30"/>
  <c r="Y57" i="30" s="1"/>
  <c r="AD38" i="30"/>
  <c r="AC39" i="30"/>
  <c r="V118" i="35"/>
  <c r="V66" i="35"/>
  <c r="V67" i="35" s="1"/>
  <c r="W116" i="35"/>
  <c r="V116" i="35"/>
  <c r="Y117" i="35"/>
  <c r="BA88" i="1"/>
  <c r="BA91" i="1" s="1"/>
  <c r="BA92" i="1" s="1"/>
  <c r="BA95" i="1" s="1"/>
  <c r="W118" i="35"/>
  <c r="W66" i="35"/>
  <c r="W67" i="35" s="1"/>
  <c r="W127" i="35"/>
  <c r="W82" i="35"/>
  <c r="X83" i="35" s="1"/>
  <c r="X86" i="35"/>
  <c r="AA64" i="35"/>
  <c r="Z65" i="35"/>
  <c r="Z71" i="26" l="1"/>
  <c r="AB104" i="26"/>
  <c r="Y105" i="26"/>
  <c r="Y60" i="26"/>
  <c r="Y61" i="26" s="1"/>
  <c r="AD58" i="26"/>
  <c r="AC59" i="26"/>
  <c r="Y114" i="26"/>
  <c r="Y103" i="26"/>
  <c r="Y115" i="26"/>
  <c r="Z80" i="26"/>
  <c r="Y76" i="26"/>
  <c r="Z77" i="26" s="1"/>
  <c r="AO90" i="37"/>
  <c r="AO162" i="37"/>
  <c r="AQ87" i="37"/>
  <c r="AP88" i="37"/>
  <c r="V66" i="31"/>
  <c r="V67" i="31" s="1"/>
  <c r="W77" i="31"/>
  <c r="Y117" i="31"/>
  <c r="AA64" i="31"/>
  <c r="Z65" i="31"/>
  <c r="Z117" i="31" s="1"/>
  <c r="W86" i="31"/>
  <c r="W116" i="31" s="1"/>
  <c r="V82" i="31"/>
  <c r="W83" i="31" s="1"/>
  <c r="V127" i="31"/>
  <c r="BJ112" i="37"/>
  <c r="BJ114" i="37" s="1"/>
  <c r="BI166" i="37"/>
  <c r="AA73" i="18"/>
  <c r="AB74" i="18" s="1"/>
  <c r="AB57" i="18" s="1"/>
  <c r="AB58" i="18" s="1"/>
  <c r="AA93" i="18"/>
  <c r="AB77" i="18"/>
  <c r="AB92" i="18" s="1"/>
  <c r="AC56" i="18"/>
  <c r="AB68" i="18" s="1"/>
  <c r="AD55" i="18"/>
  <c r="Z54" i="8"/>
  <c r="AD43" i="8"/>
  <c r="AE42" i="8"/>
  <c r="Z50" i="30"/>
  <c r="AE38" i="30"/>
  <c r="AD39" i="30"/>
  <c r="Z117" i="35"/>
  <c r="X66" i="35"/>
  <c r="X67" i="35" s="1"/>
  <c r="X118" i="35"/>
  <c r="BA93" i="1"/>
  <c r="BB90" i="1" s="1"/>
  <c r="X77" i="35"/>
  <c r="AB64" i="35"/>
  <c r="AA65" i="35"/>
  <c r="Y77" i="35" s="1"/>
  <c r="X116" i="35"/>
  <c r="Z60" i="26" l="1"/>
  <c r="Z61" i="26" s="1"/>
  <c r="Z105" i="26"/>
  <c r="Z114" i="26"/>
  <c r="Z103" i="26"/>
  <c r="AA71" i="26"/>
  <c r="AC104" i="26"/>
  <c r="AD59" i="26"/>
  <c r="AE58" i="26"/>
  <c r="AA80" i="26"/>
  <c r="Z115" i="26"/>
  <c r="Z76" i="26"/>
  <c r="AA77" i="26" s="1"/>
  <c r="AP90" i="37"/>
  <c r="AP162" i="37"/>
  <c r="AR87" i="37"/>
  <c r="AQ88" i="37"/>
  <c r="AB64" i="31"/>
  <c r="AA65" i="31"/>
  <c r="W118" i="31"/>
  <c r="W66" i="31"/>
  <c r="W67" i="31" s="1"/>
  <c r="X77" i="31"/>
  <c r="X86" i="31"/>
  <c r="X116" i="31" s="1"/>
  <c r="W127" i="31"/>
  <c r="W82" i="31"/>
  <c r="X83" i="31" s="1"/>
  <c r="BK112" i="37"/>
  <c r="BK114" i="37" s="1"/>
  <c r="BJ166" i="37"/>
  <c r="AB93" i="18"/>
  <c r="AC77" i="18"/>
  <c r="AC92" i="18" s="1"/>
  <c r="AB73" i="18"/>
  <c r="AC74" i="18" s="1"/>
  <c r="AC57" i="18" s="1"/>
  <c r="AC58" i="18" s="1"/>
  <c r="AE55" i="18"/>
  <c r="AD56" i="18"/>
  <c r="AC68" i="18" s="1"/>
  <c r="AF42" i="8"/>
  <c r="AE43" i="8"/>
  <c r="AA54" i="8"/>
  <c r="Z72" i="8"/>
  <c r="AA59" i="8"/>
  <c r="AA61" i="8" s="1"/>
  <c r="AB54" i="8"/>
  <c r="Z68" i="30"/>
  <c r="AA55" i="30"/>
  <c r="AA57" i="30" s="1"/>
  <c r="AA50" i="30"/>
  <c r="AF38" i="30"/>
  <c r="AE39" i="30"/>
  <c r="AB50" i="30" s="1"/>
  <c r="Z86" i="35"/>
  <c r="Y127" i="35"/>
  <c r="Y82" i="35"/>
  <c r="Z83" i="35" s="1"/>
  <c r="BB88" i="1"/>
  <c r="BB91" i="1" s="1"/>
  <c r="BB92" i="1" s="1"/>
  <c r="AA117" i="35"/>
  <c r="AC64" i="35"/>
  <c r="AB65" i="35"/>
  <c r="X82" i="35"/>
  <c r="Y83" i="35" s="1"/>
  <c r="Y86" i="35"/>
  <c r="X127" i="35"/>
  <c r="AA105" i="26" l="1"/>
  <c r="AA60" i="26"/>
  <c r="AA61" i="26" s="1"/>
  <c r="AB71" i="26"/>
  <c r="AD104" i="26"/>
  <c r="AE59" i="26"/>
  <c r="AC71" i="26" s="1"/>
  <c r="AF58" i="26"/>
  <c r="AA103" i="26"/>
  <c r="AA114" i="26"/>
  <c r="AB80" i="26"/>
  <c r="AA76" i="26"/>
  <c r="AB77" i="26" s="1"/>
  <c r="AA115" i="26"/>
  <c r="AQ90" i="37"/>
  <c r="AQ162" i="37"/>
  <c r="AS87" i="37"/>
  <c r="AR88" i="37"/>
  <c r="X118" i="31"/>
  <c r="X66" i="31"/>
  <c r="X67" i="31" s="1"/>
  <c r="Y77" i="31"/>
  <c r="AA117" i="31"/>
  <c r="X127" i="31"/>
  <c r="X82" i="31"/>
  <c r="Y83" i="31" s="1"/>
  <c r="Y86" i="31"/>
  <c r="Y116" i="31" s="1"/>
  <c r="AC64" i="31"/>
  <c r="AB65" i="31"/>
  <c r="BL112" i="37"/>
  <c r="BL114" i="37" s="1"/>
  <c r="BL166" i="37" s="1"/>
  <c r="BK166" i="37"/>
  <c r="AF55" i="18"/>
  <c r="AE56" i="18"/>
  <c r="AD68" i="18" s="1"/>
  <c r="AD77" i="18"/>
  <c r="AD92" i="18" s="1"/>
  <c r="AC93" i="18"/>
  <c r="AC73" i="18"/>
  <c r="AD74" i="18" s="1"/>
  <c r="AD57" i="18" s="1"/>
  <c r="AD58" i="18" s="1"/>
  <c r="AB72" i="8"/>
  <c r="AC59" i="8"/>
  <c r="AC61" i="8" s="1"/>
  <c r="AB59" i="8"/>
  <c r="AB61" i="8" s="1"/>
  <c r="AA72" i="8"/>
  <c r="AF43" i="8"/>
  <c r="AG42" i="8"/>
  <c r="AB55" i="30"/>
  <c r="AB57" i="30" s="1"/>
  <c r="AA68" i="30"/>
  <c r="AG38" i="30"/>
  <c r="AF39" i="30"/>
  <c r="AC55" i="30"/>
  <c r="AC57" i="30" s="1"/>
  <c r="AB68" i="30"/>
  <c r="BB95" i="1"/>
  <c r="BB93" i="1"/>
  <c r="BC90" i="1" s="1"/>
  <c r="Y116" i="35"/>
  <c r="AB117" i="35"/>
  <c r="Y118" i="35"/>
  <c r="Y66" i="35"/>
  <c r="Y67" i="35" s="1"/>
  <c r="AD64" i="35"/>
  <c r="AC65" i="35"/>
  <c r="AA77" i="35" s="1"/>
  <c r="Z66" i="35"/>
  <c r="Z67" i="35" s="1"/>
  <c r="Z118" i="35"/>
  <c r="Z77" i="35"/>
  <c r="Z116" i="35"/>
  <c r="AB60" i="26" l="1"/>
  <c r="AB61" i="26" s="1"/>
  <c r="AB105" i="26"/>
  <c r="AG58" i="26"/>
  <c r="AF59" i="26"/>
  <c r="AF104" i="26" s="1"/>
  <c r="AB115" i="26"/>
  <c r="AB76" i="26"/>
  <c r="AC77" i="26" s="1"/>
  <c r="AC80" i="26"/>
  <c r="AB103" i="26"/>
  <c r="AB114" i="26"/>
  <c r="AE104" i="26"/>
  <c r="AC76" i="26"/>
  <c r="AD77" i="26" s="1"/>
  <c r="AD80" i="26"/>
  <c r="AC115" i="26"/>
  <c r="AR90" i="37"/>
  <c r="AR162" i="37"/>
  <c r="AT87" i="37"/>
  <c r="AS88" i="37"/>
  <c r="AD64" i="31"/>
  <c r="AC65" i="31"/>
  <c r="Y127" i="31"/>
  <c r="Z86" i="31"/>
  <c r="Z116" i="31" s="1"/>
  <c r="Y82" i="31"/>
  <c r="Z83" i="31" s="1"/>
  <c r="Y66" i="31"/>
  <c r="Y67" i="31" s="1"/>
  <c r="Y118" i="31"/>
  <c r="Z77" i="31"/>
  <c r="AB117" i="31"/>
  <c r="AA77" i="31"/>
  <c r="AE77" i="18"/>
  <c r="AE92" i="18" s="1"/>
  <c r="AD73" i="18"/>
  <c r="AE74" i="18" s="1"/>
  <c r="AE57" i="18" s="1"/>
  <c r="AE58" i="18" s="1"/>
  <c r="AD93" i="18"/>
  <c r="AG55" i="18"/>
  <c r="AF56" i="18"/>
  <c r="AE68" i="18" s="1"/>
  <c r="AG43" i="8"/>
  <c r="AD54" i="8" s="1"/>
  <c r="AH42" i="8"/>
  <c r="AC54" i="8"/>
  <c r="AC50" i="30"/>
  <c r="AH38" i="30"/>
  <c r="AG39" i="30"/>
  <c r="AB86" i="35"/>
  <c r="AA127" i="35"/>
  <c r="AA82" i="35"/>
  <c r="AB83" i="35" s="1"/>
  <c r="AE64" i="35"/>
  <c r="AD65" i="35"/>
  <c r="AB77" i="35" s="1"/>
  <c r="Z82" i="35"/>
  <c r="AA83" i="35" s="1"/>
  <c r="Z127" i="35"/>
  <c r="AA86" i="35"/>
  <c r="BC88" i="1"/>
  <c r="BC91" i="1" s="1"/>
  <c r="BC92" i="1" s="1"/>
  <c r="BC95" i="1" s="1"/>
  <c r="AC117" i="35"/>
  <c r="AD71" i="26" l="1"/>
  <c r="AE80" i="26" s="1"/>
  <c r="AC103" i="26"/>
  <c r="AC114" i="26"/>
  <c r="AG59" i="26"/>
  <c r="AH58" i="26"/>
  <c r="AC60" i="26"/>
  <c r="AC61" i="26" s="1"/>
  <c r="AC105" i="26"/>
  <c r="AD105" i="26"/>
  <c r="AD60" i="26"/>
  <c r="AD61" i="26" s="1"/>
  <c r="AD103" i="26"/>
  <c r="AD114" i="26"/>
  <c r="AS90" i="37"/>
  <c r="AS162" i="37"/>
  <c r="AU87" i="37"/>
  <c r="AT88" i="37"/>
  <c r="AA86" i="31"/>
  <c r="AA116" i="31" s="1"/>
  <c r="Z82" i="31"/>
  <c r="AA83" i="31" s="1"/>
  <c r="Z127" i="31"/>
  <c r="AA82" i="31"/>
  <c r="AB83" i="31" s="1"/>
  <c r="AA127" i="31"/>
  <c r="AB86" i="31"/>
  <c r="AB116" i="31" s="1"/>
  <c r="AC117" i="31"/>
  <c r="Z66" i="31"/>
  <c r="Z67" i="31" s="1"/>
  <c r="Z118" i="31"/>
  <c r="AE64" i="31"/>
  <c r="AD65" i="31"/>
  <c r="AD117" i="31" s="1"/>
  <c r="AH55" i="18"/>
  <c r="AG56" i="18"/>
  <c r="AF68" i="18" s="1"/>
  <c r="AE73" i="18"/>
  <c r="AF74" i="18" s="1"/>
  <c r="AF57" i="18" s="1"/>
  <c r="AF58" i="18" s="1"/>
  <c r="AE93" i="18"/>
  <c r="AF77" i="18"/>
  <c r="AF92" i="18" s="1"/>
  <c r="AD59" i="8"/>
  <c r="AD61" i="8" s="1"/>
  <c r="AC72" i="8"/>
  <c r="AI42" i="8"/>
  <c r="AH43" i="8"/>
  <c r="AD72" i="8"/>
  <c r="AE59" i="8"/>
  <c r="AE61" i="8" s="1"/>
  <c r="AD50" i="30"/>
  <c r="AI38" i="30"/>
  <c r="AH39" i="30"/>
  <c r="AD55" i="30"/>
  <c r="AD57" i="30" s="1"/>
  <c r="AC68" i="30"/>
  <c r="BC93" i="1"/>
  <c r="BD90" i="1" s="1"/>
  <c r="AB118" i="35"/>
  <c r="AB66" i="35"/>
  <c r="AB67" i="35" s="1"/>
  <c r="AB82" i="35"/>
  <c r="AC83" i="35" s="1"/>
  <c r="AB127" i="35"/>
  <c r="AC86" i="35"/>
  <c r="AA118" i="35"/>
  <c r="AA66" i="35"/>
  <c r="AA67" i="35" s="1"/>
  <c r="AD117" i="35"/>
  <c r="AF64" i="35"/>
  <c r="AE65" i="35"/>
  <c r="AB116" i="35"/>
  <c r="AA116" i="35"/>
  <c r="AD76" i="26" l="1"/>
  <c r="AE77" i="26" s="1"/>
  <c r="AD115" i="26"/>
  <c r="AH59" i="26"/>
  <c r="AI58" i="26"/>
  <c r="AE105" i="26"/>
  <c r="AE60" i="26"/>
  <c r="AE61" i="26" s="1"/>
  <c r="AE71" i="26"/>
  <c r="AG104" i="26"/>
  <c r="AF71" i="26"/>
  <c r="AE103" i="26"/>
  <c r="AE114" i="26"/>
  <c r="AT90" i="37"/>
  <c r="AT162" i="37"/>
  <c r="AV87" i="37"/>
  <c r="AU88" i="37"/>
  <c r="AB77" i="31"/>
  <c r="AB118" i="31"/>
  <c r="AB66" i="31"/>
  <c r="AB67" i="31" s="1"/>
  <c r="AF64" i="31"/>
  <c r="AE65" i="31"/>
  <c r="AA66" i="31"/>
  <c r="AA67" i="31" s="1"/>
  <c r="AA118" i="31"/>
  <c r="AF93" i="18"/>
  <c r="AF73" i="18"/>
  <c r="AG74" i="18" s="1"/>
  <c r="AG57" i="18" s="1"/>
  <c r="AG58" i="18" s="1"/>
  <c r="AG77" i="18"/>
  <c r="AG92" i="18" s="1"/>
  <c r="AH56" i="18"/>
  <c r="AG68" i="18" s="1"/>
  <c r="AI55" i="18"/>
  <c r="AE54" i="8"/>
  <c r="AI43" i="8"/>
  <c r="AF54" i="8" s="1"/>
  <c r="AJ42" i="8"/>
  <c r="AE50" i="30"/>
  <c r="AI39" i="30"/>
  <c r="AJ38" i="30"/>
  <c r="AE55" i="30"/>
  <c r="AE57" i="30" s="1"/>
  <c r="AD68" i="30"/>
  <c r="AC116" i="35"/>
  <c r="AE117" i="35"/>
  <c r="AG64" i="35"/>
  <c r="AF65" i="35"/>
  <c r="AD77" i="35" s="1"/>
  <c r="AC77" i="35"/>
  <c r="AC118" i="35"/>
  <c r="AC66" i="35"/>
  <c r="AC67" i="35" s="1"/>
  <c r="BD88" i="1"/>
  <c r="BD91" i="1" s="1"/>
  <c r="BD92" i="1" s="1"/>
  <c r="BD95" i="1" s="1"/>
  <c r="AG80" i="26" l="1"/>
  <c r="AF115" i="26"/>
  <c r="AF76" i="26"/>
  <c r="AG77" i="26" s="1"/>
  <c r="AJ58" i="26"/>
  <c r="AI59" i="26"/>
  <c r="AI104" i="26" s="1"/>
  <c r="AF80" i="26"/>
  <c r="AE76" i="26"/>
  <c r="AF77" i="26" s="1"/>
  <c r="AE115" i="26"/>
  <c r="AH104" i="26"/>
  <c r="AG71" i="26"/>
  <c r="AU162" i="37"/>
  <c r="AU90" i="37"/>
  <c r="AW87" i="37"/>
  <c r="AV88" i="37"/>
  <c r="AG64" i="31"/>
  <c r="AF65" i="31"/>
  <c r="AC77" i="31"/>
  <c r="AE117" i="31"/>
  <c r="AB127" i="31"/>
  <c r="AC86" i="31"/>
  <c r="AC116" i="31" s="1"/>
  <c r="AB82" i="31"/>
  <c r="AC83" i="31" s="1"/>
  <c r="AH77" i="18"/>
  <c r="AH92" i="18" s="1"/>
  <c r="AG93" i="18"/>
  <c r="AG73" i="18"/>
  <c r="AH74" i="18" s="1"/>
  <c r="AH57" i="18" s="1"/>
  <c r="AH58" i="18" s="1"/>
  <c r="AJ55" i="18"/>
  <c r="AI56" i="18"/>
  <c r="AH68" i="18" s="1"/>
  <c r="AK42" i="8"/>
  <c r="AJ43" i="8"/>
  <c r="AG54" i="8" s="1"/>
  <c r="AF72" i="8"/>
  <c r="AG59" i="8"/>
  <c r="AG61" i="8" s="1"/>
  <c r="AF59" i="8"/>
  <c r="AF61" i="8" s="1"/>
  <c r="AE72" i="8"/>
  <c r="AK38" i="30"/>
  <c r="AJ39" i="30"/>
  <c r="AF50" i="30"/>
  <c r="AE68" i="30"/>
  <c r="AF55" i="30"/>
  <c r="AF57" i="30" s="1"/>
  <c r="BD93" i="1"/>
  <c r="BE90" i="1" s="1"/>
  <c r="BE88" i="1" s="1"/>
  <c r="BE91" i="1" s="1"/>
  <c r="AE86" i="35"/>
  <c r="AD82" i="35"/>
  <c r="AE83" i="35" s="1"/>
  <c r="AD127" i="35"/>
  <c r="AC82" i="35"/>
  <c r="AD83" i="35" s="1"/>
  <c r="AD86" i="35"/>
  <c r="AC127" i="35"/>
  <c r="AF117" i="35"/>
  <c r="AH64" i="35"/>
  <c r="AG65" i="35"/>
  <c r="AF105" i="26" l="1"/>
  <c r="AF60" i="26"/>
  <c r="AF61" i="26" s="1"/>
  <c r="AG60" i="26"/>
  <c r="AG61" i="26" s="1"/>
  <c r="AG105" i="26"/>
  <c r="AH80" i="26"/>
  <c r="AG76" i="26"/>
  <c r="AH77" i="26" s="1"/>
  <c r="AG115" i="26"/>
  <c r="AF103" i="26"/>
  <c r="AF114" i="26"/>
  <c r="AJ59" i="26"/>
  <c r="AK58" i="26"/>
  <c r="AG114" i="26"/>
  <c r="AG103" i="26"/>
  <c r="AV90" i="37"/>
  <c r="AV162" i="37"/>
  <c r="AW88" i="37"/>
  <c r="AX87" i="37"/>
  <c r="AC66" i="31"/>
  <c r="AC67" i="31" s="1"/>
  <c r="AC118" i="31"/>
  <c r="AC82" i="31"/>
  <c r="AD83" i="31" s="1"/>
  <c r="AD86" i="31"/>
  <c r="AD116" i="31" s="1"/>
  <c r="AC127" i="31"/>
  <c r="AD77" i="31"/>
  <c r="AF117" i="31"/>
  <c r="AH64" i="31"/>
  <c r="AG65" i="31"/>
  <c r="AK55" i="18"/>
  <c r="AJ56" i="18"/>
  <c r="AI68" i="18" s="1"/>
  <c r="AI77" i="18"/>
  <c r="AI92" i="18" s="1"/>
  <c r="AH93" i="18"/>
  <c r="AH73" i="18"/>
  <c r="AI74" i="18" s="1"/>
  <c r="AI57" i="18" s="1"/>
  <c r="AI58" i="18" s="1"/>
  <c r="AH59" i="8"/>
  <c r="AH61" i="8" s="1"/>
  <c r="AG72" i="8"/>
  <c r="AK43" i="8"/>
  <c r="AL42" i="8"/>
  <c r="AG50" i="30"/>
  <c r="AL38" i="30"/>
  <c r="AK39" i="30"/>
  <c r="AH50" i="30" s="1"/>
  <c r="AG55" i="30"/>
  <c r="AG57" i="30" s="1"/>
  <c r="AF68" i="30"/>
  <c r="AI64" i="35"/>
  <c r="AH65" i="35"/>
  <c r="AD118" i="35"/>
  <c r="AD66" i="35"/>
  <c r="AD67" i="35" s="1"/>
  <c r="AE66" i="35"/>
  <c r="AE67" i="35" s="1"/>
  <c r="AE118" i="35"/>
  <c r="BE92" i="1"/>
  <c r="BE95" i="1" s="1"/>
  <c r="AE116" i="35"/>
  <c r="AG117" i="35"/>
  <c r="AF77" i="35"/>
  <c r="AE77" i="35"/>
  <c r="AD116" i="35"/>
  <c r="AL58" i="26" l="1"/>
  <c r="AK59" i="26"/>
  <c r="AH71" i="26"/>
  <c r="AJ104" i="26"/>
  <c r="AH60" i="26"/>
  <c r="AH61" i="26" s="1"/>
  <c r="AH105" i="26"/>
  <c r="AH114" i="26"/>
  <c r="AH103" i="26"/>
  <c r="AY87" i="37"/>
  <c r="AX88" i="37"/>
  <c r="AW90" i="37"/>
  <c r="AW162" i="37"/>
  <c r="AI64" i="31"/>
  <c r="AH65" i="31"/>
  <c r="AD66" i="31"/>
  <c r="AD67" i="31" s="1"/>
  <c r="AD118" i="31"/>
  <c r="AD127" i="31"/>
  <c r="AD82" i="31"/>
  <c r="AE83" i="31" s="1"/>
  <c r="AE86" i="31"/>
  <c r="AE116" i="31" s="1"/>
  <c r="AE77" i="31"/>
  <c r="AG117" i="31"/>
  <c r="AF77" i="31"/>
  <c r="AI93" i="18"/>
  <c r="AI73" i="18"/>
  <c r="AJ74" i="18" s="1"/>
  <c r="AJ57" i="18" s="1"/>
  <c r="AJ58" i="18" s="1"/>
  <c r="AJ77" i="18"/>
  <c r="AJ92" i="18" s="1"/>
  <c r="AL55" i="18"/>
  <c r="AK56" i="18"/>
  <c r="AJ68" i="18" s="1"/>
  <c r="AH54" i="8"/>
  <c r="AM42" i="8"/>
  <c r="AL43" i="8"/>
  <c r="AL39" i="30"/>
  <c r="AI50" i="30" s="1"/>
  <c r="AM38" i="30"/>
  <c r="AI55" i="30"/>
  <c r="AI57" i="30" s="1"/>
  <c r="AH68" i="30"/>
  <c r="AH55" i="30"/>
  <c r="AH57" i="30" s="1"/>
  <c r="AG68" i="30"/>
  <c r="AE82" i="35"/>
  <c r="AF83" i="35" s="1"/>
  <c r="AF86" i="35"/>
  <c r="AE127" i="35"/>
  <c r="AG86" i="35"/>
  <c r="AF127" i="35"/>
  <c r="AF82" i="35"/>
  <c r="AG83" i="35" s="1"/>
  <c r="AH117" i="35"/>
  <c r="AJ64" i="35"/>
  <c r="AI65" i="35"/>
  <c r="AG77" i="35" s="1"/>
  <c r="BE93" i="1"/>
  <c r="BF90" i="1" s="1"/>
  <c r="AH76" i="26" l="1"/>
  <c r="AI77" i="26" s="1"/>
  <c r="AH115" i="26"/>
  <c r="AI80" i="26"/>
  <c r="AI71" i="26"/>
  <c r="AK104" i="26"/>
  <c r="AL59" i="26"/>
  <c r="AM58" i="26"/>
  <c r="AX162" i="37"/>
  <c r="AX90" i="37"/>
  <c r="AY88" i="37"/>
  <c r="AZ87" i="37"/>
  <c r="AF86" i="31"/>
  <c r="AF116" i="31" s="1"/>
  <c r="AE82" i="31"/>
  <c r="AF83" i="31" s="1"/>
  <c r="AE127" i="31"/>
  <c r="AG86" i="31"/>
  <c r="AG116" i="31" s="1"/>
  <c r="AF82" i="31"/>
  <c r="AG83" i="31" s="1"/>
  <c r="AF127" i="31"/>
  <c r="AE66" i="31"/>
  <c r="AE67" i="31" s="1"/>
  <c r="AE118" i="31"/>
  <c r="AH117" i="31"/>
  <c r="AJ64" i="31"/>
  <c r="AI65" i="31"/>
  <c r="AG77" i="31" s="1"/>
  <c r="AL56" i="18"/>
  <c r="AK68" i="18" s="1"/>
  <c r="AM55" i="18"/>
  <c r="AJ93" i="18"/>
  <c r="AJ73" i="18"/>
  <c r="AK74" i="18" s="1"/>
  <c r="AK57" i="18" s="1"/>
  <c r="AK58" i="18" s="1"/>
  <c r="AK77" i="18"/>
  <c r="AK92" i="18" s="1"/>
  <c r="AI54" i="8"/>
  <c r="AN42" i="8"/>
  <c r="AM43" i="8"/>
  <c r="AJ54" i="8" s="1"/>
  <c r="AI59" i="8"/>
  <c r="AI61" i="8" s="1"/>
  <c r="AH72" i="8"/>
  <c r="AM39" i="30"/>
  <c r="AN38" i="30"/>
  <c r="AI68" i="30"/>
  <c r="AJ55" i="30"/>
  <c r="AJ57" i="30" s="1"/>
  <c r="AG82" i="35"/>
  <c r="AH83" i="35" s="1"/>
  <c r="AH86" i="35"/>
  <c r="AG127" i="35"/>
  <c r="AG118" i="35"/>
  <c r="AG66" i="35"/>
  <c r="AG67" i="35" s="1"/>
  <c r="BF88" i="1"/>
  <c r="BF91" i="1" s="1"/>
  <c r="BF92" i="1" s="1"/>
  <c r="AI117" i="35"/>
  <c r="AG116" i="35"/>
  <c r="AF116" i="35"/>
  <c r="AK64" i="35"/>
  <c r="AJ65" i="35"/>
  <c r="AH77" i="35" s="1"/>
  <c r="AF118" i="35"/>
  <c r="AF66" i="35"/>
  <c r="AF67" i="35" s="1"/>
  <c r="AM59" i="26" l="1"/>
  <c r="AM104" i="26" s="1"/>
  <c r="AN58" i="26"/>
  <c r="AI103" i="26"/>
  <c r="AI114" i="26"/>
  <c r="AI115" i="26"/>
  <c r="AI76" i="26"/>
  <c r="AJ77" i="26" s="1"/>
  <c r="AJ80" i="26"/>
  <c r="AJ71" i="26"/>
  <c r="AL104" i="26"/>
  <c r="AK71" i="26"/>
  <c r="AI60" i="26"/>
  <c r="AI61" i="26" s="1"/>
  <c r="AI105" i="26"/>
  <c r="BA87" i="37"/>
  <c r="AZ88" i="37"/>
  <c r="AY90" i="37"/>
  <c r="AY162" i="37"/>
  <c r="AI117" i="31"/>
  <c r="AJ65" i="31"/>
  <c r="AH77" i="31" s="1"/>
  <c r="AK64" i="31"/>
  <c r="AH86" i="31"/>
  <c r="AH116" i="31" s="1"/>
  <c r="AG127" i="31"/>
  <c r="AG82" i="31"/>
  <c r="AH83" i="31" s="1"/>
  <c r="AF118" i="31"/>
  <c r="AF66" i="31"/>
  <c r="AF67" i="31" s="1"/>
  <c r="AG118" i="31"/>
  <c r="AG66" i="31"/>
  <c r="AG67" i="31" s="1"/>
  <c r="AN55" i="18"/>
  <c r="AM56" i="18"/>
  <c r="AL68" i="18" s="1"/>
  <c r="AK73" i="18"/>
  <c r="AL74" i="18" s="1"/>
  <c r="AL57" i="18" s="1"/>
  <c r="AL58" i="18" s="1"/>
  <c r="AK93" i="18"/>
  <c r="AL77" i="18"/>
  <c r="AL92" i="18" s="1"/>
  <c r="AO42" i="8"/>
  <c r="AN43" i="8"/>
  <c r="AK54" i="8" s="1"/>
  <c r="AI72" i="8"/>
  <c r="AJ59" i="8"/>
  <c r="AJ61" i="8" s="1"/>
  <c r="AK59" i="8"/>
  <c r="AK61" i="8" s="1"/>
  <c r="AJ72" i="8"/>
  <c r="AJ50" i="30"/>
  <c r="AN39" i="30"/>
  <c r="AK50" i="30" s="1"/>
  <c r="AO38" i="30"/>
  <c r="AH82" i="35"/>
  <c r="AI83" i="35" s="1"/>
  <c r="AI86" i="35"/>
  <c r="AH127" i="35"/>
  <c r="BF95" i="1"/>
  <c r="BF93" i="1"/>
  <c r="BG90" i="1" s="1"/>
  <c r="AJ117" i="35"/>
  <c r="AH116" i="35"/>
  <c r="AL64" i="35"/>
  <c r="AK65" i="35"/>
  <c r="AH66" i="35"/>
  <c r="AH67" i="35" s="1"/>
  <c r="AH118" i="35"/>
  <c r="AJ115" i="26" l="1"/>
  <c r="AK80" i="26"/>
  <c r="AJ76" i="26"/>
  <c r="AK77" i="26" s="1"/>
  <c r="AJ114" i="26"/>
  <c r="AJ103" i="26"/>
  <c r="AL80" i="26"/>
  <c r="AK115" i="26"/>
  <c r="AK76" i="26"/>
  <c r="AL77" i="26" s="1"/>
  <c r="AJ60" i="26"/>
  <c r="AJ61" i="26" s="1"/>
  <c r="AJ105" i="26"/>
  <c r="AN59" i="26"/>
  <c r="AO58" i="26"/>
  <c r="AZ90" i="37"/>
  <c r="AZ162" i="37"/>
  <c r="BB87" i="37"/>
  <c r="BA88" i="37"/>
  <c r="AK65" i="31"/>
  <c r="AK117" i="31" s="1"/>
  <c r="AL64" i="31"/>
  <c r="AH66" i="31"/>
  <c r="AH67" i="31" s="1"/>
  <c r="AH118" i="31"/>
  <c r="AJ117" i="31"/>
  <c r="AH82" i="31"/>
  <c r="AI83" i="31" s="1"/>
  <c r="AH127" i="31"/>
  <c r="AI86" i="31"/>
  <c r="AI116" i="31" s="1"/>
  <c r="AM77" i="18"/>
  <c r="AM92" i="18" s="1"/>
  <c r="AL93" i="18"/>
  <c r="AL73" i="18"/>
  <c r="AM74" i="18" s="1"/>
  <c r="AM57" i="18" s="1"/>
  <c r="AM58" i="18" s="1"/>
  <c r="AO55" i="18"/>
  <c r="AN56" i="18"/>
  <c r="AM68" i="18" s="1"/>
  <c r="AL59" i="8"/>
  <c r="AL61" i="8" s="1"/>
  <c r="AK72" i="8"/>
  <c r="AP42" i="8"/>
  <c r="AO43" i="8"/>
  <c r="AL54" i="8" s="1"/>
  <c r="AL55" i="30"/>
  <c r="AL57" i="30" s="1"/>
  <c r="AK68" i="30"/>
  <c r="AK55" i="30"/>
  <c r="AK57" i="30" s="1"/>
  <c r="AJ68" i="30"/>
  <c r="AP38" i="30"/>
  <c r="AO39" i="30"/>
  <c r="AK117" i="35"/>
  <c r="BG88" i="1"/>
  <c r="BG91" i="1" s="1"/>
  <c r="BG92" i="1" s="1"/>
  <c r="BG95" i="1" s="1"/>
  <c r="AI66" i="35"/>
  <c r="AI67" i="35" s="1"/>
  <c r="AI118" i="35"/>
  <c r="AM64" i="35"/>
  <c r="AL65" i="35"/>
  <c r="AI77" i="35"/>
  <c r="AI116" i="35"/>
  <c r="AO59" i="26" l="1"/>
  <c r="AP58" i="26"/>
  <c r="AL71" i="26"/>
  <c r="AN104" i="26"/>
  <c r="AK105" i="26"/>
  <c r="AK60" i="26"/>
  <c r="AK61" i="26" s="1"/>
  <c r="AL105" i="26"/>
  <c r="AL60" i="26"/>
  <c r="AL61" i="26" s="1"/>
  <c r="AL103" i="26"/>
  <c r="AL114" i="26"/>
  <c r="AK114" i="26"/>
  <c r="AK103" i="26"/>
  <c r="BA90" i="37"/>
  <c r="BA162" i="37"/>
  <c r="BC87" i="37"/>
  <c r="BB88" i="37"/>
  <c r="AI77" i="31"/>
  <c r="AI82" i="31" s="1"/>
  <c r="AJ83" i="31" s="1"/>
  <c r="AI118" i="31"/>
  <c r="AI66" i="31"/>
  <c r="AI67" i="31" s="1"/>
  <c r="AM64" i="31"/>
  <c r="AL65" i="31"/>
  <c r="AO56" i="18"/>
  <c r="AN68" i="18" s="1"/>
  <c r="AP55" i="18"/>
  <c r="AM93" i="18"/>
  <c r="AM73" i="18"/>
  <c r="AN74" i="18" s="1"/>
  <c r="AN57" i="18" s="1"/>
  <c r="AN58" i="18" s="1"/>
  <c r="AN77" i="18"/>
  <c r="AN92" i="18" s="1"/>
  <c r="AQ42" i="8"/>
  <c r="AP43" i="8"/>
  <c r="AM59" i="8"/>
  <c r="AM61" i="8" s="1"/>
  <c r="AL72" i="8"/>
  <c r="AL50" i="30"/>
  <c r="AQ38" i="30"/>
  <c r="AP39" i="30"/>
  <c r="BG93" i="1"/>
  <c r="BH90" i="1" s="1"/>
  <c r="BH88" i="1" s="1"/>
  <c r="BH91" i="1" s="1"/>
  <c r="BH92" i="1" s="1"/>
  <c r="BH95" i="1" s="1"/>
  <c r="AL117" i="35"/>
  <c r="AJ77" i="35"/>
  <c r="AI127" i="35"/>
  <c r="AJ86" i="35"/>
  <c r="AI82" i="35"/>
  <c r="AJ83" i="35" s="1"/>
  <c r="AN64" i="35"/>
  <c r="AM65" i="35"/>
  <c r="AM80" i="26" l="1"/>
  <c r="AL76" i="26"/>
  <c r="AM77" i="26" s="1"/>
  <c r="AL115" i="26"/>
  <c r="AP59" i="26"/>
  <c r="AQ58" i="26"/>
  <c r="AM71" i="26"/>
  <c r="AO104" i="26"/>
  <c r="BB90" i="37"/>
  <c r="BB162" i="37"/>
  <c r="BD87" i="37"/>
  <c r="BC88" i="37"/>
  <c r="AI127" i="31"/>
  <c r="AJ86" i="31"/>
  <c r="AJ116" i="31" s="1"/>
  <c r="AJ77" i="31"/>
  <c r="AL117" i="31"/>
  <c r="AJ66" i="31"/>
  <c r="AJ67" i="31" s="1"/>
  <c r="AJ118" i="31"/>
  <c r="AM65" i="31"/>
  <c r="AN64" i="31"/>
  <c r="AQ55" i="18"/>
  <c r="AP56" i="18"/>
  <c r="AO68" i="18" s="1"/>
  <c r="AN93" i="18"/>
  <c r="AO77" i="18"/>
  <c r="AO92" i="18" s="1"/>
  <c r="AN73" i="18"/>
  <c r="AO74" i="18" s="1"/>
  <c r="AO57" i="18" s="1"/>
  <c r="AO58" i="18" s="1"/>
  <c r="AM54" i="8"/>
  <c r="AR42" i="8"/>
  <c r="AQ43" i="8"/>
  <c r="AR38" i="30"/>
  <c r="AQ39" i="30"/>
  <c r="AM50" i="30"/>
  <c r="AL68" i="30"/>
  <c r="AM55" i="30"/>
  <c r="AM57" i="30" s="1"/>
  <c r="AM117" i="35"/>
  <c r="AK86" i="35"/>
  <c r="AJ127" i="35"/>
  <c r="AJ82" i="35"/>
  <c r="AK83" i="35" s="1"/>
  <c r="AO64" i="35"/>
  <c r="AN65" i="35"/>
  <c r="AL77" i="35" s="1"/>
  <c r="AJ118" i="35"/>
  <c r="AJ66" i="35"/>
  <c r="AJ67" i="35" s="1"/>
  <c r="AK77" i="35"/>
  <c r="AJ116" i="35"/>
  <c r="BH93" i="1"/>
  <c r="BI90" i="1" s="1"/>
  <c r="AN71" i="26" l="1"/>
  <c r="AP104" i="26"/>
  <c r="AN80" i="26"/>
  <c r="AM76" i="26"/>
  <c r="AN77" i="26" s="1"/>
  <c r="AM115" i="26"/>
  <c r="AM60" i="26"/>
  <c r="AM61" i="26" s="1"/>
  <c r="AM105" i="26"/>
  <c r="AR58" i="26"/>
  <c r="AQ59" i="26"/>
  <c r="AM114" i="26"/>
  <c r="AM103" i="26"/>
  <c r="BC162" i="37"/>
  <c r="BC90" i="37"/>
  <c r="BE87" i="37"/>
  <c r="BD88" i="37"/>
  <c r="AO64" i="31"/>
  <c r="AN65" i="31"/>
  <c r="AK77" i="31"/>
  <c r="AM117" i="31"/>
  <c r="AJ82" i="31"/>
  <c r="AK83" i="31" s="1"/>
  <c r="AK86" i="31"/>
  <c r="AK116" i="31" s="1"/>
  <c r="AJ127" i="31"/>
  <c r="AO93" i="18"/>
  <c r="AO73" i="18"/>
  <c r="AP74" i="18" s="1"/>
  <c r="AP57" i="18" s="1"/>
  <c r="AP58" i="18" s="1"/>
  <c r="AP77" i="18"/>
  <c r="AP92" i="18" s="1"/>
  <c r="AQ56" i="18"/>
  <c r="AP68" i="18" s="1"/>
  <c r="AR55" i="18"/>
  <c r="AN54" i="8"/>
  <c r="AS42" i="8"/>
  <c r="AR43" i="8"/>
  <c r="AO54" i="8" s="1"/>
  <c r="AN59" i="8"/>
  <c r="AN61" i="8" s="1"/>
  <c r="AM72" i="8"/>
  <c r="AS38" i="30"/>
  <c r="AR39" i="30"/>
  <c r="AN55" i="30"/>
  <c r="AN57" i="30" s="1"/>
  <c r="AM68" i="30"/>
  <c r="AN50" i="30"/>
  <c r="AL82" i="35"/>
  <c r="AM83" i="35" s="1"/>
  <c r="AM86" i="35"/>
  <c r="AL127" i="35"/>
  <c r="AL86" i="35"/>
  <c r="AK127" i="35"/>
  <c r="AK82" i="35"/>
  <c r="AL83" i="35" s="1"/>
  <c r="AP64" i="35"/>
  <c r="AO65" i="35"/>
  <c r="AM77" i="35" s="1"/>
  <c r="AK66" i="35"/>
  <c r="AK67" i="35" s="1"/>
  <c r="AK118" i="35"/>
  <c r="BI88" i="1"/>
  <c r="BI91" i="1" s="1"/>
  <c r="BI92" i="1" s="1"/>
  <c r="BI95" i="1" s="1"/>
  <c r="AN117" i="35"/>
  <c r="AK116" i="35"/>
  <c r="AN114" i="26" l="1"/>
  <c r="AN103" i="26"/>
  <c r="AN105" i="26"/>
  <c r="AN60" i="26"/>
  <c r="AN61" i="26" s="1"/>
  <c r="AS58" i="26"/>
  <c r="AR59" i="26"/>
  <c r="AP71" i="26" s="1"/>
  <c r="AO71" i="26"/>
  <c r="AQ104" i="26"/>
  <c r="AN76" i="26"/>
  <c r="AO77" i="26" s="1"/>
  <c r="AN115" i="26"/>
  <c r="AO80" i="26"/>
  <c r="BD162" i="37"/>
  <c r="BD90" i="37"/>
  <c r="BE88" i="37"/>
  <c r="BF87" i="37"/>
  <c r="AL86" i="31"/>
  <c r="AL116" i="31" s="1"/>
  <c r="AK82" i="31"/>
  <c r="AL83" i="31" s="1"/>
  <c r="AK127" i="31"/>
  <c r="AL77" i="31"/>
  <c r="AN117" i="31"/>
  <c r="AK118" i="31"/>
  <c r="AK66" i="31"/>
  <c r="AK67" i="31" s="1"/>
  <c r="AP64" i="31"/>
  <c r="AO65" i="31"/>
  <c r="AQ77" i="18"/>
  <c r="AQ92" i="18" s="1"/>
  <c r="AP93" i="18"/>
  <c r="AP73" i="18"/>
  <c r="AQ74" i="18" s="1"/>
  <c r="AQ57" i="18" s="1"/>
  <c r="AQ58" i="18" s="1"/>
  <c r="AS55" i="18"/>
  <c r="AR56" i="18"/>
  <c r="AQ68" i="18" s="1"/>
  <c r="AP59" i="8"/>
  <c r="AP61" i="8" s="1"/>
  <c r="AO72" i="8"/>
  <c r="AS43" i="8"/>
  <c r="AT42" i="8"/>
  <c r="AO59" i="8"/>
  <c r="AO61" i="8" s="1"/>
  <c r="AN72" i="8"/>
  <c r="BI93" i="1"/>
  <c r="BJ90" i="1" s="1"/>
  <c r="BJ88" i="1" s="1"/>
  <c r="BJ91" i="1" s="1"/>
  <c r="BJ92" i="1" s="1"/>
  <c r="AT38" i="30"/>
  <c r="AS39" i="30"/>
  <c r="AO55" i="30"/>
  <c r="AO57" i="30" s="1"/>
  <c r="AN68" i="30"/>
  <c r="AO50" i="30"/>
  <c r="AM82" i="35"/>
  <c r="AN83" i="35" s="1"/>
  <c r="AN86" i="35"/>
  <c r="AM127" i="35"/>
  <c r="AO117" i="35"/>
  <c r="AL116" i="35"/>
  <c r="AQ64" i="35"/>
  <c r="AP65" i="35"/>
  <c r="AN77" i="35" s="1"/>
  <c r="AM116" i="35"/>
  <c r="AL66" i="35"/>
  <c r="AL67" i="35" s="1"/>
  <c r="AL118" i="35"/>
  <c r="AM118" i="35"/>
  <c r="AM66" i="35"/>
  <c r="AM67" i="35" s="1"/>
  <c r="AO115" i="26" l="1"/>
  <c r="AO76" i="26"/>
  <c r="AP77" i="26" s="1"/>
  <c r="AP80" i="26"/>
  <c r="AO105" i="26"/>
  <c r="AO60" i="26"/>
  <c r="AO61" i="26" s="1"/>
  <c r="AR104" i="26"/>
  <c r="AO103" i="26"/>
  <c r="AO114" i="26"/>
  <c r="AP115" i="26"/>
  <c r="AP76" i="26"/>
  <c r="AQ77" i="26" s="1"/>
  <c r="AQ80" i="26"/>
  <c r="AS59" i="26"/>
  <c r="AQ71" i="26" s="1"/>
  <c r="AT58" i="26"/>
  <c r="BF88" i="37"/>
  <c r="BG87" i="37"/>
  <c r="BE90" i="37"/>
  <c r="BE162" i="37"/>
  <c r="AQ64" i="31"/>
  <c r="AP65" i="31"/>
  <c r="AL82" i="31"/>
  <c r="AM83" i="31" s="1"/>
  <c r="AL127" i="31"/>
  <c r="AM86" i="31"/>
  <c r="AM116" i="31" s="1"/>
  <c r="AL66" i="31"/>
  <c r="AL67" i="31" s="1"/>
  <c r="AL118" i="31"/>
  <c r="AM77" i="31"/>
  <c r="AO117" i="31"/>
  <c r="AN77" i="31"/>
  <c r="AT55" i="18"/>
  <c r="AS56" i="18"/>
  <c r="AR68" i="18" s="1"/>
  <c r="AR77" i="18"/>
  <c r="AR92" i="18" s="1"/>
  <c r="AQ93" i="18"/>
  <c r="AQ73" i="18"/>
  <c r="AR74" i="18" s="1"/>
  <c r="AR57" i="18" s="1"/>
  <c r="AR58" i="18" s="1"/>
  <c r="AU42" i="8"/>
  <c r="AT43" i="8"/>
  <c r="AP54" i="8"/>
  <c r="AU38" i="30"/>
  <c r="AT39" i="30"/>
  <c r="AP55" i="30"/>
  <c r="AP57" i="30" s="1"/>
  <c r="AO68" i="30"/>
  <c r="AP50" i="30"/>
  <c r="AN127" i="35"/>
  <c r="AN82" i="35"/>
  <c r="AO83" i="35" s="1"/>
  <c r="AO86" i="35"/>
  <c r="BJ95" i="1"/>
  <c r="BJ93" i="1"/>
  <c r="BK90" i="1" s="1"/>
  <c r="AR64" i="35"/>
  <c r="AQ65" i="35"/>
  <c r="AN118" i="35"/>
  <c r="AN66" i="35"/>
  <c r="AN67" i="35" s="1"/>
  <c r="AP117" i="35"/>
  <c r="AO77" i="35"/>
  <c r="AN116" i="35"/>
  <c r="AQ114" i="26" l="1"/>
  <c r="AQ103" i="26"/>
  <c r="AQ60" i="26"/>
  <c r="AQ61" i="26" s="1"/>
  <c r="AQ105" i="26"/>
  <c r="AR80" i="26"/>
  <c r="AQ76" i="26"/>
  <c r="AR77" i="26" s="1"/>
  <c r="AQ115" i="26"/>
  <c r="AP114" i="26"/>
  <c r="AP103" i="26"/>
  <c r="AU58" i="26"/>
  <c r="AT59" i="26"/>
  <c r="AT104" i="26" s="1"/>
  <c r="AP105" i="26"/>
  <c r="AP60" i="26"/>
  <c r="AP61" i="26" s="1"/>
  <c r="AS104" i="26"/>
  <c r="AR71" i="26"/>
  <c r="BH87" i="37"/>
  <c r="BG88" i="37"/>
  <c r="BF90" i="37"/>
  <c r="BF162" i="37"/>
  <c r="AN86" i="31"/>
  <c r="AN116" i="31" s="1"/>
  <c r="AM82" i="31"/>
  <c r="AN83" i="31" s="1"/>
  <c r="AM127" i="31"/>
  <c r="AM118" i="31"/>
  <c r="AM66" i="31"/>
  <c r="AM67" i="31" s="1"/>
  <c r="AN127" i="31"/>
  <c r="AN82" i="31"/>
  <c r="AO83" i="31" s="1"/>
  <c r="AO86" i="31"/>
  <c r="AO116" i="31" s="1"/>
  <c r="AP117" i="31"/>
  <c r="AR64" i="31"/>
  <c r="AQ65" i="31"/>
  <c r="AQ117" i="31" s="1"/>
  <c r="AR93" i="18"/>
  <c r="AR73" i="18"/>
  <c r="AS74" i="18" s="1"/>
  <c r="AS57" i="18" s="1"/>
  <c r="AS58" i="18" s="1"/>
  <c r="AS77" i="18"/>
  <c r="AS92" i="18" s="1"/>
  <c r="AU55" i="18"/>
  <c r="AT56" i="18"/>
  <c r="AS68" i="18" s="1"/>
  <c r="AP72" i="8"/>
  <c r="AQ59" i="8"/>
  <c r="AQ61" i="8" s="1"/>
  <c r="AQ54" i="8"/>
  <c r="AV42" i="8"/>
  <c r="AU43" i="8"/>
  <c r="AR54" i="8" s="1"/>
  <c r="AQ50" i="30"/>
  <c r="AQ55" i="30"/>
  <c r="AQ57" i="30" s="1"/>
  <c r="AP68" i="30"/>
  <c r="AV38" i="30"/>
  <c r="AU39" i="30"/>
  <c r="AS64" i="35"/>
  <c r="AR65" i="35"/>
  <c r="AP77" i="35" s="1"/>
  <c r="BK88" i="1"/>
  <c r="BK91" i="1" s="1"/>
  <c r="BK92" i="1" s="1"/>
  <c r="BK95" i="1" s="1"/>
  <c r="AO116" i="35"/>
  <c r="AO127" i="35"/>
  <c r="AP86" i="35"/>
  <c r="AO82" i="35"/>
  <c r="AP83" i="35" s="1"/>
  <c r="AO66" i="35"/>
  <c r="AO67" i="35" s="1"/>
  <c r="AO118" i="35"/>
  <c r="AQ117" i="35"/>
  <c r="AR76" i="26" l="1"/>
  <c r="AS77" i="26" s="1"/>
  <c r="AS80" i="26"/>
  <c r="AR115" i="26"/>
  <c r="AV58" i="26"/>
  <c r="AU59" i="26"/>
  <c r="AR60" i="26"/>
  <c r="AR61" i="26" s="1"/>
  <c r="AR105" i="26"/>
  <c r="AR114" i="26"/>
  <c r="AR103" i="26"/>
  <c r="BG90" i="37"/>
  <c r="BG162" i="37"/>
  <c r="BI87" i="37"/>
  <c r="BH88" i="37"/>
  <c r="AO77" i="31"/>
  <c r="AP86" i="31" s="1"/>
  <c r="AP116" i="31" s="1"/>
  <c r="AS64" i="31"/>
  <c r="AR65" i="31"/>
  <c r="AO118" i="31"/>
  <c r="AO66" i="31"/>
  <c r="AO67" i="31" s="1"/>
  <c r="AN118" i="31"/>
  <c r="AN66" i="31"/>
  <c r="AN67" i="31" s="1"/>
  <c r="AU56" i="18"/>
  <c r="AT68" i="18" s="1"/>
  <c r="AV55" i="18"/>
  <c r="AS73" i="18"/>
  <c r="AT74" i="18" s="1"/>
  <c r="AT57" i="18" s="1"/>
  <c r="AT58" i="18" s="1"/>
  <c r="AT77" i="18"/>
  <c r="AT92" i="18" s="1"/>
  <c r="AS93" i="18"/>
  <c r="AR72" i="8"/>
  <c r="AS59" i="8"/>
  <c r="AS61" i="8" s="1"/>
  <c r="AR59" i="8"/>
  <c r="AR61" i="8" s="1"/>
  <c r="AQ72" i="8"/>
  <c r="AW42" i="8"/>
  <c r="AV43" i="8"/>
  <c r="AS54" i="8" s="1"/>
  <c r="AR50" i="30"/>
  <c r="AW38" i="30"/>
  <c r="AV39" i="30"/>
  <c r="AS50" i="30" s="1"/>
  <c r="AR55" i="30"/>
  <c r="AR57" i="30" s="1"/>
  <c r="AQ68" i="30"/>
  <c r="AP82" i="35"/>
  <c r="AQ83" i="35" s="1"/>
  <c r="AQ86" i="35"/>
  <c r="AP127" i="35"/>
  <c r="AP116" i="35"/>
  <c r="BK93" i="1"/>
  <c r="BL90" i="1" s="1"/>
  <c r="AR117" i="35"/>
  <c r="AT64" i="35"/>
  <c r="AS65" i="35"/>
  <c r="AQ77" i="35" s="1"/>
  <c r="AP66" i="35"/>
  <c r="AP67" i="35" s="1"/>
  <c r="AP118" i="35"/>
  <c r="AW58" i="26" l="1"/>
  <c r="AV59" i="26"/>
  <c r="AS103" i="26"/>
  <c r="AS114" i="26"/>
  <c r="AS71" i="26"/>
  <c r="AU104" i="26"/>
  <c r="AS60" i="26"/>
  <c r="AS61" i="26" s="1"/>
  <c r="AS105" i="26"/>
  <c r="BH90" i="37"/>
  <c r="BH162" i="37"/>
  <c r="BJ87" i="37"/>
  <c r="BI88" i="37"/>
  <c r="AO82" i="31"/>
  <c r="AP83" i="31" s="1"/>
  <c r="AP118" i="31" s="1"/>
  <c r="AO127" i="31"/>
  <c r="AP77" i="31"/>
  <c r="AR117" i="31"/>
  <c r="AT64" i="31"/>
  <c r="AS65" i="31"/>
  <c r="AS117" i="31" s="1"/>
  <c r="AV56" i="18"/>
  <c r="AU68" i="18" s="1"/>
  <c r="AW55" i="18"/>
  <c r="AT93" i="18"/>
  <c r="AT73" i="18"/>
  <c r="AU74" i="18" s="1"/>
  <c r="AU57" i="18" s="1"/>
  <c r="AU58" i="18" s="1"/>
  <c r="AU77" i="18"/>
  <c r="AU92" i="18" s="1"/>
  <c r="AS72" i="8"/>
  <c r="AT59" i="8"/>
  <c r="AT61" i="8" s="1"/>
  <c r="AX42" i="8"/>
  <c r="AW43" i="8"/>
  <c r="AT55" i="30"/>
  <c r="AT57" i="30" s="1"/>
  <c r="AS68" i="30"/>
  <c r="AW39" i="30"/>
  <c r="AX38" i="30"/>
  <c r="AS55" i="30"/>
  <c r="AS57" i="30" s="1"/>
  <c r="AR68" i="30"/>
  <c r="AQ82" i="35"/>
  <c r="AR83" i="35" s="1"/>
  <c r="AR86" i="35"/>
  <c r="AQ127" i="35"/>
  <c r="AQ116" i="35"/>
  <c r="AS117" i="35"/>
  <c r="AQ118" i="35"/>
  <c r="AQ66" i="35"/>
  <c r="AQ67" i="35" s="1"/>
  <c r="AU64" i="35"/>
  <c r="AT65" i="35"/>
  <c r="BL88" i="1"/>
  <c r="BL91" i="1" s="1"/>
  <c r="BL92" i="1" s="1"/>
  <c r="AT71" i="26" l="1"/>
  <c r="AV104" i="26"/>
  <c r="AS76" i="26"/>
  <c r="AT77" i="26" s="1"/>
  <c r="AS115" i="26"/>
  <c r="AT80" i="26"/>
  <c r="AX58" i="26"/>
  <c r="AW59" i="26"/>
  <c r="AW104" i="26" s="1"/>
  <c r="BI90" i="37"/>
  <c r="BI162" i="37"/>
  <c r="BJ88" i="37"/>
  <c r="BK87" i="37"/>
  <c r="AP66" i="31"/>
  <c r="AP67" i="31" s="1"/>
  <c r="AQ77" i="31"/>
  <c r="AQ86" i="31"/>
  <c r="AQ116" i="31" s="1"/>
  <c r="AP82" i="31"/>
  <c r="AQ83" i="31" s="1"/>
  <c r="AP127" i="31"/>
  <c r="AU64" i="31"/>
  <c r="AT65" i="31"/>
  <c r="AX55" i="18"/>
  <c r="AW56" i="18"/>
  <c r="AV68" i="18" s="1"/>
  <c r="AU73" i="18"/>
  <c r="AV74" i="18" s="1"/>
  <c r="AV57" i="18" s="1"/>
  <c r="AV58" i="18" s="1"/>
  <c r="AV77" i="18"/>
  <c r="AV92" i="18" s="1"/>
  <c r="AU93" i="18"/>
  <c r="AY42" i="8"/>
  <c r="AX43" i="8"/>
  <c r="AT54" i="8"/>
  <c r="AY38" i="30"/>
  <c r="AX39" i="30"/>
  <c r="AU50" i="30" s="1"/>
  <c r="AT50" i="30"/>
  <c r="BL95" i="1"/>
  <c r="BL93" i="1"/>
  <c r="AV64" i="35"/>
  <c r="AU65" i="35"/>
  <c r="AR116" i="35"/>
  <c r="AS77" i="35"/>
  <c r="AT117" i="35"/>
  <c r="AR77" i="35"/>
  <c r="AR118" i="35"/>
  <c r="AR66" i="35"/>
  <c r="AR67" i="35" s="1"/>
  <c r="AU71" i="26" l="1"/>
  <c r="AV80" i="26" s="1"/>
  <c r="AY58" i="26"/>
  <c r="AX59" i="26"/>
  <c r="AT103" i="26"/>
  <c r="AT114" i="26"/>
  <c r="AT105" i="26"/>
  <c r="AT60" i="26"/>
  <c r="AT61" i="26" s="1"/>
  <c r="AT115" i="26"/>
  <c r="AU80" i="26"/>
  <c r="AT76" i="26"/>
  <c r="AU77" i="26" s="1"/>
  <c r="BL87" i="37"/>
  <c r="BL88" i="37" s="1"/>
  <c r="BK88" i="37"/>
  <c r="BJ90" i="37"/>
  <c r="BJ162" i="37"/>
  <c r="AQ66" i="31"/>
  <c r="AQ67" i="31" s="1"/>
  <c r="AQ118" i="31"/>
  <c r="AR77" i="31"/>
  <c r="AT117" i="31"/>
  <c r="AU65" i="31"/>
  <c r="AV64" i="31"/>
  <c r="AQ82" i="31"/>
  <c r="AR83" i="31" s="1"/>
  <c r="AR86" i="31"/>
  <c r="AR116" i="31" s="1"/>
  <c r="AQ127" i="31"/>
  <c r="AV73" i="18"/>
  <c r="AW74" i="18" s="1"/>
  <c r="AW57" i="18" s="1"/>
  <c r="AW58" i="18" s="1"/>
  <c r="AW77" i="18"/>
  <c r="AW92" i="18" s="1"/>
  <c r="AV93" i="18"/>
  <c r="AY55" i="18"/>
  <c r="AX56" i="18"/>
  <c r="AW68" i="18" s="1"/>
  <c r="AU59" i="8"/>
  <c r="AU61" i="8" s="1"/>
  <c r="AT72" i="8"/>
  <c r="AU54" i="8"/>
  <c r="AZ42" i="8"/>
  <c r="AY43" i="8"/>
  <c r="AV54" i="8" s="1"/>
  <c r="AU55" i="30"/>
  <c r="AU57" i="30" s="1"/>
  <c r="AT68" i="30"/>
  <c r="AU68" i="30"/>
  <c r="AV55" i="30"/>
  <c r="AV57" i="30" s="1"/>
  <c r="AZ38" i="30"/>
  <c r="AY39" i="30"/>
  <c r="AW64" i="35"/>
  <c r="AV65" i="35"/>
  <c r="AS86" i="35"/>
  <c r="AR127" i="35"/>
  <c r="AR82" i="35"/>
  <c r="AS83" i="35" s="1"/>
  <c r="AT86" i="35"/>
  <c r="AS82" i="35"/>
  <c r="AT83" i="35" s="1"/>
  <c r="AS127" i="35"/>
  <c r="AT77" i="35"/>
  <c r="AU117" i="35"/>
  <c r="D98" i="1"/>
  <c r="D105" i="1" s="1"/>
  <c r="E103" i="1" s="1"/>
  <c r="AU115" i="26" l="1"/>
  <c r="AU76" i="26"/>
  <c r="AV77" i="26" s="1"/>
  <c r="AV60" i="26" s="1"/>
  <c r="AV61" i="26" s="1"/>
  <c r="AU105" i="26"/>
  <c r="AU60" i="26"/>
  <c r="AU61" i="26" s="1"/>
  <c r="AU114" i="26"/>
  <c r="AU103" i="26"/>
  <c r="AV71" i="26"/>
  <c r="AX104" i="26"/>
  <c r="AV114" i="26"/>
  <c r="AV103" i="26"/>
  <c r="AY59" i="26"/>
  <c r="AW71" i="26" s="1"/>
  <c r="AZ58" i="26"/>
  <c r="BK162" i="37"/>
  <c r="BK90" i="37"/>
  <c r="BL162" i="37"/>
  <c r="BL90" i="37"/>
  <c r="D93" i="37" s="1"/>
  <c r="AR66" i="31"/>
  <c r="AR67" i="31" s="1"/>
  <c r="AR118" i="31"/>
  <c r="AS86" i="31"/>
  <c r="AS116" i="31" s="1"/>
  <c r="AR82" i="31"/>
  <c r="AS83" i="31" s="1"/>
  <c r="AR127" i="31"/>
  <c r="AV65" i="31"/>
  <c r="AV117" i="31" s="1"/>
  <c r="AW64" i="31"/>
  <c r="AS77" i="31"/>
  <c r="AU117" i="31"/>
  <c r="AT77" i="31"/>
  <c r="AZ55" i="18"/>
  <c r="AY56" i="18"/>
  <c r="AX68" i="18" s="1"/>
  <c r="AX77" i="18"/>
  <c r="AX92" i="18" s="1"/>
  <c r="AW73" i="18"/>
  <c r="AX74" i="18" s="1"/>
  <c r="AX57" i="18" s="1"/>
  <c r="AX58" i="18" s="1"/>
  <c r="AW93" i="18"/>
  <c r="AV72" i="8"/>
  <c r="AW59" i="8"/>
  <c r="AW61" i="8" s="1"/>
  <c r="AU72" i="8"/>
  <c r="AV59" i="8"/>
  <c r="AV61" i="8" s="1"/>
  <c r="BA42" i="8"/>
  <c r="AZ43" i="8"/>
  <c r="AV50" i="30"/>
  <c r="BA38" i="30"/>
  <c r="AZ39" i="30"/>
  <c r="AT66" i="35"/>
  <c r="AT67" i="35" s="1"/>
  <c r="AT118" i="35"/>
  <c r="AS116" i="35"/>
  <c r="AX64" i="35"/>
  <c r="AW65" i="35"/>
  <c r="AT127" i="35"/>
  <c r="AU86" i="35"/>
  <c r="AT82" i="35"/>
  <c r="AU83" i="35" s="1"/>
  <c r="AT116" i="35"/>
  <c r="E106" i="1"/>
  <c r="E104" i="1" s="1"/>
  <c r="E105" i="1" s="1"/>
  <c r="F103" i="1" s="1"/>
  <c r="AS118" i="35"/>
  <c r="AS66" i="35"/>
  <c r="AS67" i="35" s="1"/>
  <c r="AU77" i="35"/>
  <c r="AV117" i="35"/>
  <c r="AV105" i="26" l="1"/>
  <c r="AY104" i="26"/>
  <c r="AW80" i="26"/>
  <c r="AV76" i="26"/>
  <c r="AW77" i="26" s="1"/>
  <c r="AV115" i="26"/>
  <c r="AZ59" i="26"/>
  <c r="AZ104" i="26" s="1"/>
  <c r="BA58" i="26"/>
  <c r="AW115" i="26"/>
  <c r="AW76" i="26"/>
  <c r="AX77" i="26" s="1"/>
  <c r="AX80" i="26"/>
  <c r="H19" i="37"/>
  <c r="D96" i="37"/>
  <c r="AT86" i="31"/>
  <c r="AT116" i="31" s="1"/>
  <c r="AS82" i="31"/>
  <c r="AT83" i="31" s="1"/>
  <c r="AS127" i="31"/>
  <c r="AS66" i="31"/>
  <c r="AS67" i="31" s="1"/>
  <c r="AS118" i="31"/>
  <c r="AX64" i="31"/>
  <c r="AW65" i="31"/>
  <c r="AT82" i="31"/>
  <c r="AU83" i="31" s="1"/>
  <c r="AU86" i="31"/>
  <c r="AU116" i="31" s="1"/>
  <c r="AT127" i="31"/>
  <c r="AY77" i="18"/>
  <c r="AY92" i="18" s="1"/>
  <c r="AX73" i="18"/>
  <c r="AY74" i="18" s="1"/>
  <c r="AY57" i="18" s="1"/>
  <c r="AY58" i="18" s="1"/>
  <c r="AX93" i="18"/>
  <c r="AZ56" i="18"/>
  <c r="AY68" i="18" s="1"/>
  <c r="BA55" i="18"/>
  <c r="AW54" i="8"/>
  <c r="BB42" i="8"/>
  <c r="BA43" i="8"/>
  <c r="AW50" i="30"/>
  <c r="BA39" i="30"/>
  <c r="BB38" i="30"/>
  <c r="AW55" i="30"/>
  <c r="AW57" i="30" s="1"/>
  <c r="AV68" i="30"/>
  <c r="F106" i="1"/>
  <c r="F104" i="1" s="1"/>
  <c r="F105" i="1" s="1"/>
  <c r="G103" i="1" s="1"/>
  <c r="AU66" i="35"/>
  <c r="AU67" i="35" s="1"/>
  <c r="AU118" i="35"/>
  <c r="AU116" i="35"/>
  <c r="AW117" i="35"/>
  <c r="AU82" i="35"/>
  <c r="AV83" i="35" s="1"/>
  <c r="AU127" i="35"/>
  <c r="AV86" i="35"/>
  <c r="AY64" i="35"/>
  <c r="AX65" i="35"/>
  <c r="AX71" i="26" l="1"/>
  <c r="AX115" i="26" s="1"/>
  <c r="BA59" i="26"/>
  <c r="BB58" i="26"/>
  <c r="AW114" i="26"/>
  <c r="AW103" i="26"/>
  <c r="AW105" i="26"/>
  <c r="AW60" i="26"/>
  <c r="AW61" i="26" s="1"/>
  <c r="AX114" i="26"/>
  <c r="AX103" i="26"/>
  <c r="AX105" i="26"/>
  <c r="AX60" i="26"/>
  <c r="AX61" i="26" s="1"/>
  <c r="D102" i="37"/>
  <c r="D176" i="37"/>
  <c r="AU66" i="31"/>
  <c r="AU67" i="31" s="1"/>
  <c r="AU118" i="31"/>
  <c r="AU77" i="31"/>
  <c r="AW117" i="31"/>
  <c r="AY64" i="31"/>
  <c r="AX65" i="31"/>
  <c r="AT118" i="31"/>
  <c r="AT66" i="31"/>
  <c r="AT67" i="31" s="1"/>
  <c r="AY93" i="18"/>
  <c r="AY73" i="18"/>
  <c r="AZ74" i="18" s="1"/>
  <c r="AZ57" i="18" s="1"/>
  <c r="AZ58" i="18" s="1"/>
  <c r="AZ77" i="18"/>
  <c r="AZ92" i="18" s="1"/>
  <c r="BB55" i="18"/>
  <c r="BA56" i="18"/>
  <c r="AZ68" i="18" s="1"/>
  <c r="AX54" i="8"/>
  <c r="BC42" i="8"/>
  <c r="BB43" i="8"/>
  <c r="AY54" i="8" s="1"/>
  <c r="AX59" i="8"/>
  <c r="AX61" i="8" s="1"/>
  <c r="AW72" i="8"/>
  <c r="AX55" i="30"/>
  <c r="AX57" i="30" s="1"/>
  <c r="AW68" i="30"/>
  <c r="BC38" i="30"/>
  <c r="BB39" i="30"/>
  <c r="AX50" i="30"/>
  <c r="G106" i="1"/>
  <c r="G104" i="1" s="1"/>
  <c r="G105" i="1" s="1"/>
  <c r="H103" i="1" s="1"/>
  <c r="AX117" i="35"/>
  <c r="AZ64" i="35"/>
  <c r="AY65" i="35"/>
  <c r="AW77" i="35" s="1"/>
  <c r="AV116" i="35"/>
  <c r="AV77" i="35"/>
  <c r="AV118" i="35"/>
  <c r="AV66" i="35"/>
  <c r="AV67" i="35" s="1"/>
  <c r="AX76" i="26" l="1"/>
  <c r="AY77" i="26" s="1"/>
  <c r="AY60" i="26" s="1"/>
  <c r="AY61" i="26" s="1"/>
  <c r="AY80" i="26"/>
  <c r="AY103" i="26" s="1"/>
  <c r="BC58" i="26"/>
  <c r="BB59" i="26"/>
  <c r="AY105" i="26"/>
  <c r="AY71" i="26"/>
  <c r="BA104" i="26"/>
  <c r="BF156" i="37"/>
  <c r="AP156" i="37"/>
  <c r="Z156" i="37"/>
  <c r="J156" i="37"/>
  <c r="BA156" i="37"/>
  <c r="AK156" i="37"/>
  <c r="U156" i="37"/>
  <c r="E156" i="37"/>
  <c r="AI156" i="37"/>
  <c r="BK156" i="37"/>
  <c r="AE156" i="37"/>
  <c r="BH156" i="37"/>
  <c r="BD156" i="37"/>
  <c r="AZ156" i="37"/>
  <c r="AF156" i="37"/>
  <c r="T160" i="37"/>
  <c r="M160" i="37"/>
  <c r="AO160" i="37"/>
  <c r="BG160" i="37"/>
  <c r="AK160" i="37"/>
  <c r="I160" i="37"/>
  <c r="AV160" i="37"/>
  <c r="Z160" i="37"/>
  <c r="N160" i="37"/>
  <c r="AE160" i="37"/>
  <c r="AG160" i="37"/>
  <c r="BK160" i="37"/>
  <c r="W160" i="37"/>
  <c r="AD160" i="37"/>
  <c r="AU160" i="37"/>
  <c r="BB156" i="37"/>
  <c r="AL156" i="37"/>
  <c r="V156" i="37"/>
  <c r="F156" i="37"/>
  <c r="AW156" i="37"/>
  <c r="AG156" i="37"/>
  <c r="Q156" i="37"/>
  <c r="BG156" i="37"/>
  <c r="AA156" i="37"/>
  <c r="BC156" i="37"/>
  <c r="W156" i="37"/>
  <c r="AR156" i="37"/>
  <c r="AN156" i="37"/>
  <c r="AJ156" i="37"/>
  <c r="P156" i="37"/>
  <c r="Y160" i="37"/>
  <c r="J160" i="37"/>
  <c r="AI160" i="37"/>
  <c r="X160" i="37"/>
  <c r="O160" i="37"/>
  <c r="P160" i="37"/>
  <c r="BE160" i="37"/>
  <c r="G160" i="37"/>
  <c r="K160" i="37"/>
  <c r="AB160" i="37"/>
  <c r="AT160" i="37"/>
  <c r="AJ160" i="37"/>
  <c r="BB160" i="37"/>
  <c r="AA160" i="37"/>
  <c r="F160" i="37"/>
  <c r="D187" i="37"/>
  <c r="D189" i="37" s="1"/>
  <c r="H15" i="37" s="1"/>
  <c r="AX156" i="37"/>
  <c r="AH156" i="37"/>
  <c r="R156" i="37"/>
  <c r="BI156" i="37"/>
  <c r="AS156" i="37"/>
  <c r="AC156" i="37"/>
  <c r="M156" i="37"/>
  <c r="AY156" i="37"/>
  <c r="S156" i="37"/>
  <c r="AU156" i="37"/>
  <c r="O156" i="37"/>
  <c r="AB156" i="37"/>
  <c r="X156" i="37"/>
  <c r="T156" i="37"/>
  <c r="E99" i="37"/>
  <c r="AL160" i="37"/>
  <c r="BC160" i="37"/>
  <c r="AW160" i="37"/>
  <c r="BH160" i="37"/>
  <c r="S160" i="37"/>
  <c r="U160" i="37"/>
  <c r="BD160" i="37"/>
  <c r="V160" i="37"/>
  <c r="BA160" i="37"/>
  <c r="BF160" i="37"/>
  <c r="AQ160" i="37"/>
  <c r="AS160" i="37"/>
  <c r="H160" i="37"/>
  <c r="E160" i="37"/>
  <c r="BL160" i="37"/>
  <c r="BJ156" i="37"/>
  <c r="AT156" i="37"/>
  <c r="AD156" i="37"/>
  <c r="N156" i="37"/>
  <c r="BE156" i="37"/>
  <c r="AO156" i="37"/>
  <c r="Y156" i="37"/>
  <c r="I156" i="37"/>
  <c r="AQ156" i="37"/>
  <c r="K156" i="37"/>
  <c r="AM156" i="37"/>
  <c r="G156" i="37"/>
  <c r="L156" i="37"/>
  <c r="H156" i="37"/>
  <c r="AV156" i="37"/>
  <c r="BL156" i="37"/>
  <c r="AY160" i="37"/>
  <c r="AN160" i="37"/>
  <c r="BJ160" i="37"/>
  <c r="AF160" i="37"/>
  <c r="BI160" i="37"/>
  <c r="AX160" i="37"/>
  <c r="AC160" i="37"/>
  <c r="AR160" i="37"/>
  <c r="R160" i="37"/>
  <c r="AM160" i="37"/>
  <c r="AZ160" i="37"/>
  <c r="AP160" i="37"/>
  <c r="Q160" i="37"/>
  <c r="AH160" i="37"/>
  <c r="L160" i="37"/>
  <c r="AX117" i="31"/>
  <c r="AU82" i="31"/>
  <c r="AV83" i="31" s="1"/>
  <c r="AV86" i="31"/>
  <c r="AV116" i="31" s="1"/>
  <c r="AU127" i="31"/>
  <c r="AY65" i="31"/>
  <c r="AY117" i="31" s="1"/>
  <c r="AZ64" i="31"/>
  <c r="AV77" i="31"/>
  <c r="BC55" i="18"/>
  <c r="BB56" i="18"/>
  <c r="BA68" i="18" s="1"/>
  <c r="BA77" i="18"/>
  <c r="BA92" i="18" s="1"/>
  <c r="AZ73" i="18"/>
  <c r="BA74" i="18" s="1"/>
  <c r="BA57" i="18" s="1"/>
  <c r="BA58" i="18" s="1"/>
  <c r="AZ93" i="18"/>
  <c r="AY72" i="8"/>
  <c r="AZ59" i="8"/>
  <c r="AZ61" i="8" s="1"/>
  <c r="BD42" i="8"/>
  <c r="BC43" i="8"/>
  <c r="AY59" i="8"/>
  <c r="AY61" i="8" s="1"/>
  <c r="AX72" i="8"/>
  <c r="AY50" i="30"/>
  <c r="BC39" i="30"/>
  <c r="BD38" i="30"/>
  <c r="AY55" i="30"/>
  <c r="AY57" i="30" s="1"/>
  <c r="AX68" i="30"/>
  <c r="AX86" i="35"/>
  <c r="AW82" i="35"/>
  <c r="AX83" i="35" s="1"/>
  <c r="AW127" i="35"/>
  <c r="H106" i="1"/>
  <c r="H104" i="1" s="1"/>
  <c r="H105" i="1" s="1"/>
  <c r="I103" i="1" s="1"/>
  <c r="BA64" i="35"/>
  <c r="AZ65" i="35"/>
  <c r="AV82" i="35"/>
  <c r="AW83" i="35" s="1"/>
  <c r="AW86" i="35"/>
  <c r="AV127" i="35"/>
  <c r="AX77" i="35"/>
  <c r="AY117" i="35"/>
  <c r="AY114" i="26" l="1"/>
  <c r="AY115" i="26"/>
  <c r="AZ80" i="26"/>
  <c r="AY76" i="26"/>
  <c r="AZ77" i="26" s="1"/>
  <c r="BD58" i="26"/>
  <c r="BC59" i="26"/>
  <c r="BC104" i="26" s="1"/>
  <c r="AZ71" i="26"/>
  <c r="BB104" i="26"/>
  <c r="E104" i="37"/>
  <c r="AV82" i="31"/>
  <c r="AW83" i="31" s="1"/>
  <c r="AW86" i="31"/>
  <c r="AW116" i="31" s="1"/>
  <c r="AV127" i="31"/>
  <c r="AZ65" i="31"/>
  <c r="BA64" i="31"/>
  <c r="AV66" i="31"/>
  <c r="AV67" i="31" s="1"/>
  <c r="AV118" i="31"/>
  <c r="AW77" i="31"/>
  <c r="BA93" i="18"/>
  <c r="BA73" i="18"/>
  <c r="BB74" i="18" s="1"/>
  <c r="BB57" i="18" s="1"/>
  <c r="BB58" i="18" s="1"/>
  <c r="BB77" i="18"/>
  <c r="BB92" i="18" s="1"/>
  <c r="BD55" i="18"/>
  <c r="BC56" i="18"/>
  <c r="BB68" i="18" s="1"/>
  <c r="BD43" i="8"/>
  <c r="BA54" i="8" s="1"/>
  <c r="BE42" i="8"/>
  <c r="AZ54" i="8"/>
  <c r="BD39" i="30"/>
  <c r="BA50" i="30" s="1"/>
  <c r="BE38" i="30"/>
  <c r="AZ55" i="30"/>
  <c r="AZ57" i="30" s="1"/>
  <c r="AY68" i="30"/>
  <c r="AZ50" i="30"/>
  <c r="I106" i="1"/>
  <c r="I104" i="1" s="1"/>
  <c r="I105" i="1" s="1"/>
  <c r="J103" i="1" s="1"/>
  <c r="AX82" i="35"/>
  <c r="AY83" i="35" s="1"/>
  <c r="AY86" i="35"/>
  <c r="AX127" i="35"/>
  <c r="AW116" i="35"/>
  <c r="AZ117" i="35"/>
  <c r="AX118" i="35"/>
  <c r="AX66" i="35"/>
  <c r="AX67" i="35" s="1"/>
  <c r="AW66" i="35"/>
  <c r="AW67" i="35" s="1"/>
  <c r="AW118" i="35"/>
  <c r="BB64" i="35"/>
  <c r="BA65" i="35"/>
  <c r="AX116" i="35"/>
  <c r="BA71" i="26" l="1"/>
  <c r="AZ60" i="26"/>
  <c r="AZ61" i="26" s="1"/>
  <c r="AZ105" i="26"/>
  <c r="BE58" i="26"/>
  <c r="BD59" i="26"/>
  <c r="BA80" i="26"/>
  <c r="AZ115" i="26"/>
  <c r="AZ76" i="26"/>
  <c r="BA77" i="26" s="1"/>
  <c r="AZ103" i="26"/>
  <c r="AZ114" i="26"/>
  <c r="BA76" i="26"/>
  <c r="BB77" i="26" s="1"/>
  <c r="BA115" i="26"/>
  <c r="BB80" i="26"/>
  <c r="E100" i="37"/>
  <c r="E174" i="37"/>
  <c r="E126" i="37"/>
  <c r="E129" i="37" s="1"/>
  <c r="AX86" i="31"/>
  <c r="AX116" i="31" s="1"/>
  <c r="AW127" i="31"/>
  <c r="AW82" i="31"/>
  <c r="AX83" i="31" s="1"/>
  <c r="AX77" i="31"/>
  <c r="AZ117" i="31"/>
  <c r="BA65" i="31"/>
  <c r="AY77" i="31" s="1"/>
  <c r="BB64" i="31"/>
  <c r="AW66" i="31"/>
  <c r="AW67" i="31" s="1"/>
  <c r="AW118" i="31"/>
  <c r="BE55" i="18"/>
  <c r="BD56" i="18"/>
  <c r="BC68" i="18" s="1"/>
  <c r="BB73" i="18"/>
  <c r="BC74" i="18" s="1"/>
  <c r="BC57" i="18" s="1"/>
  <c r="BC58" i="18" s="1"/>
  <c r="BC77" i="18"/>
  <c r="BC92" i="18" s="1"/>
  <c r="BB93" i="18"/>
  <c r="AZ72" i="8"/>
  <c r="BA59" i="8"/>
  <c r="BA61" i="8" s="1"/>
  <c r="BE43" i="8"/>
  <c r="BF42" i="8"/>
  <c r="BB59" i="8"/>
  <c r="BB61" i="8" s="1"/>
  <c r="BA72" i="8"/>
  <c r="BA55" i="30"/>
  <c r="BA57" i="30" s="1"/>
  <c r="AZ68" i="30"/>
  <c r="BF38" i="30"/>
  <c r="BE39" i="30"/>
  <c r="BA68" i="30"/>
  <c r="BB55" i="30"/>
  <c r="BB57" i="30" s="1"/>
  <c r="J106" i="1"/>
  <c r="J104" i="1" s="1"/>
  <c r="J105" i="1" s="1"/>
  <c r="K103" i="1" s="1"/>
  <c r="BA117" i="35"/>
  <c r="AY116" i="35"/>
  <c r="BC64" i="35"/>
  <c r="BB65" i="35"/>
  <c r="AZ77" i="35" s="1"/>
  <c r="AY77" i="35"/>
  <c r="AY66" i="35"/>
  <c r="AY67" i="35" s="1"/>
  <c r="AY118" i="35"/>
  <c r="BB103" i="26" l="1"/>
  <c r="BB114" i="26"/>
  <c r="BA105" i="26"/>
  <c r="BA60" i="26"/>
  <c r="BA61" i="26" s="1"/>
  <c r="BE59" i="26"/>
  <c r="BE104" i="26" s="1"/>
  <c r="BF58" i="26"/>
  <c r="BB71" i="26"/>
  <c r="BD104" i="26"/>
  <c r="BC71" i="26"/>
  <c r="BB60" i="26"/>
  <c r="BB61" i="26" s="1"/>
  <c r="BB105" i="26"/>
  <c r="BA114" i="26"/>
  <c r="BA103" i="26"/>
  <c r="E132" i="37"/>
  <c r="E131" i="37"/>
  <c r="E173" i="37"/>
  <c r="E102" i="37"/>
  <c r="F99" i="37" s="1"/>
  <c r="BB65" i="31"/>
  <c r="BB117" i="31" s="1"/>
  <c r="BC64" i="31"/>
  <c r="AX82" i="31"/>
  <c r="AY83" i="31" s="1"/>
  <c r="AY86" i="31"/>
  <c r="AY116" i="31" s="1"/>
  <c r="AX127" i="31"/>
  <c r="BA117" i="31"/>
  <c r="AX118" i="31"/>
  <c r="AX66" i="31"/>
  <c r="AX67" i="31" s="1"/>
  <c r="AY127" i="31"/>
  <c r="AZ86" i="31"/>
  <c r="AZ116" i="31" s="1"/>
  <c r="AY82" i="31"/>
  <c r="AZ83" i="31" s="1"/>
  <c r="BC73" i="18"/>
  <c r="BD74" i="18" s="1"/>
  <c r="BD57" i="18" s="1"/>
  <c r="BD58" i="18" s="1"/>
  <c r="BC93" i="18"/>
  <c r="BD77" i="18"/>
  <c r="BD92" i="18" s="1"/>
  <c r="BF55" i="18"/>
  <c r="BE56" i="18"/>
  <c r="BD68" i="18" s="1"/>
  <c r="BG42" i="8"/>
  <c r="BF43" i="8"/>
  <c r="BB54" i="8"/>
  <c r="BB50" i="30"/>
  <c r="BG38" i="30"/>
  <c r="BF39" i="30"/>
  <c r="K106" i="1"/>
  <c r="K104" i="1" s="1"/>
  <c r="K105" i="1" s="1"/>
  <c r="L103" i="1" s="1"/>
  <c r="BA86" i="35"/>
  <c r="AZ82" i="35"/>
  <c r="BA83" i="35" s="1"/>
  <c r="AZ127" i="35"/>
  <c r="BB117" i="35"/>
  <c r="BD64" i="35"/>
  <c r="BC65" i="35"/>
  <c r="BA77" i="35" s="1"/>
  <c r="AY82" i="35"/>
  <c r="AZ83" i="35" s="1"/>
  <c r="AY127" i="35"/>
  <c r="AZ86" i="35"/>
  <c r="BC80" i="26" l="1"/>
  <c r="BB76" i="26"/>
  <c r="BC77" i="26" s="1"/>
  <c r="BB115" i="26"/>
  <c r="BG58" i="26"/>
  <c r="BF59" i="26"/>
  <c r="BC76" i="26"/>
  <c r="BD77" i="26" s="1"/>
  <c r="BC115" i="26"/>
  <c r="BD80" i="26"/>
  <c r="F104" i="37"/>
  <c r="E181" i="37"/>
  <c r="E182" i="37" s="1"/>
  <c r="E176" i="37"/>
  <c r="E134" i="37"/>
  <c r="E135" i="37" s="1"/>
  <c r="E136" i="37" s="1"/>
  <c r="E164" i="37" s="1"/>
  <c r="E133" i="37"/>
  <c r="F130" i="37" s="1"/>
  <c r="AZ66" i="31"/>
  <c r="AZ67" i="31" s="1"/>
  <c r="AZ118" i="31"/>
  <c r="AZ77" i="31"/>
  <c r="AY66" i="31"/>
  <c r="AY67" i="31" s="1"/>
  <c r="AY118" i="31"/>
  <c r="BC65" i="31"/>
  <c r="BD64" i="31"/>
  <c r="BG55" i="18"/>
  <c r="BF56" i="18"/>
  <c r="BE68" i="18" s="1"/>
  <c r="BD93" i="18"/>
  <c r="BD73" i="18"/>
  <c r="BE74" i="18" s="1"/>
  <c r="BE57" i="18" s="1"/>
  <c r="BE58" i="18" s="1"/>
  <c r="BE77" i="18"/>
  <c r="BE92" i="18" s="1"/>
  <c r="BC59" i="8"/>
  <c r="BC61" i="8" s="1"/>
  <c r="BB72" i="8"/>
  <c r="BC54" i="8"/>
  <c r="BH42" i="8"/>
  <c r="BG43" i="8"/>
  <c r="BC55" i="30"/>
  <c r="BC57" i="30" s="1"/>
  <c r="BB68" i="30"/>
  <c r="BC50" i="30"/>
  <c r="BH38" i="30"/>
  <c r="BG39" i="30"/>
  <c r="BD50" i="30" s="1"/>
  <c r="BB86" i="35"/>
  <c r="BA82" i="35"/>
  <c r="BB83" i="35" s="1"/>
  <c r="BA127" i="35"/>
  <c r="L106" i="1"/>
  <c r="L104" i="1" s="1"/>
  <c r="L105" i="1" s="1"/>
  <c r="M103" i="1" s="1"/>
  <c r="AZ116" i="35"/>
  <c r="AZ66" i="35"/>
  <c r="AZ67" i="35" s="1"/>
  <c r="AZ118" i="35"/>
  <c r="BE64" i="35"/>
  <c r="BD65" i="35"/>
  <c r="BB77" i="35" s="1"/>
  <c r="BA116" i="35"/>
  <c r="BC117" i="35"/>
  <c r="BA66" i="35"/>
  <c r="BA67" i="35" s="1"/>
  <c r="BA118" i="35"/>
  <c r="BH58" i="26" l="1"/>
  <c r="BG59" i="26"/>
  <c r="BD105" i="26"/>
  <c r="BD60" i="26"/>
  <c r="BD61" i="26" s="1"/>
  <c r="BC60" i="26"/>
  <c r="BC61" i="26" s="1"/>
  <c r="BC105" i="26"/>
  <c r="BD103" i="26"/>
  <c r="BD114" i="26"/>
  <c r="BD71" i="26"/>
  <c r="BF104" i="26"/>
  <c r="BC103" i="26"/>
  <c r="BC114" i="26"/>
  <c r="F174" i="37"/>
  <c r="F126" i="37"/>
  <c r="F129" i="37" s="1"/>
  <c r="F100" i="37"/>
  <c r="BE64" i="31"/>
  <c r="BD65" i="31"/>
  <c r="AZ127" i="31"/>
  <c r="BA86" i="31"/>
  <c r="BA116" i="31" s="1"/>
  <c r="AZ82" i="31"/>
  <c r="BA83" i="31" s="1"/>
  <c r="BA77" i="31"/>
  <c r="BC117" i="31"/>
  <c r="BE73" i="18"/>
  <c r="BF74" i="18" s="1"/>
  <c r="BF57" i="18" s="1"/>
  <c r="BF58" i="18" s="1"/>
  <c r="BF77" i="18"/>
  <c r="BF92" i="18" s="1"/>
  <c r="BE93" i="18"/>
  <c r="BG56" i="18"/>
  <c r="BF68" i="18" s="1"/>
  <c r="BH55" i="18"/>
  <c r="BC72" i="8"/>
  <c r="BD59" i="8"/>
  <c r="BD61" i="8" s="1"/>
  <c r="BD54" i="8"/>
  <c r="BI42" i="8"/>
  <c r="BH43" i="8"/>
  <c r="BD68" i="30"/>
  <c r="BE55" i="30"/>
  <c r="BE57" i="30" s="1"/>
  <c r="BD55" i="30"/>
  <c r="BD57" i="30" s="1"/>
  <c r="BC68" i="30"/>
  <c r="BI38" i="30"/>
  <c r="BH39" i="30"/>
  <c r="M106" i="1"/>
  <c r="M104" i="1" s="1"/>
  <c r="M105" i="1" s="1"/>
  <c r="N103" i="1" s="1"/>
  <c r="BB127" i="35"/>
  <c r="BB82" i="35"/>
  <c r="BC83" i="35" s="1"/>
  <c r="BC86" i="35"/>
  <c r="BD117" i="35"/>
  <c r="BB118" i="35"/>
  <c r="BB66" i="35"/>
  <c r="BB67" i="35" s="1"/>
  <c r="BF64" i="35"/>
  <c r="BE65" i="35"/>
  <c r="BB116" i="35"/>
  <c r="BE71" i="26" l="1"/>
  <c r="BG104" i="26"/>
  <c r="BD76" i="26"/>
  <c r="BE77" i="26" s="1"/>
  <c r="BD115" i="26"/>
  <c r="BE80" i="26"/>
  <c r="BH59" i="26"/>
  <c r="BH104" i="26" s="1"/>
  <c r="BI58" i="26"/>
  <c r="F173" i="37"/>
  <c r="F102" i="37"/>
  <c r="G99" i="37" s="1"/>
  <c r="F132" i="37"/>
  <c r="F131" i="37"/>
  <c r="BA127" i="31"/>
  <c r="BA82" i="31"/>
  <c r="BB83" i="31" s="1"/>
  <c r="BB86" i="31"/>
  <c r="BB116" i="31" s="1"/>
  <c r="BB77" i="31"/>
  <c r="BD117" i="31"/>
  <c r="BA66" i="31"/>
  <c r="BA67" i="31" s="1"/>
  <c r="BA118" i="31"/>
  <c r="BF64" i="31"/>
  <c r="BE65" i="31"/>
  <c r="BF93" i="18"/>
  <c r="BG77" i="18"/>
  <c r="BG92" i="18" s="1"/>
  <c r="BF73" i="18"/>
  <c r="BG74" i="18" s="1"/>
  <c r="BG57" i="18" s="1"/>
  <c r="BG58" i="18" s="1"/>
  <c r="BI55" i="18"/>
  <c r="BH56" i="18"/>
  <c r="BG68" i="18" s="1"/>
  <c r="BD72" i="8"/>
  <c r="BE59" i="8"/>
  <c r="BE61" i="8" s="1"/>
  <c r="BE54" i="8"/>
  <c r="BJ42" i="8"/>
  <c r="BI43" i="8"/>
  <c r="BJ38" i="30"/>
  <c r="BI39" i="30"/>
  <c r="BF50" i="30" s="1"/>
  <c r="BE50" i="30"/>
  <c r="N106" i="1"/>
  <c r="N104" i="1" s="1"/>
  <c r="N105" i="1" s="1"/>
  <c r="O103" i="1" s="1"/>
  <c r="BE117" i="35"/>
  <c r="BC77" i="35"/>
  <c r="BC116" i="35"/>
  <c r="BG64" i="35"/>
  <c r="BF65" i="35"/>
  <c r="BC66" i="35"/>
  <c r="BC67" i="35" s="1"/>
  <c r="BC118" i="35"/>
  <c r="BF71" i="26" l="1"/>
  <c r="BG80" i="26" s="1"/>
  <c r="BE60" i="26"/>
  <c r="BE61" i="26" s="1"/>
  <c r="BE105" i="26"/>
  <c r="BJ58" i="26"/>
  <c r="BI59" i="26"/>
  <c r="BE114" i="26"/>
  <c r="BE103" i="26"/>
  <c r="BF80" i="26"/>
  <c r="BE115" i="26"/>
  <c r="BE76" i="26"/>
  <c r="BF77" i="26" s="1"/>
  <c r="F134" i="37"/>
  <c r="F135" i="37" s="1"/>
  <c r="F136" i="37" s="1"/>
  <c r="F164" i="37" s="1"/>
  <c r="F133" i="37"/>
  <c r="G130" i="37" s="1"/>
  <c r="G104" i="37"/>
  <c r="F181" i="37"/>
  <c r="F182" i="37" s="1"/>
  <c r="F176" i="37"/>
  <c r="BF65" i="31"/>
  <c r="BG64" i="31"/>
  <c r="BB82" i="31"/>
  <c r="BC83" i="31" s="1"/>
  <c r="BC86" i="31"/>
  <c r="BC116" i="31" s="1"/>
  <c r="BB127" i="31"/>
  <c r="BB66" i="31"/>
  <c r="BB67" i="31" s="1"/>
  <c r="BB118" i="31"/>
  <c r="BC77" i="31"/>
  <c r="BE117" i="31"/>
  <c r="BI56" i="18"/>
  <c r="BH68" i="18" s="1"/>
  <c r="BJ55" i="18"/>
  <c r="BG73" i="18"/>
  <c r="BH74" i="18" s="1"/>
  <c r="BH57" i="18" s="1"/>
  <c r="BH58" i="18" s="1"/>
  <c r="BH77" i="18"/>
  <c r="BH92" i="18" s="1"/>
  <c r="BG93" i="18"/>
  <c r="BF59" i="8"/>
  <c r="BF61" i="8" s="1"/>
  <c r="BE72" i="8"/>
  <c r="BK42" i="8"/>
  <c r="BJ43" i="8"/>
  <c r="BG54" i="8" s="1"/>
  <c r="BF54" i="8"/>
  <c r="BF55" i="30"/>
  <c r="BF57" i="30" s="1"/>
  <c r="BE68" i="30"/>
  <c r="BJ39" i="30"/>
  <c r="BK38" i="30"/>
  <c r="BG55" i="30"/>
  <c r="BG57" i="30" s="1"/>
  <c r="BF68" i="30"/>
  <c r="O106" i="1"/>
  <c r="O104" i="1" s="1"/>
  <c r="O105" i="1" s="1"/>
  <c r="P103" i="1" s="1"/>
  <c r="BF117" i="35"/>
  <c r="BD77" i="35"/>
  <c r="BH64" i="35"/>
  <c r="BG65" i="35"/>
  <c r="BC82" i="35"/>
  <c r="BD83" i="35" s="1"/>
  <c r="BD86" i="35"/>
  <c r="BC127" i="35"/>
  <c r="BF76" i="26" l="1"/>
  <c r="BG77" i="26" s="1"/>
  <c r="BG60" i="26" s="1"/>
  <c r="BG61" i="26" s="1"/>
  <c r="BF115" i="26"/>
  <c r="BF60" i="26"/>
  <c r="BF61" i="26" s="1"/>
  <c r="BF105" i="26"/>
  <c r="BG71" i="26"/>
  <c r="BI104" i="26"/>
  <c r="BF114" i="26"/>
  <c r="BF103" i="26"/>
  <c r="BK58" i="26"/>
  <c r="BJ59" i="26"/>
  <c r="BJ104" i="26" s="1"/>
  <c r="BG114" i="26"/>
  <c r="BG103" i="26"/>
  <c r="G100" i="37"/>
  <c r="G174" i="37"/>
  <c r="G126" i="37"/>
  <c r="G129" i="37" s="1"/>
  <c r="BD86" i="31"/>
  <c r="BD116" i="31" s="1"/>
  <c r="BC82" i="31"/>
  <c r="BD83" i="31" s="1"/>
  <c r="BC127" i="31"/>
  <c r="BC66" i="31"/>
  <c r="BC67" i="31" s="1"/>
  <c r="BC118" i="31"/>
  <c r="BG65" i="31"/>
  <c r="BH64" i="31"/>
  <c r="BD77" i="31"/>
  <c r="BF117" i="31"/>
  <c r="BJ56" i="18"/>
  <c r="BI68" i="18" s="1"/>
  <c r="BK55" i="18"/>
  <c r="BH93" i="18"/>
  <c r="BH73" i="18"/>
  <c r="BI74" i="18" s="1"/>
  <c r="BI57" i="18" s="1"/>
  <c r="BI58" i="18" s="1"/>
  <c r="BI77" i="18"/>
  <c r="BI92" i="18" s="1"/>
  <c r="BG59" i="8"/>
  <c r="BG61" i="8" s="1"/>
  <c r="BF72" i="8"/>
  <c r="BG72" i="8"/>
  <c r="BH59" i="8"/>
  <c r="BH61" i="8" s="1"/>
  <c r="BL42" i="8"/>
  <c r="BL43" i="8" s="1"/>
  <c r="BK54" i="8" s="1"/>
  <c r="BK43" i="8"/>
  <c r="BL38" i="30"/>
  <c r="BL39" i="30" s="1"/>
  <c r="BK39" i="30"/>
  <c r="BH50" i="30" s="1"/>
  <c r="BG50" i="30"/>
  <c r="P106" i="1"/>
  <c r="P104" i="1" s="1"/>
  <c r="P105" i="1" s="1"/>
  <c r="Q103" i="1" s="1"/>
  <c r="BD66" i="35"/>
  <c r="BD67" i="35" s="1"/>
  <c r="BD118" i="35"/>
  <c r="BD116" i="35"/>
  <c r="BD82" i="35"/>
  <c r="BE83" i="35" s="1"/>
  <c r="BE86" i="35"/>
  <c r="BD127" i="35"/>
  <c r="BG117" i="35"/>
  <c r="BE77" i="35"/>
  <c r="BI64" i="35"/>
  <c r="BH65" i="35"/>
  <c r="BG105" i="26" l="1"/>
  <c r="BH71" i="26"/>
  <c r="BI80" i="26" s="1"/>
  <c r="BG76" i="26"/>
  <c r="BH77" i="26" s="1"/>
  <c r="BH80" i="26"/>
  <c r="BG115" i="26"/>
  <c r="BL58" i="26"/>
  <c r="BL59" i="26" s="1"/>
  <c r="BK59" i="26"/>
  <c r="D63" i="26" s="1"/>
  <c r="G132" i="37"/>
  <c r="G131" i="37"/>
  <c r="G173" i="37"/>
  <c r="G102" i="37"/>
  <c r="H99" i="37" s="1"/>
  <c r="BE86" i="31"/>
  <c r="BE116" i="31" s="1"/>
  <c r="BD82" i="31"/>
  <c r="BE83" i="31" s="1"/>
  <c r="BD127" i="31"/>
  <c r="BH65" i="31"/>
  <c r="BI64" i="31"/>
  <c r="BE77" i="31"/>
  <c r="BG117" i="31"/>
  <c r="BF77" i="31"/>
  <c r="BD66" i="31"/>
  <c r="BD67" i="31" s="1"/>
  <c r="BD118" i="31"/>
  <c r="BI50" i="30"/>
  <c r="BJ55" i="30" s="1"/>
  <c r="BJ57" i="30" s="1"/>
  <c r="BJ50" i="30"/>
  <c r="D45" i="8"/>
  <c r="D46" i="8" s="1"/>
  <c r="BL55" i="18"/>
  <c r="BL56" i="18" s="1"/>
  <c r="BK68" i="18" s="1"/>
  <c r="BK56" i="18"/>
  <c r="BI93" i="18"/>
  <c r="BI73" i="18"/>
  <c r="BJ74" i="18" s="1"/>
  <c r="BJ57" i="18" s="1"/>
  <c r="BJ58" i="18" s="1"/>
  <c r="BJ77" i="18"/>
  <c r="BJ92" i="18" s="1"/>
  <c r="BI54" i="8"/>
  <c r="BJ54" i="8"/>
  <c r="BK72" i="8" s="1"/>
  <c r="BH54" i="8"/>
  <c r="BL59" i="8"/>
  <c r="BL61" i="8" s="1"/>
  <c r="BL72" i="8"/>
  <c r="BH55" i="30"/>
  <c r="BH57" i="30" s="1"/>
  <c r="BG68" i="30"/>
  <c r="BK50" i="30"/>
  <c r="D41" i="30"/>
  <c r="BI55" i="30"/>
  <c r="BI57" i="30" s="1"/>
  <c r="BH68" i="30"/>
  <c r="Q106" i="1"/>
  <c r="Q104" i="1" s="1"/>
  <c r="Q105" i="1" s="1"/>
  <c r="R103" i="1" s="1"/>
  <c r="BJ64" i="35"/>
  <c r="BI65" i="35"/>
  <c r="BG77" i="35" s="1"/>
  <c r="BE127" i="35"/>
  <c r="BF86" i="35"/>
  <c r="BE82" i="35"/>
  <c r="BF83" i="35" s="1"/>
  <c r="BE116" i="35"/>
  <c r="BE118" i="35"/>
  <c r="BE66" i="35"/>
  <c r="BE67" i="35" s="1"/>
  <c r="BH117" i="35"/>
  <c r="BF77" i="35"/>
  <c r="BH76" i="26" l="1"/>
  <c r="BI77" i="26" s="1"/>
  <c r="BI60" i="26" s="1"/>
  <c r="BI61" i="26" s="1"/>
  <c r="BH115" i="26"/>
  <c r="D64" i="26"/>
  <c r="H19" i="26"/>
  <c r="BI105" i="26"/>
  <c r="BL104" i="26"/>
  <c r="BK71" i="26"/>
  <c r="BI103" i="26"/>
  <c r="BI114" i="26"/>
  <c r="BH103" i="26"/>
  <c r="BH114" i="26"/>
  <c r="BI71" i="26"/>
  <c r="BK104" i="26"/>
  <c r="BJ71" i="26"/>
  <c r="BH105" i="26"/>
  <c r="BH60" i="26"/>
  <c r="BH61" i="26" s="1"/>
  <c r="H104" i="37"/>
  <c r="G181" i="37"/>
  <c r="G182" i="37" s="1"/>
  <c r="G176" i="37"/>
  <c r="G134" i="37"/>
  <c r="G135" i="37" s="1"/>
  <c r="G136" i="37" s="1"/>
  <c r="G164" i="37" s="1"/>
  <c r="G133" i="37"/>
  <c r="H130" i="37" s="1"/>
  <c r="BF82" i="31"/>
  <c r="BG83" i="31" s="1"/>
  <c r="BF127" i="31"/>
  <c r="BG86" i="31"/>
  <c r="BG116" i="31" s="1"/>
  <c r="BH117" i="31"/>
  <c r="BF86" i="31"/>
  <c r="BF116" i="31" s="1"/>
  <c r="BE82" i="31"/>
  <c r="BF83" i="31" s="1"/>
  <c r="BE127" i="31"/>
  <c r="BE118" i="31"/>
  <c r="BE66" i="31"/>
  <c r="BE67" i="31" s="1"/>
  <c r="BJ64" i="31"/>
  <c r="BI65" i="31"/>
  <c r="BI117" i="31" s="1"/>
  <c r="BI68" i="30"/>
  <c r="BJ68" i="30"/>
  <c r="BK55" i="30"/>
  <c r="BK57" i="30" s="1"/>
  <c r="D50" i="8"/>
  <c r="D74" i="8" s="1"/>
  <c r="D60" i="18"/>
  <c r="BJ68" i="18"/>
  <c r="BL93" i="18"/>
  <c r="BK73" i="18"/>
  <c r="BL74" i="18" s="1"/>
  <c r="BL57" i="18" s="1"/>
  <c r="BL58" i="18" s="1"/>
  <c r="BL77" i="18"/>
  <c r="BL92" i="18" s="1"/>
  <c r="BI59" i="8"/>
  <c r="BI61" i="8" s="1"/>
  <c r="BH72" i="8"/>
  <c r="BK59" i="8"/>
  <c r="BK61" i="8" s="1"/>
  <c r="BJ72" i="8"/>
  <c r="BJ59" i="8"/>
  <c r="BJ61" i="8" s="1"/>
  <c r="BI72" i="8"/>
  <c r="D46" i="30"/>
  <c r="D42" i="30"/>
  <c r="BL68" i="30"/>
  <c r="BK68" i="30"/>
  <c r="BL55" i="30"/>
  <c r="BL57" i="30" s="1"/>
  <c r="R106" i="1"/>
  <c r="R104" i="1" s="1"/>
  <c r="R105" i="1" s="1"/>
  <c r="S103" i="1" s="1"/>
  <c r="BI117" i="35"/>
  <c r="BK64" i="35"/>
  <c r="BJ65" i="35"/>
  <c r="BG86" i="35"/>
  <c r="BF127" i="35"/>
  <c r="BF82" i="35"/>
  <c r="BG83" i="35" s="1"/>
  <c r="BF118" i="35"/>
  <c r="BF66" i="35"/>
  <c r="BF67" i="35" s="1"/>
  <c r="BG82" i="35"/>
  <c r="BH83" i="35" s="1"/>
  <c r="BG127" i="35"/>
  <c r="BH86" i="35"/>
  <c r="BF116" i="35"/>
  <c r="D68" i="26" l="1"/>
  <c r="D121" i="26"/>
  <c r="D123" i="26" s="1"/>
  <c r="H15" i="26" s="1"/>
  <c r="BK115" i="26"/>
  <c r="BL115" i="26"/>
  <c r="BL80" i="26"/>
  <c r="BK76" i="26"/>
  <c r="BL77" i="26" s="1"/>
  <c r="BJ76" i="26"/>
  <c r="BK77" i="26" s="1"/>
  <c r="BK80" i="26"/>
  <c r="BJ115" i="26"/>
  <c r="BI115" i="26"/>
  <c r="BJ80" i="26"/>
  <c r="BI76" i="26"/>
  <c r="BJ77" i="26" s="1"/>
  <c r="H100" i="37"/>
  <c r="H174" i="37"/>
  <c r="H126" i="37"/>
  <c r="H129" i="37" s="1"/>
  <c r="BG77" i="31"/>
  <c r="BH86" i="31" s="1"/>
  <c r="BH116" i="31" s="1"/>
  <c r="BK64" i="31"/>
  <c r="BJ65" i="31"/>
  <c r="BF118" i="31"/>
  <c r="BF66" i="31"/>
  <c r="BF67" i="31" s="1"/>
  <c r="BG118" i="31"/>
  <c r="BG66" i="31"/>
  <c r="BG67" i="31" s="1"/>
  <c r="E48" i="8"/>
  <c r="E51" i="8" s="1"/>
  <c r="E49" i="8" s="1"/>
  <c r="E74" i="8" s="1"/>
  <c r="D57" i="30"/>
  <c r="D58" i="30" s="1"/>
  <c r="BJ93" i="18"/>
  <c r="BJ73" i="18"/>
  <c r="BK74" i="18" s="1"/>
  <c r="BK57" i="18" s="1"/>
  <c r="BK58" i="18" s="1"/>
  <c r="BK77" i="18"/>
  <c r="BK92" i="18" s="1"/>
  <c r="BK93" i="18"/>
  <c r="D61" i="18"/>
  <c r="H19" i="18"/>
  <c r="D61" i="8"/>
  <c r="D62" i="8" s="1"/>
  <c r="E44" i="30"/>
  <c r="D70" i="30"/>
  <c r="S106" i="1"/>
  <c r="S104" i="1" s="1"/>
  <c r="S105" i="1" s="1"/>
  <c r="T103" i="1" s="1"/>
  <c r="BH116" i="35"/>
  <c r="BG118" i="35"/>
  <c r="BG66" i="35"/>
  <c r="BG67" i="35" s="1"/>
  <c r="BJ117" i="35"/>
  <c r="BH77" i="35"/>
  <c r="BH66" i="35"/>
  <c r="BH67" i="35" s="1"/>
  <c r="BH118" i="35"/>
  <c r="BG116" i="35"/>
  <c r="BL64" i="35"/>
  <c r="BL65" i="35" s="1"/>
  <c r="BK65" i="35"/>
  <c r="E66" i="26" l="1"/>
  <c r="E69" i="26" s="1"/>
  <c r="D117" i="26"/>
  <c r="BL60" i="26"/>
  <c r="BL61" i="26" s="1"/>
  <c r="BL105" i="26"/>
  <c r="BL114" i="26"/>
  <c r="BL103" i="26"/>
  <c r="BJ105" i="26"/>
  <c r="BJ60" i="26"/>
  <c r="BJ61" i="26" s="1"/>
  <c r="BK103" i="26"/>
  <c r="BK114" i="26"/>
  <c r="BJ114" i="26"/>
  <c r="BJ103" i="26"/>
  <c r="BK105" i="26"/>
  <c r="BK60" i="26"/>
  <c r="BK61" i="26" s="1"/>
  <c r="H132" i="37"/>
  <c r="H131" i="37"/>
  <c r="H173" i="37"/>
  <c r="H102" i="37"/>
  <c r="I99" i="37" s="1"/>
  <c r="BG82" i="31"/>
  <c r="BH83" i="31" s="1"/>
  <c r="BH118" i="31" s="1"/>
  <c r="BG127" i="31"/>
  <c r="BH77" i="31"/>
  <c r="BJ117" i="31"/>
  <c r="BL64" i="31"/>
  <c r="BL65" i="31" s="1"/>
  <c r="BK65" i="31"/>
  <c r="E50" i="8"/>
  <c r="F48" i="8" s="1"/>
  <c r="F51" i="8" s="1"/>
  <c r="F49" i="8" s="1"/>
  <c r="F74" i="8" s="1"/>
  <c r="D65" i="18"/>
  <c r="D99" i="18"/>
  <c r="D101" i="18" s="1"/>
  <c r="H15" i="18" s="1"/>
  <c r="E47" i="30"/>
  <c r="E45" i="30" s="1"/>
  <c r="E70" i="30" s="1"/>
  <c r="T106" i="1"/>
  <c r="T104" i="1" s="1"/>
  <c r="T105" i="1" s="1"/>
  <c r="U103" i="1" s="1"/>
  <c r="BJ77" i="35"/>
  <c r="BK117" i="35"/>
  <c r="BI77" i="35"/>
  <c r="BI86" i="35"/>
  <c r="BH127" i="35"/>
  <c r="BH82" i="35"/>
  <c r="BI83" i="35" s="1"/>
  <c r="BK77" i="35"/>
  <c r="BL117" i="35"/>
  <c r="D69" i="35"/>
  <c r="E113" i="26" l="1"/>
  <c r="E85" i="26"/>
  <c r="E88" i="26" s="1"/>
  <c r="E89" i="26" s="1"/>
  <c r="E106" i="26" s="1"/>
  <c r="E67" i="26"/>
  <c r="D69" i="31"/>
  <c r="H19" i="31" s="1"/>
  <c r="I104" i="37"/>
  <c r="H181" i="37"/>
  <c r="H182" i="37" s="1"/>
  <c r="H176" i="37"/>
  <c r="H134" i="37"/>
  <c r="H135" i="37" s="1"/>
  <c r="H136" i="37" s="1"/>
  <c r="H164" i="37" s="1"/>
  <c r="H133" i="37"/>
  <c r="I130" i="37" s="1"/>
  <c r="BH66" i="31"/>
  <c r="BH67" i="31" s="1"/>
  <c r="BI77" i="31"/>
  <c r="BI82" i="31" s="1"/>
  <c r="BJ83" i="31" s="1"/>
  <c r="BK117" i="31"/>
  <c r="BJ77" i="31"/>
  <c r="BK77" i="31"/>
  <c r="BL117" i="31"/>
  <c r="BH127" i="31"/>
  <c r="BH82" i="31"/>
  <c r="BI83" i="31" s="1"/>
  <c r="BI86" i="31"/>
  <c r="BI116" i="31" s="1"/>
  <c r="D95" i="18"/>
  <c r="E63" i="18"/>
  <c r="F50" i="8"/>
  <c r="G48" i="8" s="1"/>
  <c r="G51" i="8" s="1"/>
  <c r="G49" i="8" s="1"/>
  <c r="G74" i="8" s="1"/>
  <c r="E46" i="30"/>
  <c r="F44" i="30" s="1"/>
  <c r="U106" i="1"/>
  <c r="U104" i="1" s="1"/>
  <c r="U105" i="1" s="1"/>
  <c r="V103" i="1" s="1"/>
  <c r="BK127" i="35"/>
  <c r="BK82" i="35"/>
  <c r="BL83" i="35" s="1"/>
  <c r="BL86" i="35"/>
  <c r="BL127" i="35"/>
  <c r="BI116" i="35"/>
  <c r="BI82" i="35"/>
  <c r="BJ83" i="35" s="1"/>
  <c r="BJ86" i="35"/>
  <c r="BI127" i="35"/>
  <c r="BJ127" i="35"/>
  <c r="BK86" i="35"/>
  <c r="BJ82" i="35"/>
  <c r="BK83" i="35" s="1"/>
  <c r="D70" i="35"/>
  <c r="H19" i="35"/>
  <c r="E30" i="35" s="1"/>
  <c r="BI118" i="35"/>
  <c r="BI66" i="35"/>
  <c r="BI67" i="35" s="1"/>
  <c r="E127" i="26" l="1"/>
  <c r="E128" i="26" s="1"/>
  <c r="E68" i="26"/>
  <c r="F66" i="26" s="1"/>
  <c r="F69" i="26" s="1"/>
  <c r="F113" i="26" s="1"/>
  <c r="E112" i="26"/>
  <c r="E117" i="26" s="1"/>
  <c r="D70" i="31"/>
  <c r="D74" i="31" s="1"/>
  <c r="E72" i="31" s="1"/>
  <c r="E75" i="31" s="1"/>
  <c r="E126" i="31" s="1"/>
  <c r="BI127" i="31"/>
  <c r="I100" i="37"/>
  <c r="I126" i="37"/>
  <c r="I129" i="37" s="1"/>
  <c r="I174" i="37"/>
  <c r="BJ86" i="31"/>
  <c r="BJ116" i="31" s="1"/>
  <c r="BK127" i="31"/>
  <c r="BK82" i="31"/>
  <c r="BL83" i="31" s="1"/>
  <c r="BL127" i="31"/>
  <c r="BL86" i="31"/>
  <c r="BL116" i="31" s="1"/>
  <c r="BI66" i="31"/>
  <c r="BI67" i="31" s="1"/>
  <c r="BI118" i="31"/>
  <c r="BJ82" i="31"/>
  <c r="BK83" i="31" s="1"/>
  <c r="BJ127" i="31"/>
  <c r="BK86" i="31"/>
  <c r="BK116" i="31" s="1"/>
  <c r="BJ66" i="31"/>
  <c r="BJ67" i="31" s="1"/>
  <c r="BJ118" i="31"/>
  <c r="E66" i="18"/>
  <c r="G50" i="8"/>
  <c r="H48" i="8" s="1"/>
  <c r="F47" i="30"/>
  <c r="F45" i="30" s="1"/>
  <c r="F70" i="30" s="1"/>
  <c r="V106" i="1"/>
  <c r="V104" i="1" s="1"/>
  <c r="V105" i="1" s="1"/>
  <c r="W103" i="1" s="1"/>
  <c r="D129" i="35"/>
  <c r="D74" i="35"/>
  <c r="E72" i="35" s="1"/>
  <c r="D133" i="35"/>
  <c r="D135" i="35" s="1"/>
  <c r="H15" i="35" s="1"/>
  <c r="BL66" i="35"/>
  <c r="BL67" i="35" s="1"/>
  <c r="BL118" i="35"/>
  <c r="BK66" i="35"/>
  <c r="BK67" i="35" s="1"/>
  <c r="BK118" i="35"/>
  <c r="BJ116" i="35"/>
  <c r="BK116" i="35"/>
  <c r="BJ118" i="35"/>
  <c r="BJ66" i="35"/>
  <c r="BJ67" i="35" s="1"/>
  <c r="BL116" i="35"/>
  <c r="D129" i="31" l="1"/>
  <c r="D140" i="31"/>
  <c r="D142" i="31" s="1"/>
  <c r="H15" i="31" s="1"/>
  <c r="F85" i="26"/>
  <c r="F88" i="26" s="1"/>
  <c r="F89" i="26" s="1"/>
  <c r="F106" i="26" s="1"/>
  <c r="F67" i="26"/>
  <c r="F112" i="26" s="1"/>
  <c r="F117" i="26" s="1"/>
  <c r="E91" i="31"/>
  <c r="E94" i="31" s="1"/>
  <c r="E97" i="31" s="1"/>
  <c r="I132" i="37"/>
  <c r="I131" i="37"/>
  <c r="I173" i="37"/>
  <c r="I102" i="37"/>
  <c r="J99" i="37" s="1"/>
  <c r="E73" i="31"/>
  <c r="E134" i="31" s="1"/>
  <c r="E135" i="31" s="1"/>
  <c r="BK66" i="31"/>
  <c r="BK67" i="31" s="1"/>
  <c r="BK118" i="31"/>
  <c r="BL118" i="31"/>
  <c r="BL66" i="31"/>
  <c r="BL67" i="31" s="1"/>
  <c r="F46" i="30"/>
  <c r="G44" i="30" s="1"/>
  <c r="G47" i="30" s="1"/>
  <c r="G45" i="30" s="1"/>
  <c r="G70" i="30" s="1"/>
  <c r="E64" i="18"/>
  <c r="E91" i="18"/>
  <c r="H51" i="8"/>
  <c r="H49" i="8" s="1"/>
  <c r="H74" i="8" s="1"/>
  <c r="W106" i="1"/>
  <c r="W104" i="1" s="1"/>
  <c r="W105" i="1" s="1"/>
  <c r="X103" i="1" s="1"/>
  <c r="F127" i="26"/>
  <c r="F128" i="26" s="1"/>
  <c r="E75" i="35"/>
  <c r="E96" i="31"/>
  <c r="F68" i="26" l="1"/>
  <c r="G66" i="26" s="1"/>
  <c r="J104" i="37"/>
  <c r="I176" i="37"/>
  <c r="I181" i="37"/>
  <c r="I182" i="37" s="1"/>
  <c r="I134" i="37"/>
  <c r="I135" i="37" s="1"/>
  <c r="I136" i="37" s="1"/>
  <c r="I164" i="37" s="1"/>
  <c r="I133" i="37"/>
  <c r="J130" i="37" s="1"/>
  <c r="E125" i="31"/>
  <c r="E129" i="31" s="1"/>
  <c r="E74" i="31"/>
  <c r="F72" i="31" s="1"/>
  <c r="F75" i="31" s="1"/>
  <c r="H50" i="8"/>
  <c r="I48" i="8" s="1"/>
  <c r="I51" i="8" s="1"/>
  <c r="I49" i="8" s="1"/>
  <c r="I74" i="8" s="1"/>
  <c r="E105" i="18"/>
  <c r="E106" i="18" s="1"/>
  <c r="E90" i="18"/>
  <c r="E95" i="18" s="1"/>
  <c r="E65" i="18"/>
  <c r="F63" i="18" s="1"/>
  <c r="G46" i="30"/>
  <c r="H44" i="30" s="1"/>
  <c r="X106" i="1"/>
  <c r="X104" i="1" s="1"/>
  <c r="X105" i="1" s="1"/>
  <c r="Y103" i="1" s="1"/>
  <c r="E99" i="31"/>
  <c r="E100" i="31" s="1"/>
  <c r="E101" i="31" s="1"/>
  <c r="E119" i="31" s="1"/>
  <c r="E98" i="31"/>
  <c r="F95" i="31" s="1"/>
  <c r="E126" i="35"/>
  <c r="E91" i="35"/>
  <c r="E94" i="35" s="1"/>
  <c r="E100" i="35" s="1"/>
  <c r="E101" i="35" s="1"/>
  <c r="E119" i="35" s="1"/>
  <c r="E73" i="35"/>
  <c r="E139" i="35" s="1"/>
  <c r="E140" i="35" s="1"/>
  <c r="G69" i="26"/>
  <c r="J174" i="37" l="1"/>
  <c r="J126" i="37"/>
  <c r="J129" i="37" s="1"/>
  <c r="J100" i="37"/>
  <c r="F66" i="18"/>
  <c r="I50" i="8"/>
  <c r="J48" i="8" s="1"/>
  <c r="H47" i="30"/>
  <c r="H45" i="30" s="1"/>
  <c r="H70" i="30" s="1"/>
  <c r="Y106" i="1"/>
  <c r="Y104" i="1" s="1"/>
  <c r="Y105" i="1" s="1"/>
  <c r="Z103" i="1" s="1"/>
  <c r="G85" i="26"/>
  <c r="G88" i="26" s="1"/>
  <c r="G89" i="26" s="1"/>
  <c r="G106" i="26" s="1"/>
  <c r="G113" i="26"/>
  <c r="G67" i="26"/>
  <c r="E125" i="35"/>
  <c r="E129" i="35" s="1"/>
  <c r="E74" i="35"/>
  <c r="F72" i="35" s="1"/>
  <c r="F126" i="31"/>
  <c r="F91" i="31"/>
  <c r="F94" i="31" s="1"/>
  <c r="F73" i="31"/>
  <c r="F134" i="31" s="1"/>
  <c r="F135" i="31" s="1"/>
  <c r="J173" i="37" l="1"/>
  <c r="J102" i="37"/>
  <c r="K99" i="37" s="1"/>
  <c r="J132" i="37"/>
  <c r="J131" i="37"/>
  <c r="H46" i="30"/>
  <c r="I44" i="30" s="1"/>
  <c r="I47" i="30" s="1"/>
  <c r="I45" i="30" s="1"/>
  <c r="I70" i="30" s="1"/>
  <c r="F91" i="18"/>
  <c r="F64" i="18"/>
  <c r="F105" i="18" s="1"/>
  <c r="F106" i="18" s="1"/>
  <c r="J51" i="8"/>
  <c r="J49" i="8" s="1"/>
  <c r="J74" i="8" s="1"/>
  <c r="Z106" i="1"/>
  <c r="Z104" i="1" s="1"/>
  <c r="Z105" i="1" s="1"/>
  <c r="AA103" i="1" s="1"/>
  <c r="F97" i="31"/>
  <c r="F96" i="31"/>
  <c r="F75" i="35"/>
  <c r="F125" i="31"/>
  <c r="F129" i="31" s="1"/>
  <c r="F74" i="31"/>
  <c r="G72" i="31" s="1"/>
  <c r="G127" i="26"/>
  <c r="G128" i="26" s="1"/>
  <c r="G112" i="26"/>
  <c r="G117" i="26" s="1"/>
  <c r="G68" i="26"/>
  <c r="H66" i="26" s="1"/>
  <c r="J134" i="37" l="1"/>
  <c r="J135" i="37" s="1"/>
  <c r="J136" i="37" s="1"/>
  <c r="J164" i="37" s="1"/>
  <c r="J133" i="37"/>
  <c r="K130" i="37" s="1"/>
  <c r="K104" i="37"/>
  <c r="J181" i="37"/>
  <c r="J182" i="37" s="1"/>
  <c r="J176" i="37"/>
  <c r="F90" i="18"/>
  <c r="F95" i="18" s="1"/>
  <c r="F65" i="18"/>
  <c r="G63" i="18" s="1"/>
  <c r="J50" i="8"/>
  <c r="K48" i="8" s="1"/>
  <c r="K51" i="8" s="1"/>
  <c r="K49" i="8" s="1"/>
  <c r="K74" i="8" s="1"/>
  <c r="I46" i="30"/>
  <c r="J44" i="30" s="1"/>
  <c r="F99" i="31"/>
  <c r="F100" i="31" s="1"/>
  <c r="F101" i="31" s="1"/>
  <c r="F119" i="31" s="1"/>
  <c r="F98" i="31"/>
  <c r="G95" i="31" s="1"/>
  <c r="F126" i="35"/>
  <c r="F91" i="35"/>
  <c r="F94" i="35" s="1"/>
  <c r="F100" i="35" s="1"/>
  <c r="F101" i="35" s="1"/>
  <c r="F119" i="35" s="1"/>
  <c r="F73" i="35"/>
  <c r="G75" i="31"/>
  <c r="AA106" i="1"/>
  <c r="AA104" i="1" s="1"/>
  <c r="AA105" i="1" s="1"/>
  <c r="AB103" i="1" s="1"/>
  <c r="H69" i="26"/>
  <c r="K126" i="37" l="1"/>
  <c r="K129" i="37" s="1"/>
  <c r="K100" i="37"/>
  <c r="K174" i="37"/>
  <c r="G66" i="18"/>
  <c r="K50" i="8"/>
  <c r="L48" i="8" s="1"/>
  <c r="J47" i="30"/>
  <c r="J45" i="30" s="1"/>
  <c r="J70" i="30" s="1"/>
  <c r="H85" i="26"/>
  <c r="H88" i="26" s="1"/>
  <c r="H89" i="26" s="1"/>
  <c r="H106" i="26" s="1"/>
  <c r="H113" i="26"/>
  <c r="H67" i="26"/>
  <c r="G91" i="31"/>
  <c r="G94" i="31" s="1"/>
  <c r="G126" i="31"/>
  <c r="G73" i="31"/>
  <c r="AB106" i="1"/>
  <c r="AB104" i="1" s="1"/>
  <c r="AB105" i="1" s="1"/>
  <c r="AC103" i="1" s="1"/>
  <c r="F139" i="35"/>
  <c r="F140" i="35" s="1"/>
  <c r="F125" i="35"/>
  <c r="F129" i="35" s="1"/>
  <c r="F74" i="35"/>
  <c r="G72" i="35" s="1"/>
  <c r="K173" i="37" l="1"/>
  <c r="K102" i="37"/>
  <c r="L99" i="37" s="1"/>
  <c r="K131" i="37"/>
  <c r="K132" i="37"/>
  <c r="G91" i="18"/>
  <c r="G64" i="18"/>
  <c r="G105" i="18" s="1"/>
  <c r="G106" i="18" s="1"/>
  <c r="J46" i="30"/>
  <c r="K44" i="30" s="1"/>
  <c r="K47" i="30" s="1"/>
  <c r="K45" i="30" s="1"/>
  <c r="K70" i="30" s="1"/>
  <c r="L51" i="8"/>
  <c r="L49" i="8" s="1"/>
  <c r="L74" i="8" s="1"/>
  <c r="AC106" i="1"/>
  <c r="AC104" i="1" s="1"/>
  <c r="AC105" i="1" s="1"/>
  <c r="AD103" i="1" s="1"/>
  <c r="G97" i="31"/>
  <c r="G96" i="31"/>
  <c r="H127" i="26"/>
  <c r="H128" i="26" s="1"/>
  <c r="H112" i="26"/>
  <c r="H117" i="26" s="1"/>
  <c r="H68" i="26"/>
  <c r="I66" i="26" s="1"/>
  <c r="G75" i="35"/>
  <c r="G134" i="31"/>
  <c r="G135" i="31" s="1"/>
  <c r="G125" i="31"/>
  <c r="G129" i="31" s="1"/>
  <c r="G74" i="31"/>
  <c r="H72" i="31" s="1"/>
  <c r="K134" i="37" l="1"/>
  <c r="K135" i="37" s="1"/>
  <c r="K136" i="37" s="1"/>
  <c r="K164" i="37" s="1"/>
  <c r="K133" i="37"/>
  <c r="L130" i="37" s="1"/>
  <c r="L104" i="37"/>
  <c r="K181" i="37"/>
  <c r="K182" i="37" s="1"/>
  <c r="K176" i="37"/>
  <c r="L50" i="8"/>
  <c r="M48" i="8" s="1"/>
  <c r="M51" i="8" s="1"/>
  <c r="M49" i="8" s="1"/>
  <c r="M74" i="8" s="1"/>
  <c r="G90" i="18"/>
  <c r="G95" i="18" s="1"/>
  <c r="G65" i="18"/>
  <c r="H63" i="18" s="1"/>
  <c r="K46" i="30"/>
  <c r="L44" i="30" s="1"/>
  <c r="AD106" i="1"/>
  <c r="AD104" i="1" s="1"/>
  <c r="AD105" i="1" s="1"/>
  <c r="AE103" i="1" s="1"/>
  <c r="G99" i="31"/>
  <c r="G100" i="31" s="1"/>
  <c r="G101" i="31" s="1"/>
  <c r="G119" i="31" s="1"/>
  <c r="G98" i="31"/>
  <c r="H95" i="31" s="1"/>
  <c r="H75" i="31"/>
  <c r="G126" i="35"/>
  <c r="G91" i="35"/>
  <c r="G94" i="35" s="1"/>
  <c r="G100" i="35" s="1"/>
  <c r="G101" i="35" s="1"/>
  <c r="G119" i="35" s="1"/>
  <c r="G73" i="35"/>
  <c r="I69" i="26"/>
  <c r="L174" i="37" l="1"/>
  <c r="L126" i="37"/>
  <c r="L129" i="37" s="1"/>
  <c r="L100" i="37"/>
  <c r="H66" i="18"/>
  <c r="M50" i="8"/>
  <c r="N48" i="8" s="1"/>
  <c r="N51" i="8" s="1"/>
  <c r="N49" i="8" s="1"/>
  <c r="N74" i="8" s="1"/>
  <c r="L47" i="30"/>
  <c r="L45" i="30" s="1"/>
  <c r="L70" i="30" s="1"/>
  <c r="AE106" i="1"/>
  <c r="AE104" i="1" s="1"/>
  <c r="AE105" i="1" s="1"/>
  <c r="AF103" i="1" s="1"/>
  <c r="I85" i="26"/>
  <c r="I88" i="26" s="1"/>
  <c r="I89" i="26" s="1"/>
  <c r="I106" i="26" s="1"/>
  <c r="I113" i="26"/>
  <c r="I67" i="26"/>
  <c r="G125" i="35"/>
  <c r="G129" i="35" s="1"/>
  <c r="G74" i="35"/>
  <c r="H72" i="35" s="1"/>
  <c r="G139" i="35"/>
  <c r="G140" i="35" s="1"/>
  <c r="H91" i="31"/>
  <c r="H94" i="31" s="1"/>
  <c r="H126" i="31"/>
  <c r="H73" i="31"/>
  <c r="L173" i="37" l="1"/>
  <c r="L102" i="37"/>
  <c r="M99" i="37" s="1"/>
  <c r="L132" i="37"/>
  <c r="L131" i="37"/>
  <c r="H91" i="18"/>
  <c r="H64" i="18"/>
  <c r="H105" i="18" s="1"/>
  <c r="H106" i="18" s="1"/>
  <c r="N50" i="8"/>
  <c r="O48" i="8" s="1"/>
  <c r="L46" i="30"/>
  <c r="M44" i="30" s="1"/>
  <c r="AF106" i="1"/>
  <c r="AF104" i="1" s="1"/>
  <c r="AF105" i="1" s="1"/>
  <c r="AG103" i="1" s="1"/>
  <c r="H134" i="31"/>
  <c r="H135" i="31" s="1"/>
  <c r="H125" i="31"/>
  <c r="H129" i="31" s="1"/>
  <c r="H74" i="31"/>
  <c r="I72" i="31" s="1"/>
  <c r="H75" i="35"/>
  <c r="H97" i="31"/>
  <c r="H96" i="31"/>
  <c r="I127" i="26"/>
  <c r="I128" i="26" s="1"/>
  <c r="I112" i="26"/>
  <c r="I117" i="26" s="1"/>
  <c r="I68" i="26"/>
  <c r="J66" i="26" s="1"/>
  <c r="L134" i="37" l="1"/>
  <c r="L135" i="37" s="1"/>
  <c r="L136" i="37" s="1"/>
  <c r="L164" i="37" s="1"/>
  <c r="L133" i="37"/>
  <c r="M130" i="37" s="1"/>
  <c r="M104" i="37"/>
  <c r="L181" i="37"/>
  <c r="L182" i="37" s="1"/>
  <c r="L176" i="37"/>
  <c r="H90" i="18"/>
  <c r="H95" i="18" s="1"/>
  <c r="H65" i="18"/>
  <c r="I63" i="18" s="1"/>
  <c r="O51" i="8"/>
  <c r="O49" i="8" s="1"/>
  <c r="O74" i="8" s="1"/>
  <c r="M47" i="30"/>
  <c r="M45" i="30" s="1"/>
  <c r="M70" i="30" s="1"/>
  <c r="J69" i="26"/>
  <c r="H126" i="35"/>
  <c r="H91" i="35"/>
  <c r="H94" i="35" s="1"/>
  <c r="H100" i="35" s="1"/>
  <c r="H101" i="35" s="1"/>
  <c r="H119" i="35" s="1"/>
  <c r="H73" i="35"/>
  <c r="H99" i="31"/>
  <c r="H100" i="31" s="1"/>
  <c r="H101" i="31" s="1"/>
  <c r="H119" i="31" s="1"/>
  <c r="H120" i="31" s="1"/>
  <c r="H98" i="31"/>
  <c r="I95" i="31" s="1"/>
  <c r="AG106" i="1"/>
  <c r="AG104" i="1" s="1"/>
  <c r="AG105" i="1" s="1"/>
  <c r="AH103" i="1" s="1"/>
  <c r="I75" i="31"/>
  <c r="M100" i="37" l="1"/>
  <c r="M174" i="37"/>
  <c r="M126" i="37"/>
  <c r="M129" i="37" s="1"/>
  <c r="I66" i="18"/>
  <c r="M46" i="30"/>
  <c r="N44" i="30" s="1"/>
  <c r="N47" i="30" s="1"/>
  <c r="N45" i="30" s="1"/>
  <c r="N70" i="30" s="1"/>
  <c r="O50" i="8"/>
  <c r="P48" i="8" s="1"/>
  <c r="I91" i="31"/>
  <c r="I94" i="31" s="1"/>
  <c r="I126" i="31"/>
  <c r="I73" i="31"/>
  <c r="I134" i="31" s="1"/>
  <c r="I135" i="31" s="1"/>
  <c r="AH106" i="1"/>
  <c r="AH104" i="1" s="1"/>
  <c r="AH105" i="1" s="1"/>
  <c r="AI103" i="1" s="1"/>
  <c r="H125" i="35"/>
  <c r="H129" i="35" s="1"/>
  <c r="H74" i="35"/>
  <c r="I72" i="35" s="1"/>
  <c r="H139" i="35"/>
  <c r="H140" i="35" s="1"/>
  <c r="J113" i="26"/>
  <c r="J85" i="26"/>
  <c r="J88" i="26" s="1"/>
  <c r="J89" i="26" s="1"/>
  <c r="J106" i="26" s="1"/>
  <c r="J67" i="26"/>
  <c r="M131" i="37" l="1"/>
  <c r="M132" i="37"/>
  <c r="M173" i="37"/>
  <c r="M102" i="37"/>
  <c r="N99" i="37" s="1"/>
  <c r="I91" i="18"/>
  <c r="I64" i="18"/>
  <c r="P51" i="8"/>
  <c r="P49" i="8" s="1"/>
  <c r="P74" i="8" s="1"/>
  <c r="N46" i="30"/>
  <c r="O44" i="30" s="1"/>
  <c r="AI106" i="1"/>
  <c r="AI104" i="1" s="1"/>
  <c r="AI105" i="1" s="1"/>
  <c r="AJ103" i="1" s="1"/>
  <c r="I125" i="31"/>
  <c r="I129" i="31" s="1"/>
  <c r="I74" i="31"/>
  <c r="J72" i="31" s="1"/>
  <c r="J127" i="26"/>
  <c r="J128" i="26" s="1"/>
  <c r="J112" i="26"/>
  <c r="J117" i="26" s="1"/>
  <c r="J68" i="26"/>
  <c r="K66" i="26" s="1"/>
  <c r="I75" i="35"/>
  <c r="I96" i="31"/>
  <c r="I97" i="31"/>
  <c r="N104" i="37" l="1"/>
  <c r="M181" i="37"/>
  <c r="M182" i="37" s="1"/>
  <c r="M176" i="37"/>
  <c r="M134" i="37"/>
  <c r="M135" i="37" s="1"/>
  <c r="M136" i="37" s="1"/>
  <c r="M164" i="37" s="1"/>
  <c r="M133" i="37"/>
  <c r="N130" i="37" s="1"/>
  <c r="P50" i="8"/>
  <c r="Q48" i="8" s="1"/>
  <c r="I105" i="18"/>
  <c r="I106" i="18" s="1"/>
  <c r="I90" i="18"/>
  <c r="I95" i="18" s="1"/>
  <c r="I65" i="18"/>
  <c r="J63" i="18" s="1"/>
  <c r="Q51" i="8"/>
  <c r="Q49" i="8" s="1"/>
  <c r="Q74" i="8" s="1"/>
  <c r="O47" i="30"/>
  <c r="O45" i="30" s="1"/>
  <c r="O70" i="30" s="1"/>
  <c r="AJ106" i="1"/>
  <c r="AJ104" i="1" s="1"/>
  <c r="AJ105" i="1" s="1"/>
  <c r="AK103" i="1" s="1"/>
  <c r="I99" i="31"/>
  <c r="I100" i="31" s="1"/>
  <c r="I101" i="31" s="1"/>
  <c r="I119" i="31" s="1"/>
  <c r="I120" i="31" s="1"/>
  <c r="I98" i="31"/>
  <c r="J95" i="31" s="1"/>
  <c r="I126" i="35"/>
  <c r="I91" i="35"/>
  <c r="I94" i="35" s="1"/>
  <c r="I100" i="35" s="1"/>
  <c r="I101" i="35" s="1"/>
  <c r="I119" i="35" s="1"/>
  <c r="I73" i="35"/>
  <c r="J75" i="31"/>
  <c r="K69" i="26"/>
  <c r="N100" i="37" l="1"/>
  <c r="N174" i="37"/>
  <c r="N126" i="37"/>
  <c r="N129" i="37" s="1"/>
  <c r="J66" i="18"/>
  <c r="Q50" i="8"/>
  <c r="R48" i="8" s="1"/>
  <c r="O46" i="30"/>
  <c r="P44" i="30" s="1"/>
  <c r="AK106" i="1"/>
  <c r="AK104" i="1" s="1"/>
  <c r="AK105" i="1" s="1"/>
  <c r="AL103" i="1" s="1"/>
  <c r="I139" i="35"/>
  <c r="I140" i="35" s="1"/>
  <c r="I125" i="35"/>
  <c r="I129" i="35" s="1"/>
  <c r="I74" i="35"/>
  <c r="J72" i="35" s="1"/>
  <c r="J126" i="31"/>
  <c r="J91" i="31"/>
  <c r="J94" i="31" s="1"/>
  <c r="J73" i="31"/>
  <c r="K113" i="26"/>
  <c r="K85" i="26"/>
  <c r="K88" i="26" s="1"/>
  <c r="K89" i="26" s="1"/>
  <c r="K106" i="26" s="1"/>
  <c r="K67" i="26"/>
  <c r="N131" i="37" l="1"/>
  <c r="N132" i="37"/>
  <c r="N173" i="37"/>
  <c r="N102" i="37"/>
  <c r="O99" i="37" s="1"/>
  <c r="J91" i="18"/>
  <c r="J64" i="18"/>
  <c r="J105" i="18" s="1"/>
  <c r="J106" i="18" s="1"/>
  <c r="R51" i="8"/>
  <c r="R49" i="8" s="1"/>
  <c r="R74" i="8" s="1"/>
  <c r="P47" i="30"/>
  <c r="P45" i="30" s="1"/>
  <c r="P70" i="30" s="1"/>
  <c r="AL106" i="1"/>
  <c r="AL104" i="1" s="1"/>
  <c r="AL105" i="1" s="1"/>
  <c r="AM103" i="1" s="1"/>
  <c r="K112" i="26"/>
  <c r="K117" i="26" s="1"/>
  <c r="K68" i="26"/>
  <c r="L66" i="26" s="1"/>
  <c r="J134" i="31"/>
  <c r="J135" i="31" s="1"/>
  <c r="J125" i="31"/>
  <c r="J129" i="31" s="1"/>
  <c r="J74" i="31"/>
  <c r="K72" i="31" s="1"/>
  <c r="K127" i="26"/>
  <c r="K128" i="26" s="1"/>
  <c r="J96" i="31"/>
  <c r="J97" i="31"/>
  <c r="J75" i="35"/>
  <c r="O104" i="37" l="1"/>
  <c r="N181" i="37"/>
  <c r="N182" i="37" s="1"/>
  <c r="N176" i="37"/>
  <c r="N134" i="37"/>
  <c r="N135" i="37" s="1"/>
  <c r="N136" i="37" s="1"/>
  <c r="N164" i="37" s="1"/>
  <c r="N133" i="37"/>
  <c r="O130" i="37" s="1"/>
  <c r="R50" i="8"/>
  <c r="S48" i="8" s="1"/>
  <c r="P46" i="30"/>
  <c r="Q44" i="30" s="1"/>
  <c r="Q47" i="30" s="1"/>
  <c r="Q45" i="30" s="1"/>
  <c r="Q70" i="30" s="1"/>
  <c r="J90" i="18"/>
  <c r="J95" i="18" s="1"/>
  <c r="J65" i="18"/>
  <c r="K63" i="18" s="1"/>
  <c r="S51" i="8"/>
  <c r="S49" i="8" s="1"/>
  <c r="S74" i="8" s="1"/>
  <c r="AM106" i="1"/>
  <c r="AM104" i="1" s="1"/>
  <c r="AM105" i="1" s="1"/>
  <c r="AN103" i="1" s="1"/>
  <c r="J91" i="35"/>
  <c r="J94" i="35" s="1"/>
  <c r="J100" i="35" s="1"/>
  <c r="J101" i="35" s="1"/>
  <c r="J119" i="35" s="1"/>
  <c r="J126" i="35"/>
  <c r="J73" i="35"/>
  <c r="L69" i="26"/>
  <c r="K75" i="31"/>
  <c r="J99" i="31"/>
  <c r="J100" i="31" s="1"/>
  <c r="J101" i="31" s="1"/>
  <c r="J119" i="31" s="1"/>
  <c r="J120" i="31" s="1"/>
  <c r="J98" i="31"/>
  <c r="K95" i="31" s="1"/>
  <c r="O174" i="37" l="1"/>
  <c r="O126" i="37"/>
  <c r="O129" i="37" s="1"/>
  <c r="O100" i="37"/>
  <c r="S50" i="8"/>
  <c r="T48" i="8" s="1"/>
  <c r="T51" i="8" s="1"/>
  <c r="T49" i="8" s="1"/>
  <c r="T74" i="8" s="1"/>
  <c r="K66" i="18"/>
  <c r="Q46" i="30"/>
  <c r="R44" i="30" s="1"/>
  <c r="AN106" i="1"/>
  <c r="AN104" i="1" s="1"/>
  <c r="AN105" i="1" s="1"/>
  <c r="AO103" i="1" s="1"/>
  <c r="K91" i="31"/>
  <c r="K94" i="31" s="1"/>
  <c r="K126" i="31"/>
  <c r="K73" i="31"/>
  <c r="K134" i="31" s="1"/>
  <c r="K135" i="31" s="1"/>
  <c r="L113" i="26"/>
  <c r="L85" i="26"/>
  <c r="L88" i="26" s="1"/>
  <c r="L89" i="26" s="1"/>
  <c r="L106" i="26" s="1"/>
  <c r="L67" i="26"/>
  <c r="J139" i="35"/>
  <c r="J140" i="35" s="1"/>
  <c r="J125" i="35"/>
  <c r="J129" i="35" s="1"/>
  <c r="J74" i="35"/>
  <c r="K72" i="35" s="1"/>
  <c r="O173" i="37" l="1"/>
  <c r="O102" i="37"/>
  <c r="P99" i="37" s="1"/>
  <c r="O132" i="37"/>
  <c r="O131" i="37"/>
  <c r="T50" i="8"/>
  <c r="U48" i="8" s="1"/>
  <c r="U51" i="8" s="1"/>
  <c r="U49" i="8" s="1"/>
  <c r="K91" i="18"/>
  <c r="K64" i="18"/>
  <c r="K105" i="18" s="1"/>
  <c r="K106" i="18" s="1"/>
  <c r="R47" i="30"/>
  <c r="R45" i="30" s="1"/>
  <c r="R70" i="30" s="1"/>
  <c r="AO106" i="1"/>
  <c r="AO104" i="1" s="1"/>
  <c r="AO105" i="1" s="1"/>
  <c r="AP103" i="1" s="1"/>
  <c r="K75" i="35"/>
  <c r="L127" i="26"/>
  <c r="L128" i="26" s="1"/>
  <c r="L112" i="26"/>
  <c r="L117" i="26" s="1"/>
  <c r="L68" i="26"/>
  <c r="M66" i="26" s="1"/>
  <c r="K97" i="31"/>
  <c r="K96" i="31"/>
  <c r="K125" i="31"/>
  <c r="K129" i="31" s="1"/>
  <c r="K74" i="31"/>
  <c r="L72" i="31" s="1"/>
  <c r="O134" i="37" l="1"/>
  <c r="O135" i="37" s="1"/>
  <c r="O136" i="37" s="1"/>
  <c r="O164" i="37" s="1"/>
  <c r="O133" i="37"/>
  <c r="P130" i="37" s="1"/>
  <c r="P104" i="37"/>
  <c r="O176" i="37"/>
  <c r="O181" i="37"/>
  <c r="O182" i="37" s="1"/>
  <c r="U74" i="8"/>
  <c r="U50" i="8"/>
  <c r="V48" i="8" s="1"/>
  <c r="V51" i="8" s="1"/>
  <c r="V49" i="8" s="1"/>
  <c r="V74" i="8" s="1"/>
  <c r="K90" i="18"/>
  <c r="K95" i="18" s="1"/>
  <c r="K65" i="18"/>
  <c r="L63" i="18" s="1"/>
  <c r="R46" i="30"/>
  <c r="S44" i="30" s="1"/>
  <c r="M69" i="26"/>
  <c r="K126" i="35"/>
  <c r="K91" i="35"/>
  <c r="K94" i="35" s="1"/>
  <c r="K100" i="35" s="1"/>
  <c r="K101" i="35" s="1"/>
  <c r="K119" i="35" s="1"/>
  <c r="K73" i="35"/>
  <c r="K139" i="35" s="1"/>
  <c r="K140" i="35" s="1"/>
  <c r="AP106" i="1"/>
  <c r="AP104" i="1" s="1"/>
  <c r="AP105" i="1" s="1"/>
  <c r="AQ103" i="1" s="1"/>
  <c r="L75" i="31"/>
  <c r="K99" i="31"/>
  <c r="K100" i="31" s="1"/>
  <c r="K101" i="31" s="1"/>
  <c r="K119" i="31" s="1"/>
  <c r="K120" i="31" s="1"/>
  <c r="K98" i="31"/>
  <c r="L95" i="31" s="1"/>
  <c r="P174" i="37" l="1"/>
  <c r="P126" i="37"/>
  <c r="P129" i="37" s="1"/>
  <c r="P100" i="37"/>
  <c r="V50" i="8"/>
  <c r="W48" i="8" s="1"/>
  <c r="W51" i="8" s="1"/>
  <c r="W49" i="8" s="1"/>
  <c r="W74" i="8" s="1"/>
  <c r="L66" i="18"/>
  <c r="S47" i="30"/>
  <c r="S45" i="30" s="1"/>
  <c r="S70" i="30" s="1"/>
  <c r="AQ106" i="1"/>
  <c r="AQ104" i="1" s="1"/>
  <c r="AQ105" i="1" s="1"/>
  <c r="AR103" i="1" s="1"/>
  <c r="K125" i="35"/>
  <c r="K129" i="35" s="1"/>
  <c r="K74" i="35"/>
  <c r="L72" i="35" s="1"/>
  <c r="L91" i="31"/>
  <c r="L94" i="31" s="1"/>
  <c r="L126" i="31"/>
  <c r="L73" i="31"/>
  <c r="M113" i="26"/>
  <c r="M85" i="26"/>
  <c r="M88" i="26" s="1"/>
  <c r="M89" i="26" s="1"/>
  <c r="M106" i="26" s="1"/>
  <c r="M67" i="26"/>
  <c r="P173" i="37" l="1"/>
  <c r="P102" i="37"/>
  <c r="Q99" i="37" s="1"/>
  <c r="P131" i="37"/>
  <c r="P132" i="37"/>
  <c r="L91" i="18"/>
  <c r="L64" i="18"/>
  <c r="L105" i="18" s="1"/>
  <c r="L106" i="18" s="1"/>
  <c r="S46" i="30"/>
  <c r="T44" i="30" s="1"/>
  <c r="T47" i="30" s="1"/>
  <c r="T45" i="30" s="1"/>
  <c r="T70" i="30" s="1"/>
  <c r="W50" i="8"/>
  <c r="X48" i="8" s="1"/>
  <c r="AR106" i="1"/>
  <c r="AR104" i="1" s="1"/>
  <c r="AR105" i="1" s="1"/>
  <c r="AS103" i="1" s="1"/>
  <c r="L96" i="31"/>
  <c r="L97" i="31"/>
  <c r="L75" i="35"/>
  <c r="L125" i="31"/>
  <c r="L129" i="31" s="1"/>
  <c r="L74" i="31"/>
  <c r="M72" i="31" s="1"/>
  <c r="L134" i="31"/>
  <c r="L135" i="31" s="1"/>
  <c r="M127" i="26"/>
  <c r="M128" i="26" s="1"/>
  <c r="M112" i="26"/>
  <c r="M117" i="26" s="1"/>
  <c r="M68" i="26"/>
  <c r="N66" i="26" s="1"/>
  <c r="P134" i="37" l="1"/>
  <c r="P135" i="37" s="1"/>
  <c r="P136" i="37" s="1"/>
  <c r="P164" i="37" s="1"/>
  <c r="P133" i="37"/>
  <c r="Q130" i="37" s="1"/>
  <c r="Q104" i="37"/>
  <c r="P181" i="37"/>
  <c r="P182" i="37" s="1"/>
  <c r="P176" i="37"/>
  <c r="L90" i="18"/>
  <c r="L95" i="18" s="1"/>
  <c r="L65" i="18"/>
  <c r="M63" i="18" s="1"/>
  <c r="X51" i="8"/>
  <c r="X49" i="8" s="1"/>
  <c r="X74" i="8" s="1"/>
  <c r="T46" i="30"/>
  <c r="U44" i="30" s="1"/>
  <c r="AS106" i="1"/>
  <c r="AS104" i="1" s="1"/>
  <c r="AS105" i="1" s="1"/>
  <c r="AT103" i="1" s="1"/>
  <c r="M75" i="31"/>
  <c r="N69" i="26"/>
  <c r="L99" i="31"/>
  <c r="L100" i="31" s="1"/>
  <c r="L101" i="31" s="1"/>
  <c r="L119" i="31" s="1"/>
  <c r="L120" i="31" s="1"/>
  <c r="L98" i="31"/>
  <c r="M95" i="31" s="1"/>
  <c r="L126" i="35"/>
  <c r="L91" i="35"/>
  <c r="L94" i="35" s="1"/>
  <c r="L100" i="35" s="1"/>
  <c r="L101" i="35" s="1"/>
  <c r="L119" i="35" s="1"/>
  <c r="L73" i="35"/>
  <c r="Q174" i="37" l="1"/>
  <c r="Q126" i="37"/>
  <c r="Q129" i="37" s="1"/>
  <c r="Q100" i="37"/>
  <c r="X50" i="8"/>
  <c r="Y48" i="8" s="1"/>
  <c r="Y51" i="8" s="1"/>
  <c r="Y49" i="8" s="1"/>
  <c r="Y74" i="8" s="1"/>
  <c r="M66" i="18"/>
  <c r="U47" i="30"/>
  <c r="U45" i="30" s="1"/>
  <c r="U70" i="30" s="1"/>
  <c r="AT106" i="1"/>
  <c r="AT104" i="1" s="1"/>
  <c r="AT105" i="1" s="1"/>
  <c r="AU103" i="1" s="1"/>
  <c r="M91" i="31"/>
  <c r="M94" i="31" s="1"/>
  <c r="M126" i="31"/>
  <c r="M73" i="31"/>
  <c r="L139" i="35"/>
  <c r="L140" i="35" s="1"/>
  <c r="L125" i="35"/>
  <c r="L129" i="35" s="1"/>
  <c r="L74" i="35"/>
  <c r="M72" i="35" s="1"/>
  <c r="N113" i="26"/>
  <c r="N85" i="26"/>
  <c r="N88" i="26" s="1"/>
  <c r="N89" i="26" s="1"/>
  <c r="N106" i="26" s="1"/>
  <c r="N67" i="26"/>
  <c r="Q173" i="37" l="1"/>
  <c r="Q102" i="37"/>
  <c r="R99" i="37" s="1"/>
  <c r="Q132" i="37"/>
  <c r="Q131" i="37"/>
  <c r="M64" i="18"/>
  <c r="M105" i="18" s="1"/>
  <c r="M106" i="18" s="1"/>
  <c r="M91" i="18"/>
  <c r="Y50" i="8"/>
  <c r="Z48" i="8" s="1"/>
  <c r="U46" i="30"/>
  <c r="V44" i="30" s="1"/>
  <c r="AU106" i="1"/>
  <c r="AU104" i="1" s="1"/>
  <c r="AU105" i="1" s="1"/>
  <c r="AV103" i="1" s="1"/>
  <c r="N127" i="26"/>
  <c r="N128" i="26" s="1"/>
  <c r="N112" i="26"/>
  <c r="N117" i="26" s="1"/>
  <c r="N68" i="26"/>
  <c r="O66" i="26" s="1"/>
  <c r="M75" i="35"/>
  <c r="M97" i="31"/>
  <c r="M96" i="31"/>
  <c r="M125" i="31"/>
  <c r="M129" i="31" s="1"/>
  <c r="M74" i="31"/>
  <c r="N72" i="31" s="1"/>
  <c r="M134" i="31"/>
  <c r="M135" i="31" s="1"/>
  <c r="Q134" i="37" l="1"/>
  <c r="Q135" i="37" s="1"/>
  <c r="Q136" i="37" s="1"/>
  <c r="Q164" i="37" s="1"/>
  <c r="Q133" i="37"/>
  <c r="R130" i="37" s="1"/>
  <c r="R104" i="37"/>
  <c r="Q181" i="37"/>
  <c r="Q182" i="37" s="1"/>
  <c r="Q176" i="37"/>
  <c r="M90" i="18"/>
  <c r="M95" i="18" s="1"/>
  <c r="M65" i="18"/>
  <c r="N63" i="18" s="1"/>
  <c r="Z51" i="8"/>
  <c r="Z49" i="8" s="1"/>
  <c r="Z74" i="8" s="1"/>
  <c r="V47" i="30"/>
  <c r="V45" i="30" s="1"/>
  <c r="V70" i="30" s="1"/>
  <c r="AV106" i="1"/>
  <c r="AV104" i="1" s="1"/>
  <c r="AV105" i="1" s="1"/>
  <c r="AW103" i="1" s="1"/>
  <c r="N75" i="31"/>
  <c r="M99" i="31"/>
  <c r="M100" i="31" s="1"/>
  <c r="M101" i="31" s="1"/>
  <c r="M119" i="31" s="1"/>
  <c r="M120" i="31" s="1"/>
  <c r="M98" i="31"/>
  <c r="N95" i="31" s="1"/>
  <c r="M126" i="35"/>
  <c r="M91" i="35"/>
  <c r="M94" i="35" s="1"/>
  <c r="M100" i="35" s="1"/>
  <c r="M101" i="35" s="1"/>
  <c r="M119" i="35" s="1"/>
  <c r="M73" i="35"/>
  <c r="O69" i="26"/>
  <c r="R174" i="37" l="1"/>
  <c r="R126" i="37"/>
  <c r="R129" i="37" s="1"/>
  <c r="R100" i="37"/>
  <c r="Z50" i="8"/>
  <c r="AA48" i="8" s="1"/>
  <c r="N66" i="18"/>
  <c r="V46" i="30"/>
  <c r="W44" i="30" s="1"/>
  <c r="N126" i="31"/>
  <c r="N91" i="31"/>
  <c r="N94" i="31" s="1"/>
  <c r="N73" i="31"/>
  <c r="M125" i="35"/>
  <c r="M129" i="35" s="1"/>
  <c r="M74" i="35"/>
  <c r="N72" i="35" s="1"/>
  <c r="AW106" i="1"/>
  <c r="AW104" i="1" s="1"/>
  <c r="AW105" i="1" s="1"/>
  <c r="AX103" i="1" s="1"/>
  <c r="O113" i="26"/>
  <c r="O85" i="26"/>
  <c r="O88" i="26" s="1"/>
  <c r="O89" i="26" s="1"/>
  <c r="O106" i="26" s="1"/>
  <c r="O67" i="26"/>
  <c r="O127" i="26" s="1"/>
  <c r="O128" i="26" s="1"/>
  <c r="M139" i="35"/>
  <c r="M140" i="35" s="1"/>
  <c r="R173" i="37" l="1"/>
  <c r="R102" i="37"/>
  <c r="S99" i="37" s="1"/>
  <c r="R132" i="37"/>
  <c r="R131" i="37"/>
  <c r="N91" i="18"/>
  <c r="N64" i="18"/>
  <c r="N105" i="18" s="1"/>
  <c r="N106" i="18" s="1"/>
  <c r="AA51" i="8"/>
  <c r="AA49" i="8" s="1"/>
  <c r="AA74" i="8" s="1"/>
  <c r="W47" i="30"/>
  <c r="W45" i="30" s="1"/>
  <c r="W70" i="30" s="1"/>
  <c r="O112" i="26"/>
  <c r="O117" i="26" s="1"/>
  <c r="O68" i="26"/>
  <c r="P66" i="26" s="1"/>
  <c r="N75" i="35"/>
  <c r="N96" i="31"/>
  <c r="N97" i="31"/>
  <c r="AX106" i="1"/>
  <c r="AX104" i="1" s="1"/>
  <c r="AX105" i="1" s="1"/>
  <c r="AY103" i="1" s="1"/>
  <c r="N125" i="31"/>
  <c r="N129" i="31" s="1"/>
  <c r="N74" i="31"/>
  <c r="O72" i="31" s="1"/>
  <c r="N134" i="31"/>
  <c r="N135" i="31" s="1"/>
  <c r="R134" i="37" l="1"/>
  <c r="R135" i="37" s="1"/>
  <c r="R136" i="37" s="1"/>
  <c r="R164" i="37" s="1"/>
  <c r="R133" i="37"/>
  <c r="S130" i="37" s="1"/>
  <c r="S104" i="37"/>
  <c r="R176" i="37"/>
  <c r="R181" i="37"/>
  <c r="R182" i="37" s="1"/>
  <c r="N90" i="18"/>
  <c r="N95" i="18" s="1"/>
  <c r="N65" i="18"/>
  <c r="O63" i="18" s="1"/>
  <c r="AA50" i="8"/>
  <c r="AB48" i="8" s="1"/>
  <c r="W46" i="30"/>
  <c r="X44" i="30" s="1"/>
  <c r="X47" i="30" s="1"/>
  <c r="X45" i="30" s="1"/>
  <c r="X70" i="30" s="1"/>
  <c r="AY106" i="1"/>
  <c r="AY104" i="1" s="1"/>
  <c r="AY105" i="1" s="1"/>
  <c r="AZ103" i="1" s="1"/>
  <c r="N126" i="35"/>
  <c r="N91" i="35"/>
  <c r="N94" i="35" s="1"/>
  <c r="N100" i="35" s="1"/>
  <c r="N101" i="35" s="1"/>
  <c r="N119" i="35" s="1"/>
  <c r="N73" i="35"/>
  <c r="P69" i="26"/>
  <c r="O75" i="31"/>
  <c r="N99" i="31"/>
  <c r="N100" i="31" s="1"/>
  <c r="N101" i="31" s="1"/>
  <c r="N119" i="31" s="1"/>
  <c r="N120" i="31" s="1"/>
  <c r="N98" i="31"/>
  <c r="O95" i="31" s="1"/>
  <c r="S174" i="37" l="1"/>
  <c r="S126" i="37"/>
  <c r="S129" i="37" s="1"/>
  <c r="S100" i="37"/>
  <c r="AB51" i="8"/>
  <c r="AB49" i="8" s="1"/>
  <c r="AB74" i="8" s="1"/>
  <c r="X46" i="30"/>
  <c r="Y44" i="30" s="1"/>
  <c r="Y47" i="30" s="1"/>
  <c r="Y45" i="30" s="1"/>
  <c r="O66" i="18"/>
  <c r="AZ106" i="1"/>
  <c r="AZ104" i="1" s="1"/>
  <c r="AZ105" i="1" s="1"/>
  <c r="BA103" i="1" s="1"/>
  <c r="P85" i="26"/>
  <c r="P88" i="26" s="1"/>
  <c r="P89" i="26" s="1"/>
  <c r="P106" i="26" s="1"/>
  <c r="P113" i="26"/>
  <c r="P67" i="26"/>
  <c r="O126" i="31"/>
  <c r="O91" i="31"/>
  <c r="O94" i="31" s="1"/>
  <c r="O73" i="31"/>
  <c r="N125" i="35"/>
  <c r="N129" i="35" s="1"/>
  <c r="N74" i="35"/>
  <c r="O72" i="35" s="1"/>
  <c r="N139" i="35"/>
  <c r="N140" i="35" s="1"/>
  <c r="S173" i="37" l="1"/>
  <c r="S102" i="37"/>
  <c r="T99" i="37" s="1"/>
  <c r="S132" i="37"/>
  <c r="S131" i="37"/>
  <c r="Y70" i="30"/>
  <c r="Y46" i="30"/>
  <c r="Z44" i="30" s="1"/>
  <c r="O91" i="18"/>
  <c r="O64" i="18"/>
  <c r="AB50" i="8"/>
  <c r="AC48" i="8" s="1"/>
  <c r="Z47" i="30"/>
  <c r="Z45" i="30" s="1"/>
  <c r="Z70" i="30" s="1"/>
  <c r="BA106" i="1"/>
  <c r="BA104" i="1" s="1"/>
  <c r="BA105" i="1" s="1"/>
  <c r="BB103" i="1" s="1"/>
  <c r="O134" i="31"/>
  <c r="O135" i="31" s="1"/>
  <c r="O125" i="31"/>
  <c r="O129" i="31" s="1"/>
  <c r="O74" i="31"/>
  <c r="P72" i="31" s="1"/>
  <c r="O96" i="31"/>
  <c r="O97" i="31"/>
  <c r="O75" i="35"/>
  <c r="P127" i="26"/>
  <c r="P128" i="26" s="1"/>
  <c r="P112" i="26"/>
  <c r="P117" i="26" s="1"/>
  <c r="P68" i="26"/>
  <c r="Q66" i="26" s="1"/>
  <c r="S134" i="37" l="1"/>
  <c r="S135" i="37" s="1"/>
  <c r="S136" i="37" s="1"/>
  <c r="S164" i="37" s="1"/>
  <c r="S133" i="37"/>
  <c r="T130" i="37" s="1"/>
  <c r="T104" i="37"/>
  <c r="S176" i="37"/>
  <c r="S181" i="37"/>
  <c r="S182" i="37" s="1"/>
  <c r="O90" i="18"/>
  <c r="O95" i="18" s="1"/>
  <c r="O65" i="18"/>
  <c r="P63" i="18" s="1"/>
  <c r="AC51" i="8"/>
  <c r="AC49" i="8" s="1"/>
  <c r="AC74" i="8" s="1"/>
  <c r="O105" i="18"/>
  <c r="O106" i="18" s="1"/>
  <c r="Z46" i="30"/>
  <c r="AA44" i="30" s="1"/>
  <c r="BB106" i="1"/>
  <c r="BB104" i="1" s="1"/>
  <c r="BB105" i="1" s="1"/>
  <c r="BC103" i="1" s="1"/>
  <c r="O91" i="35"/>
  <c r="O94" i="35" s="1"/>
  <c r="O100" i="35" s="1"/>
  <c r="O101" i="35" s="1"/>
  <c r="O119" i="35" s="1"/>
  <c r="O126" i="35"/>
  <c r="O73" i="35"/>
  <c r="Q69" i="26"/>
  <c r="O99" i="31"/>
  <c r="O100" i="31" s="1"/>
  <c r="O101" i="31" s="1"/>
  <c r="O119" i="31" s="1"/>
  <c r="O120" i="31" s="1"/>
  <c r="O98" i="31"/>
  <c r="P95" i="31" s="1"/>
  <c r="P75" i="31"/>
  <c r="T174" i="37" l="1"/>
  <c r="T126" i="37"/>
  <c r="T129" i="37" s="1"/>
  <c r="T100" i="37"/>
  <c r="AC50" i="8"/>
  <c r="AD48" i="8" s="1"/>
  <c r="P66" i="18"/>
  <c r="AA47" i="30"/>
  <c r="AA45" i="30" s="1"/>
  <c r="AA70" i="30" s="1"/>
  <c r="BC106" i="1"/>
  <c r="BC104" i="1" s="1"/>
  <c r="BC105" i="1" s="1"/>
  <c r="BD103" i="1" s="1"/>
  <c r="P126" i="31"/>
  <c r="P91" i="31"/>
  <c r="P94" i="31" s="1"/>
  <c r="P73" i="31"/>
  <c r="P134" i="31" s="1"/>
  <c r="P135" i="31" s="1"/>
  <c r="Q85" i="26"/>
  <c r="Q88" i="26" s="1"/>
  <c r="Q89" i="26" s="1"/>
  <c r="Q106" i="26" s="1"/>
  <c r="Q113" i="26"/>
  <c r="Q67" i="26"/>
  <c r="O139" i="35"/>
  <c r="O140" i="35" s="1"/>
  <c r="O125" i="35"/>
  <c r="O129" i="35" s="1"/>
  <c r="O74" i="35"/>
  <c r="P72" i="35" s="1"/>
  <c r="T173" i="37" l="1"/>
  <c r="T102" i="37"/>
  <c r="U99" i="37" s="1"/>
  <c r="T132" i="37"/>
  <c r="T131" i="37"/>
  <c r="P64" i="18"/>
  <c r="P105" i="18" s="1"/>
  <c r="P106" i="18" s="1"/>
  <c r="P91" i="18"/>
  <c r="AD51" i="8"/>
  <c r="AD49" i="8" s="1"/>
  <c r="AD74" i="8" s="1"/>
  <c r="AA46" i="30"/>
  <c r="AB44" i="30" s="1"/>
  <c r="BD106" i="1"/>
  <c r="BD104" i="1" s="1"/>
  <c r="BD105" i="1" s="1"/>
  <c r="BE103" i="1" s="1"/>
  <c r="P75" i="35"/>
  <c r="P125" i="31"/>
  <c r="P129" i="31" s="1"/>
  <c r="P74" i="31"/>
  <c r="Q72" i="31" s="1"/>
  <c r="P97" i="31"/>
  <c r="P96" i="31"/>
  <c r="Q127" i="26"/>
  <c r="Q128" i="26" s="1"/>
  <c r="Q112" i="26"/>
  <c r="Q117" i="26" s="1"/>
  <c r="Q68" i="26"/>
  <c r="R66" i="26" s="1"/>
  <c r="T134" i="37" l="1"/>
  <c r="T135" i="37" s="1"/>
  <c r="T136" i="37" s="1"/>
  <c r="T164" i="37" s="1"/>
  <c r="T133" i="37"/>
  <c r="U130" i="37" s="1"/>
  <c r="U104" i="37"/>
  <c r="T176" i="37"/>
  <c r="T181" i="37"/>
  <c r="T182" i="37" s="1"/>
  <c r="AD50" i="8"/>
  <c r="AE48" i="8" s="1"/>
  <c r="P90" i="18"/>
  <c r="P95" i="18" s="1"/>
  <c r="P65" i="18"/>
  <c r="Q63" i="18" s="1"/>
  <c r="AB47" i="30"/>
  <c r="AB45" i="30" s="1"/>
  <c r="AB70" i="30" s="1"/>
  <c r="BE106" i="1"/>
  <c r="BE104" i="1" s="1"/>
  <c r="BE105" i="1" s="1"/>
  <c r="BF103" i="1" s="1"/>
  <c r="Q75" i="31"/>
  <c r="P99" i="31"/>
  <c r="P100" i="31" s="1"/>
  <c r="P101" i="31" s="1"/>
  <c r="P119" i="31" s="1"/>
  <c r="P120" i="31" s="1"/>
  <c r="P98" i="31"/>
  <c r="Q95" i="31" s="1"/>
  <c r="R69" i="26"/>
  <c r="P91" i="35"/>
  <c r="P94" i="35" s="1"/>
  <c r="P100" i="35" s="1"/>
  <c r="P101" i="35" s="1"/>
  <c r="P119" i="35" s="1"/>
  <c r="P126" i="35"/>
  <c r="P73" i="35"/>
  <c r="U174" i="37" l="1"/>
  <c r="U126" i="37"/>
  <c r="U129" i="37" s="1"/>
  <c r="U100" i="37"/>
  <c r="Q66" i="18"/>
  <c r="AE51" i="8"/>
  <c r="AE49" i="8" s="1"/>
  <c r="AE74" i="8" s="1"/>
  <c r="AB46" i="30"/>
  <c r="AC44" i="30" s="1"/>
  <c r="BF106" i="1"/>
  <c r="BF104" i="1" s="1"/>
  <c r="BF105" i="1" s="1"/>
  <c r="BG103" i="1" s="1"/>
  <c r="R113" i="26"/>
  <c r="R85" i="26"/>
  <c r="R88" i="26" s="1"/>
  <c r="R89" i="26" s="1"/>
  <c r="R106" i="26" s="1"/>
  <c r="R67" i="26"/>
  <c r="Q126" i="31"/>
  <c r="Q91" i="31"/>
  <c r="Q94" i="31" s="1"/>
  <c r="Q73" i="31"/>
  <c r="P125" i="35"/>
  <c r="P129" i="35" s="1"/>
  <c r="P74" i="35"/>
  <c r="Q72" i="35" s="1"/>
  <c r="P139" i="35"/>
  <c r="P140" i="35" s="1"/>
  <c r="U173" i="37" l="1"/>
  <c r="U102" i="37"/>
  <c r="V99" i="37" s="1"/>
  <c r="U132" i="37"/>
  <c r="U131" i="37"/>
  <c r="AE50" i="8"/>
  <c r="AF48" i="8" s="1"/>
  <c r="Q91" i="18"/>
  <c r="Q64" i="18"/>
  <c r="Q105" i="18" s="1"/>
  <c r="Q106" i="18" s="1"/>
  <c r="AC47" i="30"/>
  <c r="AC45" i="30" s="1"/>
  <c r="AC70" i="30" s="1"/>
  <c r="BG106" i="1"/>
  <c r="BG104" i="1" s="1"/>
  <c r="BG105" i="1" s="1"/>
  <c r="BH103" i="1" s="1"/>
  <c r="Q96" i="31"/>
  <c r="Q97" i="31"/>
  <c r="Q75" i="35"/>
  <c r="Q125" i="31"/>
  <c r="Q129" i="31" s="1"/>
  <c r="Q74" i="31"/>
  <c r="R72" i="31" s="1"/>
  <c r="R112" i="26"/>
  <c r="R117" i="26" s="1"/>
  <c r="R68" i="26"/>
  <c r="S66" i="26" s="1"/>
  <c r="Q134" i="31"/>
  <c r="Q135" i="31" s="1"/>
  <c r="R127" i="26"/>
  <c r="R128" i="26" s="1"/>
  <c r="U134" i="37" l="1"/>
  <c r="U135" i="37" s="1"/>
  <c r="U136" i="37" s="1"/>
  <c r="U164" i="37" s="1"/>
  <c r="U133" i="37"/>
  <c r="V130" i="37" s="1"/>
  <c r="V104" i="37"/>
  <c r="U181" i="37"/>
  <c r="U182" i="37" s="1"/>
  <c r="U176" i="37"/>
  <c r="Q90" i="18"/>
  <c r="Q95" i="18" s="1"/>
  <c r="Q65" i="18"/>
  <c r="R63" i="18" s="1"/>
  <c r="AF51" i="8"/>
  <c r="AF49" i="8" s="1"/>
  <c r="AF74" i="8" s="1"/>
  <c r="AC46" i="30"/>
  <c r="AD44" i="30" s="1"/>
  <c r="BH106" i="1"/>
  <c r="BH104" i="1" s="1"/>
  <c r="BH105" i="1" s="1"/>
  <c r="BI103" i="1" s="1"/>
  <c r="R75" i="31"/>
  <c r="Q99" i="31"/>
  <c r="Q100" i="31" s="1"/>
  <c r="Q101" i="31" s="1"/>
  <c r="Q119" i="31" s="1"/>
  <c r="Q120" i="31" s="1"/>
  <c r="Q98" i="31"/>
  <c r="R95" i="31" s="1"/>
  <c r="Q126" i="35"/>
  <c r="Q91" i="35"/>
  <c r="Q94" i="35" s="1"/>
  <c r="Q100" i="35" s="1"/>
  <c r="Q101" i="35" s="1"/>
  <c r="Q119" i="35" s="1"/>
  <c r="Q73" i="35"/>
  <c r="S69" i="26"/>
  <c r="V174" i="37" l="1"/>
  <c r="V126" i="37"/>
  <c r="V129" i="37" s="1"/>
  <c r="V100" i="37"/>
  <c r="AF50" i="8"/>
  <c r="AG48" i="8" s="1"/>
  <c r="R66" i="18"/>
  <c r="AD47" i="30"/>
  <c r="AD45" i="30" s="1"/>
  <c r="AD70" i="30" s="1"/>
  <c r="BI106" i="1"/>
  <c r="BI104" i="1" s="1"/>
  <c r="BI105" i="1" s="1"/>
  <c r="BJ103" i="1" s="1"/>
  <c r="Q139" i="35"/>
  <c r="Q140" i="35" s="1"/>
  <c r="Q125" i="35"/>
  <c r="Q129" i="35" s="1"/>
  <c r="Q74" i="35"/>
  <c r="R72" i="35" s="1"/>
  <c r="R126" i="31"/>
  <c r="R91" i="31"/>
  <c r="R94" i="31" s="1"/>
  <c r="R73" i="31"/>
  <c r="S85" i="26"/>
  <c r="S88" i="26" s="1"/>
  <c r="S89" i="26" s="1"/>
  <c r="S106" i="26" s="1"/>
  <c r="S113" i="26"/>
  <c r="S67" i="26"/>
  <c r="V173" i="37" l="1"/>
  <c r="V102" i="37"/>
  <c r="W99" i="37" s="1"/>
  <c r="V131" i="37"/>
  <c r="V132" i="37"/>
  <c r="R64" i="18"/>
  <c r="R105" i="18" s="1"/>
  <c r="R106" i="18" s="1"/>
  <c r="R91" i="18"/>
  <c r="AD46" i="30"/>
  <c r="AE44" i="30" s="1"/>
  <c r="AE47" i="30" s="1"/>
  <c r="AE45" i="30" s="1"/>
  <c r="AE70" i="30" s="1"/>
  <c r="AG51" i="8"/>
  <c r="AG49" i="8" s="1"/>
  <c r="AG74" i="8" s="1"/>
  <c r="BJ106" i="1"/>
  <c r="BJ104" i="1" s="1"/>
  <c r="BJ105" i="1" s="1"/>
  <c r="BK103" i="1" s="1"/>
  <c r="R125" i="31"/>
  <c r="R129" i="31" s="1"/>
  <c r="R74" i="31"/>
  <c r="S72" i="31" s="1"/>
  <c r="S112" i="26"/>
  <c r="S117" i="26" s="1"/>
  <c r="S68" i="26"/>
  <c r="T66" i="26" s="1"/>
  <c r="R134" i="31"/>
  <c r="R135" i="31" s="1"/>
  <c r="S127" i="26"/>
  <c r="S128" i="26" s="1"/>
  <c r="R96" i="31"/>
  <c r="R97" i="31"/>
  <c r="R75" i="35"/>
  <c r="V134" i="37" l="1"/>
  <c r="V135" i="37" s="1"/>
  <c r="V136" i="37" s="1"/>
  <c r="V164" i="37" s="1"/>
  <c r="V133" i="37"/>
  <c r="W130" i="37" s="1"/>
  <c r="W104" i="37"/>
  <c r="V181" i="37"/>
  <c r="V182" i="37" s="1"/>
  <c r="V176" i="37"/>
  <c r="AE46" i="30"/>
  <c r="AF44" i="30" s="1"/>
  <c r="AG50" i="8"/>
  <c r="AH48" i="8" s="1"/>
  <c r="R90" i="18"/>
  <c r="R95" i="18" s="1"/>
  <c r="R65" i="18"/>
  <c r="S63" i="18" s="1"/>
  <c r="AF47" i="30"/>
  <c r="AF45" i="30" s="1"/>
  <c r="AF70" i="30" s="1"/>
  <c r="BK106" i="1"/>
  <c r="BK104" i="1" s="1"/>
  <c r="BK105" i="1" s="1"/>
  <c r="BL103" i="1" s="1"/>
  <c r="S75" i="31"/>
  <c r="T69" i="26"/>
  <c r="R126" i="35"/>
  <c r="R91" i="35"/>
  <c r="R94" i="35" s="1"/>
  <c r="R100" i="35" s="1"/>
  <c r="R101" i="35" s="1"/>
  <c r="R119" i="35" s="1"/>
  <c r="R73" i="35"/>
  <c r="R139" i="35" s="1"/>
  <c r="R140" i="35" s="1"/>
  <c r="R99" i="31"/>
  <c r="R100" i="31" s="1"/>
  <c r="R101" i="31" s="1"/>
  <c r="R119" i="31" s="1"/>
  <c r="R120" i="31" s="1"/>
  <c r="R98" i="31"/>
  <c r="S95" i="31" s="1"/>
  <c r="W174" i="37" l="1"/>
  <c r="W126" i="37"/>
  <c r="W129" i="37" s="1"/>
  <c r="W100" i="37"/>
  <c r="S66" i="18"/>
  <c r="AH51" i="8"/>
  <c r="AH49" i="8" s="1"/>
  <c r="AH74" i="8" s="1"/>
  <c r="AF46" i="30"/>
  <c r="AG44" i="30" s="1"/>
  <c r="BL106" i="1"/>
  <c r="BL104" i="1" s="1"/>
  <c r="BL105" i="1" s="1"/>
  <c r="T85" i="26"/>
  <c r="T88" i="26" s="1"/>
  <c r="T89" i="26" s="1"/>
  <c r="T106" i="26" s="1"/>
  <c r="T113" i="26"/>
  <c r="T67" i="26"/>
  <c r="T127" i="26" s="1"/>
  <c r="T128" i="26" s="1"/>
  <c r="S91" i="31"/>
  <c r="S94" i="31" s="1"/>
  <c r="S126" i="31"/>
  <c r="S73" i="31"/>
  <c r="R125" i="35"/>
  <c r="R129" i="35" s="1"/>
  <c r="R74" i="35"/>
  <c r="S72" i="35" s="1"/>
  <c r="W173" i="37" l="1"/>
  <c r="W102" i="37"/>
  <c r="X99" i="37" s="1"/>
  <c r="W131" i="37"/>
  <c r="W132" i="37"/>
  <c r="AH50" i="8"/>
  <c r="AI48" i="8" s="1"/>
  <c r="S91" i="18"/>
  <c r="S64" i="18"/>
  <c r="S105" i="18" s="1"/>
  <c r="S106" i="18" s="1"/>
  <c r="AG47" i="30"/>
  <c r="AG45" i="30" s="1"/>
  <c r="AG70" i="30" s="1"/>
  <c r="D110" i="1"/>
  <c r="P1" i="1"/>
  <c r="S75" i="35"/>
  <c r="S134" i="31"/>
  <c r="S135" i="31" s="1"/>
  <c r="S125" i="31"/>
  <c r="S129" i="31" s="1"/>
  <c r="S74" i="31"/>
  <c r="T72" i="31" s="1"/>
  <c r="T112" i="26"/>
  <c r="T117" i="26" s="1"/>
  <c r="T68" i="26"/>
  <c r="U66" i="26" s="1"/>
  <c r="S97" i="31"/>
  <c r="S96" i="31"/>
  <c r="W181" i="37" l="1"/>
  <c r="W182" i="37" s="1"/>
  <c r="W176" i="37"/>
  <c r="W134" i="37"/>
  <c r="W135" i="37" s="1"/>
  <c r="W136" i="37" s="1"/>
  <c r="W164" i="37" s="1"/>
  <c r="W133" i="37"/>
  <c r="X130" i="37" s="1"/>
  <c r="X104" i="37"/>
  <c r="AG46" i="30"/>
  <c r="AH44" i="30" s="1"/>
  <c r="AH47" i="30" s="1"/>
  <c r="AH45" i="30" s="1"/>
  <c r="AH70" i="30" s="1"/>
  <c r="S90" i="18"/>
  <c r="S95" i="18" s="1"/>
  <c r="S65" i="18"/>
  <c r="T63" i="18" s="1"/>
  <c r="AI51" i="8"/>
  <c r="AI49" i="8" s="1"/>
  <c r="AI74" i="8" s="1"/>
  <c r="S99" i="31"/>
  <c r="S100" i="31" s="1"/>
  <c r="S101" i="31" s="1"/>
  <c r="S119" i="31" s="1"/>
  <c r="S120" i="31" s="1"/>
  <c r="S98" i="31"/>
  <c r="T95" i="31" s="1"/>
  <c r="T75" i="31"/>
  <c r="S126" i="35"/>
  <c r="S91" i="35"/>
  <c r="S94" i="35" s="1"/>
  <c r="S100" i="35" s="1"/>
  <c r="S101" i="35" s="1"/>
  <c r="S119" i="35" s="1"/>
  <c r="S73" i="35"/>
  <c r="U69" i="26"/>
  <c r="X174" i="37" l="1"/>
  <c r="X126" i="37"/>
  <c r="X129" i="37" s="1"/>
  <c r="X100" i="37"/>
  <c r="AI50" i="8"/>
  <c r="AJ48" i="8" s="1"/>
  <c r="T66" i="18"/>
  <c r="AH46" i="30"/>
  <c r="AI44" i="30" s="1"/>
  <c r="S125" i="35"/>
  <c r="S129" i="35" s="1"/>
  <c r="S74" i="35"/>
  <c r="T72" i="35" s="1"/>
  <c r="U113" i="26"/>
  <c r="U85" i="26"/>
  <c r="U88" i="26" s="1"/>
  <c r="U89" i="26" s="1"/>
  <c r="U106" i="26" s="1"/>
  <c r="U67" i="26"/>
  <c r="S139" i="35"/>
  <c r="S140" i="35" s="1"/>
  <c r="T126" i="31"/>
  <c r="T91" i="31"/>
  <c r="T94" i="31" s="1"/>
  <c r="T73" i="31"/>
  <c r="X173" i="37" l="1"/>
  <c r="X102" i="37"/>
  <c r="Y99" i="37" s="1"/>
  <c r="X132" i="37"/>
  <c r="X131" i="37"/>
  <c r="T91" i="18"/>
  <c r="T64" i="18"/>
  <c r="T105" i="18" s="1"/>
  <c r="T106" i="18" s="1"/>
  <c r="AJ51" i="8"/>
  <c r="AJ49" i="8" s="1"/>
  <c r="AJ74" i="8" s="1"/>
  <c r="AI47" i="30"/>
  <c r="AI45" i="30" s="1"/>
  <c r="AI70" i="30" s="1"/>
  <c r="T96" i="31"/>
  <c r="T97" i="31"/>
  <c r="T75" i="35"/>
  <c r="T125" i="31"/>
  <c r="T129" i="31" s="1"/>
  <c r="T74" i="31"/>
  <c r="U72" i="31" s="1"/>
  <c r="T134" i="31"/>
  <c r="T135" i="31" s="1"/>
  <c r="U127" i="26"/>
  <c r="U128" i="26" s="1"/>
  <c r="U112" i="26"/>
  <c r="U117" i="26" s="1"/>
  <c r="U68" i="26"/>
  <c r="V66" i="26" s="1"/>
  <c r="X181" i="37" l="1"/>
  <c r="X182" i="37" s="1"/>
  <c r="X176" i="37"/>
  <c r="X134" i="37"/>
  <c r="X135" i="37" s="1"/>
  <c r="X136" i="37" s="1"/>
  <c r="X164" i="37" s="1"/>
  <c r="X133" i="37"/>
  <c r="Y130" i="37" s="1"/>
  <c r="Y104" i="37"/>
  <c r="AI46" i="30"/>
  <c r="AJ44" i="30" s="1"/>
  <c r="T90" i="18"/>
  <c r="T95" i="18" s="1"/>
  <c r="T65" i="18"/>
  <c r="U63" i="18" s="1"/>
  <c r="AJ50" i="8"/>
  <c r="AK48" i="8" s="1"/>
  <c r="AJ47" i="30"/>
  <c r="AJ45" i="30" s="1"/>
  <c r="AJ70" i="30" s="1"/>
  <c r="T126" i="35"/>
  <c r="T91" i="35"/>
  <c r="T94" i="35" s="1"/>
  <c r="T100" i="35" s="1"/>
  <c r="T101" i="35" s="1"/>
  <c r="T119" i="35" s="1"/>
  <c r="T73" i="35"/>
  <c r="U75" i="31"/>
  <c r="V69" i="26"/>
  <c r="T99" i="31"/>
  <c r="T100" i="31" s="1"/>
  <c r="T101" i="31" s="1"/>
  <c r="T119" i="31" s="1"/>
  <c r="T120" i="31" s="1"/>
  <c r="T98" i="31"/>
  <c r="U95" i="31" s="1"/>
  <c r="Y174" i="37" l="1"/>
  <c r="Y126" i="37"/>
  <c r="Y129" i="37" s="1"/>
  <c r="Y100" i="37"/>
  <c r="AK51" i="8"/>
  <c r="AK49" i="8" s="1"/>
  <c r="AK74" i="8" s="1"/>
  <c r="U66" i="18"/>
  <c r="AJ46" i="30"/>
  <c r="AK44" i="30" s="1"/>
  <c r="AK47" i="30" s="1"/>
  <c r="AK45" i="30" s="1"/>
  <c r="AK70" i="30" s="1"/>
  <c r="U91" i="31"/>
  <c r="U94" i="31" s="1"/>
  <c r="U126" i="31"/>
  <c r="U73" i="31"/>
  <c r="U134" i="31" s="1"/>
  <c r="U135" i="31" s="1"/>
  <c r="V85" i="26"/>
  <c r="V88" i="26" s="1"/>
  <c r="V89" i="26" s="1"/>
  <c r="V106" i="26" s="1"/>
  <c r="V113" i="26"/>
  <c r="V67" i="26"/>
  <c r="T139" i="35"/>
  <c r="T140" i="35" s="1"/>
  <c r="T125" i="35"/>
  <c r="T129" i="35" s="1"/>
  <c r="T74" i="35"/>
  <c r="U72" i="35" s="1"/>
  <c r="Y173" i="37" l="1"/>
  <c r="Y102" i="37"/>
  <c r="Z99" i="37" s="1"/>
  <c r="Y131" i="37"/>
  <c r="Y132" i="37"/>
  <c r="AK50" i="8"/>
  <c r="AL48" i="8" s="1"/>
  <c r="AL51" i="8" s="1"/>
  <c r="AL49" i="8" s="1"/>
  <c r="AL74" i="8" s="1"/>
  <c r="U91" i="18"/>
  <c r="U64" i="18"/>
  <c r="U105" i="18" s="1"/>
  <c r="U106" i="18" s="1"/>
  <c r="AK46" i="30"/>
  <c r="AL44" i="30" s="1"/>
  <c r="U96" i="31"/>
  <c r="U97" i="31"/>
  <c r="V127" i="26"/>
  <c r="V128" i="26" s="1"/>
  <c r="V112" i="26"/>
  <c r="V117" i="26" s="1"/>
  <c r="V68" i="26"/>
  <c r="W66" i="26" s="1"/>
  <c r="U75" i="35"/>
  <c r="U125" i="31"/>
  <c r="U129" i="31" s="1"/>
  <c r="U74" i="31"/>
  <c r="V72" i="31" s="1"/>
  <c r="Y134" i="37" l="1"/>
  <c r="Y135" i="37" s="1"/>
  <c r="Y136" i="37" s="1"/>
  <c r="Y164" i="37" s="1"/>
  <c r="Y133" i="37"/>
  <c r="Z130" i="37" s="1"/>
  <c r="Z104" i="37"/>
  <c r="Y176" i="37"/>
  <c r="Y181" i="37"/>
  <c r="Y182" i="37" s="1"/>
  <c r="U90" i="18"/>
  <c r="U95" i="18" s="1"/>
  <c r="U65" i="18"/>
  <c r="V63" i="18" s="1"/>
  <c r="AL50" i="8"/>
  <c r="AM48" i="8" s="1"/>
  <c r="AL47" i="30"/>
  <c r="AL45" i="30" s="1"/>
  <c r="AL70" i="30" s="1"/>
  <c r="W69" i="26"/>
  <c r="U126" i="35"/>
  <c r="U91" i="35"/>
  <c r="U94" i="35" s="1"/>
  <c r="U100" i="35" s="1"/>
  <c r="U101" i="35" s="1"/>
  <c r="U119" i="35" s="1"/>
  <c r="U73" i="35"/>
  <c r="U139" i="35" s="1"/>
  <c r="U140" i="35" s="1"/>
  <c r="V75" i="31"/>
  <c r="U99" i="31"/>
  <c r="U100" i="31" s="1"/>
  <c r="U101" i="31" s="1"/>
  <c r="U119" i="31" s="1"/>
  <c r="U120" i="31" s="1"/>
  <c r="U98" i="31"/>
  <c r="V95" i="31" s="1"/>
  <c r="Z174" i="37" l="1"/>
  <c r="Z126" i="37"/>
  <c r="Z129" i="37" s="1"/>
  <c r="Z100" i="37"/>
  <c r="AM51" i="8"/>
  <c r="AM49" i="8" s="1"/>
  <c r="AM74" i="8" s="1"/>
  <c r="V66" i="18"/>
  <c r="AL46" i="30"/>
  <c r="AM44" i="30" s="1"/>
  <c r="V91" i="31"/>
  <c r="V94" i="31" s="1"/>
  <c r="V126" i="31"/>
  <c r="V73" i="31"/>
  <c r="U125" i="35"/>
  <c r="U129" i="35" s="1"/>
  <c r="U74" i="35"/>
  <c r="V72" i="35" s="1"/>
  <c r="W113" i="26"/>
  <c r="W85" i="26"/>
  <c r="W88" i="26" s="1"/>
  <c r="W89" i="26" s="1"/>
  <c r="W106" i="26" s="1"/>
  <c r="W67" i="26"/>
  <c r="W127" i="26" s="1"/>
  <c r="W128" i="26" s="1"/>
  <c r="Z173" i="37" l="1"/>
  <c r="Z102" i="37"/>
  <c r="AA99" i="37" s="1"/>
  <c r="Z132" i="37"/>
  <c r="Z131" i="37"/>
  <c r="V64" i="18"/>
  <c r="V105" i="18" s="1"/>
  <c r="V106" i="18" s="1"/>
  <c r="V91" i="18"/>
  <c r="AM50" i="8"/>
  <c r="AN48" i="8" s="1"/>
  <c r="AM47" i="30"/>
  <c r="AM45" i="30" s="1"/>
  <c r="AM70" i="30" s="1"/>
  <c r="W112" i="26"/>
  <c r="W117" i="26" s="1"/>
  <c r="W68" i="26"/>
  <c r="X66" i="26" s="1"/>
  <c r="V75" i="35"/>
  <c r="V97" i="31"/>
  <c r="V96" i="31"/>
  <c r="V134" i="31"/>
  <c r="V135" i="31" s="1"/>
  <c r="V125" i="31"/>
  <c r="V129" i="31" s="1"/>
  <c r="V74" i="31"/>
  <c r="W72" i="31" s="1"/>
  <c r="Z134" i="37" l="1"/>
  <c r="Z135" i="37" s="1"/>
  <c r="Z136" i="37" s="1"/>
  <c r="Z164" i="37" s="1"/>
  <c r="Z133" i="37"/>
  <c r="AA130" i="37" s="1"/>
  <c r="AA104" i="37"/>
  <c r="Z181" i="37"/>
  <c r="Z182" i="37" s="1"/>
  <c r="Z176" i="37"/>
  <c r="AN51" i="8"/>
  <c r="AN49" i="8" s="1"/>
  <c r="AN74" i="8" s="1"/>
  <c r="V90" i="18"/>
  <c r="V95" i="18" s="1"/>
  <c r="V65" i="18"/>
  <c r="W63" i="18" s="1"/>
  <c r="AM46" i="30"/>
  <c r="AN44" i="30" s="1"/>
  <c r="AN47" i="30" s="1"/>
  <c r="AN45" i="30" s="1"/>
  <c r="AN70" i="30" s="1"/>
  <c r="W75" i="31"/>
  <c r="V126" i="35"/>
  <c r="V91" i="35"/>
  <c r="V94" i="35" s="1"/>
  <c r="V100" i="35" s="1"/>
  <c r="V101" i="35" s="1"/>
  <c r="V119" i="35" s="1"/>
  <c r="V73" i="35"/>
  <c r="V139" i="35" s="1"/>
  <c r="V140" i="35" s="1"/>
  <c r="X69" i="26"/>
  <c r="V99" i="31"/>
  <c r="V100" i="31" s="1"/>
  <c r="V101" i="31" s="1"/>
  <c r="V119" i="31" s="1"/>
  <c r="V120" i="31" s="1"/>
  <c r="V98" i="31"/>
  <c r="W95" i="31" s="1"/>
  <c r="AA174" i="37" l="1"/>
  <c r="AA126" i="37"/>
  <c r="AA129" i="37" s="1"/>
  <c r="AA100" i="37"/>
  <c r="W66" i="18"/>
  <c r="AN50" i="8"/>
  <c r="AO48" i="8" s="1"/>
  <c r="AN46" i="30"/>
  <c r="AO44" i="30" s="1"/>
  <c r="W126" i="31"/>
  <c r="W91" i="31"/>
  <c r="W94" i="31" s="1"/>
  <c r="W73" i="31"/>
  <c r="W134" i="31" s="1"/>
  <c r="W135" i="31" s="1"/>
  <c r="X113" i="26"/>
  <c r="X85" i="26"/>
  <c r="X88" i="26" s="1"/>
  <c r="X89" i="26" s="1"/>
  <c r="X106" i="26" s="1"/>
  <c r="X67" i="26"/>
  <c r="V125" i="35"/>
  <c r="V129" i="35" s="1"/>
  <c r="V74" i="35"/>
  <c r="W72" i="35" s="1"/>
  <c r="AA173" i="37" l="1"/>
  <c r="AA102" i="37"/>
  <c r="AB99" i="37" s="1"/>
  <c r="AA131" i="37"/>
  <c r="AA132" i="37"/>
  <c r="AO51" i="8"/>
  <c r="AO49" i="8" s="1"/>
  <c r="AO74" i="8" s="1"/>
  <c r="W91" i="18"/>
  <c r="W64" i="18"/>
  <c r="W105" i="18" s="1"/>
  <c r="W106" i="18" s="1"/>
  <c r="AO47" i="30"/>
  <c r="AO45" i="30" s="1"/>
  <c r="AO70" i="30" s="1"/>
  <c r="W75" i="35"/>
  <c r="W125" i="31"/>
  <c r="W129" i="31" s="1"/>
  <c r="W74" i="31"/>
  <c r="X72" i="31" s="1"/>
  <c r="X127" i="26"/>
  <c r="X128" i="26" s="1"/>
  <c r="X112" i="26"/>
  <c r="X117" i="26" s="1"/>
  <c r="X68" i="26"/>
  <c r="Y66" i="26" s="1"/>
  <c r="W97" i="31"/>
  <c r="W96" i="31"/>
  <c r="AA134" i="37" l="1"/>
  <c r="AA135" i="37" s="1"/>
  <c r="AA136" i="37" s="1"/>
  <c r="AA164" i="37" s="1"/>
  <c r="AA133" i="37"/>
  <c r="AB130" i="37" s="1"/>
  <c r="AB104" i="37"/>
  <c r="AA181" i="37"/>
  <c r="AA182" i="37" s="1"/>
  <c r="AA176" i="37"/>
  <c r="AO46" i="30"/>
  <c r="AP44" i="30" s="1"/>
  <c r="W90" i="18"/>
  <c r="W95" i="18" s="1"/>
  <c r="W65" i="18"/>
  <c r="X63" i="18" s="1"/>
  <c r="AO50" i="8"/>
  <c r="AP48" i="8" s="1"/>
  <c r="AP47" i="30"/>
  <c r="AP45" i="30" s="1"/>
  <c r="AP70" i="30" s="1"/>
  <c r="X75" i="31"/>
  <c r="W99" i="31"/>
  <c r="W100" i="31" s="1"/>
  <c r="W101" i="31" s="1"/>
  <c r="W119" i="31" s="1"/>
  <c r="W120" i="31" s="1"/>
  <c r="W98" i="31"/>
  <c r="X95" i="31" s="1"/>
  <c r="Y69" i="26"/>
  <c r="W91" i="35"/>
  <c r="W94" i="35" s="1"/>
  <c r="W100" i="35" s="1"/>
  <c r="W101" i="35" s="1"/>
  <c r="W119" i="35" s="1"/>
  <c r="W126" i="35"/>
  <c r="W73" i="35"/>
  <c r="AB174" i="37" l="1"/>
  <c r="AB126" i="37"/>
  <c r="AB129" i="37" s="1"/>
  <c r="AB100" i="37"/>
  <c r="AP51" i="8"/>
  <c r="AP49" i="8" s="1"/>
  <c r="AP74" i="8" s="1"/>
  <c r="X66" i="18"/>
  <c r="AP46" i="30"/>
  <c r="AQ44" i="30" s="1"/>
  <c r="X126" i="31"/>
  <c r="X91" i="31"/>
  <c r="X94" i="31" s="1"/>
  <c r="X73" i="31"/>
  <c r="X134" i="31" s="1"/>
  <c r="X135" i="31" s="1"/>
  <c r="W139" i="35"/>
  <c r="W140" i="35" s="1"/>
  <c r="W125" i="35"/>
  <c r="W129" i="35" s="1"/>
  <c r="W74" i="35"/>
  <c r="X72" i="35" s="1"/>
  <c r="Y113" i="26"/>
  <c r="Y85" i="26"/>
  <c r="Y88" i="26" s="1"/>
  <c r="Y89" i="26" s="1"/>
  <c r="Y106" i="26" s="1"/>
  <c r="Y67" i="26"/>
  <c r="AB173" i="37" l="1"/>
  <c r="AB102" i="37"/>
  <c r="AC99" i="37" s="1"/>
  <c r="AB132" i="37"/>
  <c r="AB131" i="37"/>
  <c r="X64" i="18"/>
  <c r="X105" i="18" s="1"/>
  <c r="X106" i="18" s="1"/>
  <c r="X91" i="18"/>
  <c r="AP50" i="8"/>
  <c r="AQ48" i="8" s="1"/>
  <c r="AQ47" i="30"/>
  <c r="AQ45" i="30" s="1"/>
  <c r="AQ70" i="30" s="1"/>
  <c r="X75" i="35"/>
  <c r="X97" i="31"/>
  <c r="X96" i="31"/>
  <c r="Y127" i="26"/>
  <c r="Y128" i="26" s="1"/>
  <c r="Y112" i="26"/>
  <c r="Y117" i="26" s="1"/>
  <c r="Y68" i="26"/>
  <c r="Z66" i="26" s="1"/>
  <c r="X125" i="31"/>
  <c r="X129" i="31" s="1"/>
  <c r="X74" i="31"/>
  <c r="Y72" i="31" s="1"/>
  <c r="AC104" i="37" l="1"/>
  <c r="AB134" i="37"/>
  <c r="AB135" i="37" s="1"/>
  <c r="AB136" i="37" s="1"/>
  <c r="AB164" i="37" s="1"/>
  <c r="AB133" i="37"/>
  <c r="AC130" i="37" s="1"/>
  <c r="AB181" i="37"/>
  <c r="AB182" i="37" s="1"/>
  <c r="AB176" i="37"/>
  <c r="AQ51" i="8"/>
  <c r="AQ49" i="8" s="1"/>
  <c r="AQ74" i="8" s="1"/>
  <c r="X90" i="18"/>
  <c r="X95" i="18" s="1"/>
  <c r="X65" i="18"/>
  <c r="Y63" i="18" s="1"/>
  <c r="AQ46" i="30"/>
  <c r="AR44" i="30" s="1"/>
  <c r="X99" i="31"/>
  <c r="X100" i="31" s="1"/>
  <c r="X101" i="31" s="1"/>
  <c r="X119" i="31" s="1"/>
  <c r="X120" i="31" s="1"/>
  <c r="X98" i="31"/>
  <c r="Y95" i="31" s="1"/>
  <c r="Y75" i="31"/>
  <c r="X91" i="35"/>
  <c r="X94" i="35" s="1"/>
  <c r="X100" i="35" s="1"/>
  <c r="X101" i="35" s="1"/>
  <c r="X119" i="35" s="1"/>
  <c r="X126" i="35"/>
  <c r="X73" i="35"/>
  <c r="Z69" i="26"/>
  <c r="AC126" i="37" l="1"/>
  <c r="AC129" i="37" s="1"/>
  <c r="AC100" i="37"/>
  <c r="AC174" i="37"/>
  <c r="Y66" i="18"/>
  <c r="AQ50" i="8"/>
  <c r="AR48" i="8" s="1"/>
  <c r="AR47" i="30"/>
  <c r="AR45" i="30" s="1"/>
  <c r="AR70" i="30" s="1"/>
  <c r="Z113" i="26"/>
  <c r="Z85" i="26"/>
  <c r="Z88" i="26" s="1"/>
  <c r="Z89" i="26" s="1"/>
  <c r="Z106" i="26" s="1"/>
  <c r="Z67" i="26"/>
  <c r="X139" i="35"/>
  <c r="X140" i="35" s="1"/>
  <c r="X125" i="35"/>
  <c r="X129" i="35" s="1"/>
  <c r="X74" i="35"/>
  <c r="Y72" i="35" s="1"/>
  <c r="Y91" i="31"/>
  <c r="Y94" i="31" s="1"/>
  <c r="Y126" i="31"/>
  <c r="Y73" i="31"/>
  <c r="AC173" i="37" l="1"/>
  <c r="AC102" i="37"/>
  <c r="AD99" i="37" s="1"/>
  <c r="AC131" i="37"/>
  <c r="AC132" i="37"/>
  <c r="AR51" i="8"/>
  <c r="AR49" i="8" s="1"/>
  <c r="AR74" i="8" s="1"/>
  <c r="Y64" i="18"/>
  <c r="Y91" i="18"/>
  <c r="AR46" i="30"/>
  <c r="AS44" i="30" s="1"/>
  <c r="Y125" i="31"/>
  <c r="Y129" i="31" s="1"/>
  <c r="Y74" i="31"/>
  <c r="Z72" i="31" s="1"/>
  <c r="Y134" i="31"/>
  <c r="Y135" i="31" s="1"/>
  <c r="Z127" i="26"/>
  <c r="Z128" i="26" s="1"/>
  <c r="Z112" i="26"/>
  <c r="Z117" i="26" s="1"/>
  <c r="Z68" i="26"/>
  <c r="AA66" i="26" s="1"/>
  <c r="Y96" i="31"/>
  <c r="Y97" i="31"/>
  <c r="Y75" i="35"/>
  <c r="AC134" i="37" l="1"/>
  <c r="AC135" i="37" s="1"/>
  <c r="AC136" i="37" s="1"/>
  <c r="AC164" i="37" s="1"/>
  <c r="AC133" i="37"/>
  <c r="AD130" i="37" s="1"/>
  <c r="AD104" i="37"/>
  <c r="AC181" i="37"/>
  <c r="AC182" i="37" s="1"/>
  <c r="AC176" i="37"/>
  <c r="Y90" i="18"/>
  <c r="Y95" i="18" s="1"/>
  <c r="Y65" i="18"/>
  <c r="Z63" i="18" s="1"/>
  <c r="AR50" i="8"/>
  <c r="AS48" i="8" s="1"/>
  <c r="Y105" i="18"/>
  <c r="Y106" i="18" s="1"/>
  <c r="AS47" i="30"/>
  <c r="AS45" i="30" s="1"/>
  <c r="AS70" i="30" s="1"/>
  <c r="Y126" i="35"/>
  <c r="Y91" i="35"/>
  <c r="Y94" i="35" s="1"/>
  <c r="Y100" i="35" s="1"/>
  <c r="Y101" i="35" s="1"/>
  <c r="Y119" i="35" s="1"/>
  <c r="Y73" i="35"/>
  <c r="AA69" i="26"/>
  <c r="Y99" i="31"/>
  <c r="Y100" i="31" s="1"/>
  <c r="Y101" i="31" s="1"/>
  <c r="Y119" i="31" s="1"/>
  <c r="Y120" i="31" s="1"/>
  <c r="Y98" i="31"/>
  <c r="Z95" i="31" s="1"/>
  <c r="Z75" i="31"/>
  <c r="AD126" i="37" l="1"/>
  <c r="AD129" i="37" s="1"/>
  <c r="AD100" i="37"/>
  <c r="AD174" i="37"/>
  <c r="AS51" i="8"/>
  <c r="AS49" i="8" s="1"/>
  <c r="AS74" i="8" s="1"/>
  <c r="Z66" i="18"/>
  <c r="AS46" i="30"/>
  <c r="AT44" i="30" s="1"/>
  <c r="Z126" i="31"/>
  <c r="Z91" i="31"/>
  <c r="Z94" i="31" s="1"/>
  <c r="Z73" i="31"/>
  <c r="AA85" i="26"/>
  <c r="AA88" i="26" s="1"/>
  <c r="AA89" i="26" s="1"/>
  <c r="AA106" i="26" s="1"/>
  <c r="AA113" i="26"/>
  <c r="AA67" i="26"/>
  <c r="Y139" i="35"/>
  <c r="Y140" i="35" s="1"/>
  <c r="Y125" i="35"/>
  <c r="Y129" i="35" s="1"/>
  <c r="Y74" i="35"/>
  <c r="Z72" i="35" s="1"/>
  <c r="AD173" i="37" l="1"/>
  <c r="AD102" i="37"/>
  <c r="AE99" i="37" s="1"/>
  <c r="AD132" i="37"/>
  <c r="AD131" i="37"/>
  <c r="Z91" i="18"/>
  <c r="Z64" i="18"/>
  <c r="Z105" i="18" s="1"/>
  <c r="Z106" i="18" s="1"/>
  <c r="AS50" i="8"/>
  <c r="AT48" i="8" s="1"/>
  <c r="AT47" i="30"/>
  <c r="AT45" i="30" s="1"/>
  <c r="AT70" i="30" s="1"/>
  <c r="Z75" i="35"/>
  <c r="Z134" i="31"/>
  <c r="Z135" i="31" s="1"/>
  <c r="Z125" i="31"/>
  <c r="Z129" i="31" s="1"/>
  <c r="Z74" i="31"/>
  <c r="AA72" i="31" s="1"/>
  <c r="Z96" i="31"/>
  <c r="Z97" i="31"/>
  <c r="AA127" i="26"/>
  <c r="AA128" i="26" s="1"/>
  <c r="AA112" i="26"/>
  <c r="AA117" i="26" s="1"/>
  <c r="AA68" i="26"/>
  <c r="AB66" i="26" s="1"/>
  <c r="AE104" i="37" l="1"/>
  <c r="AD134" i="37"/>
  <c r="AD135" i="37" s="1"/>
  <c r="AD136" i="37" s="1"/>
  <c r="AD164" i="37" s="1"/>
  <c r="AD133" i="37"/>
  <c r="AE130" i="37" s="1"/>
  <c r="AD181" i="37"/>
  <c r="AD182" i="37" s="1"/>
  <c r="AD176" i="37"/>
  <c r="AT51" i="8"/>
  <c r="AT49" i="8" s="1"/>
  <c r="AT74" i="8" s="1"/>
  <c r="Z90" i="18"/>
  <c r="Z95" i="18" s="1"/>
  <c r="Z65" i="18"/>
  <c r="AA63" i="18" s="1"/>
  <c r="AT46" i="30"/>
  <c r="AU44" i="30" s="1"/>
  <c r="AB69" i="26"/>
  <c r="Z99" i="31"/>
  <c r="Z100" i="31" s="1"/>
  <c r="Z101" i="31" s="1"/>
  <c r="Z119" i="31" s="1"/>
  <c r="Z120" i="31" s="1"/>
  <c r="Z98" i="31"/>
  <c r="AA95" i="31" s="1"/>
  <c r="AA75" i="31"/>
  <c r="Z91" i="35"/>
  <c r="Z94" i="35" s="1"/>
  <c r="Z100" i="35" s="1"/>
  <c r="Z101" i="35" s="1"/>
  <c r="Z119" i="35" s="1"/>
  <c r="Z126" i="35"/>
  <c r="Z73" i="35"/>
  <c r="Z139" i="35" s="1"/>
  <c r="Z140" i="35" s="1"/>
  <c r="AE174" i="37" l="1"/>
  <c r="AE126" i="37"/>
  <c r="AE129" i="37" s="1"/>
  <c r="AE100" i="37"/>
  <c r="AA66" i="18"/>
  <c r="AT50" i="8"/>
  <c r="AU48" i="8" s="1"/>
  <c r="AU47" i="30"/>
  <c r="AU45" i="30" s="1"/>
  <c r="AU70" i="30" s="1"/>
  <c r="Z125" i="35"/>
  <c r="Z129" i="35" s="1"/>
  <c r="Z74" i="35"/>
  <c r="AA72" i="35" s="1"/>
  <c r="AB85" i="26"/>
  <c r="AB88" i="26" s="1"/>
  <c r="AB89" i="26" s="1"/>
  <c r="AB106" i="26" s="1"/>
  <c r="AB113" i="26"/>
  <c r="AB67" i="26"/>
  <c r="AA91" i="31"/>
  <c r="AA94" i="31" s="1"/>
  <c r="AA126" i="31"/>
  <c r="AA73" i="31"/>
  <c r="AA134" i="31" s="1"/>
  <c r="AA135" i="31" s="1"/>
  <c r="AE132" i="37" l="1"/>
  <c r="AE131" i="37"/>
  <c r="AE173" i="37"/>
  <c r="AE102" i="37"/>
  <c r="AF99" i="37" s="1"/>
  <c r="AU51" i="8"/>
  <c r="AU49" i="8" s="1"/>
  <c r="AU74" i="8" s="1"/>
  <c r="AU46" i="30"/>
  <c r="AV44" i="30" s="1"/>
  <c r="AV47" i="30" s="1"/>
  <c r="AV45" i="30" s="1"/>
  <c r="AV70" i="30" s="1"/>
  <c r="AA64" i="18"/>
  <c r="AA105" i="18" s="1"/>
  <c r="AA106" i="18" s="1"/>
  <c r="AA91" i="18"/>
  <c r="AA125" i="31"/>
  <c r="AA129" i="31" s="1"/>
  <c r="AA74" i="31"/>
  <c r="AB72" i="31" s="1"/>
  <c r="AA75" i="35"/>
  <c r="AA97" i="31"/>
  <c r="AA96" i="31"/>
  <c r="AB127" i="26"/>
  <c r="AB128" i="26" s="1"/>
  <c r="AB112" i="26"/>
  <c r="AB117" i="26" s="1"/>
  <c r="AB68" i="26"/>
  <c r="AC66" i="26" s="1"/>
  <c r="AF104" i="37" l="1"/>
  <c r="AE176" i="37"/>
  <c r="AE181" i="37"/>
  <c r="AE182" i="37" s="1"/>
  <c r="AE134" i="37"/>
  <c r="AE135" i="37" s="1"/>
  <c r="AE136" i="37" s="1"/>
  <c r="AE164" i="37" s="1"/>
  <c r="AE133" i="37"/>
  <c r="AF130" i="37" s="1"/>
  <c r="AU50" i="8"/>
  <c r="AV48" i="8" s="1"/>
  <c r="AV51" i="8" s="1"/>
  <c r="AV49" i="8" s="1"/>
  <c r="AV74" i="8" s="1"/>
  <c r="AA90" i="18"/>
  <c r="AA95" i="18" s="1"/>
  <c r="AA65" i="18"/>
  <c r="AB63" i="18" s="1"/>
  <c r="AV46" i="30"/>
  <c r="AW44" i="30" s="1"/>
  <c r="AC69" i="26"/>
  <c r="AA126" i="35"/>
  <c r="AA91" i="35"/>
  <c r="AA94" i="35" s="1"/>
  <c r="AA100" i="35" s="1"/>
  <c r="AA101" i="35" s="1"/>
  <c r="AA119" i="35" s="1"/>
  <c r="AA73" i="35"/>
  <c r="AA99" i="31"/>
  <c r="AA100" i="31" s="1"/>
  <c r="AA101" i="31" s="1"/>
  <c r="AA119" i="31" s="1"/>
  <c r="AA120" i="31" s="1"/>
  <c r="AA98" i="31"/>
  <c r="AB95" i="31" s="1"/>
  <c r="AB75" i="31"/>
  <c r="AF174" i="37" l="1"/>
  <c r="AF126" i="37"/>
  <c r="AF129" i="37" s="1"/>
  <c r="AF100" i="37"/>
  <c r="AV50" i="8"/>
  <c r="AW48" i="8" s="1"/>
  <c r="AB66" i="18"/>
  <c r="AW47" i="30"/>
  <c r="AW45" i="30" s="1"/>
  <c r="AW70" i="30" s="1"/>
  <c r="AA139" i="35"/>
  <c r="AA140" i="35" s="1"/>
  <c r="AA125" i="35"/>
  <c r="AA129" i="35" s="1"/>
  <c r="AA74" i="35"/>
  <c r="AB72" i="35" s="1"/>
  <c r="AB126" i="31"/>
  <c r="AB91" i="31"/>
  <c r="AB94" i="31" s="1"/>
  <c r="AB73" i="31"/>
  <c r="AC85" i="26"/>
  <c r="AC88" i="26" s="1"/>
  <c r="AC89" i="26" s="1"/>
  <c r="AC106" i="26" s="1"/>
  <c r="AC113" i="26"/>
  <c r="AC67" i="26"/>
  <c r="AF132" i="37" l="1"/>
  <c r="AF131" i="37"/>
  <c r="AF173" i="37"/>
  <c r="AF102" i="37"/>
  <c r="AG99" i="37" s="1"/>
  <c r="AB91" i="18"/>
  <c r="AB64" i="18"/>
  <c r="AB105" i="18" s="1"/>
  <c r="AB106" i="18" s="1"/>
  <c r="AW51" i="8"/>
  <c r="AW49" i="8" s="1"/>
  <c r="AW74" i="8" s="1"/>
  <c r="AW46" i="30"/>
  <c r="AX44" i="30" s="1"/>
  <c r="AC127" i="26"/>
  <c r="AC128" i="26" s="1"/>
  <c r="AC112" i="26"/>
  <c r="AC117" i="26" s="1"/>
  <c r="AC68" i="26"/>
  <c r="AD66" i="26" s="1"/>
  <c r="AB96" i="31"/>
  <c r="AB97" i="31"/>
  <c r="AB125" i="31"/>
  <c r="AB129" i="31" s="1"/>
  <c r="AB74" i="31"/>
  <c r="AC72" i="31" s="1"/>
  <c r="AB75" i="35"/>
  <c r="AB134" i="31"/>
  <c r="AB135" i="31" s="1"/>
  <c r="AF181" i="37" l="1"/>
  <c r="AF182" i="37" s="1"/>
  <c r="AF176" i="37"/>
  <c r="AG104" i="37"/>
  <c r="AF134" i="37"/>
  <c r="AF135" i="37" s="1"/>
  <c r="AF136" i="37" s="1"/>
  <c r="AF164" i="37" s="1"/>
  <c r="AF133" i="37"/>
  <c r="AG130" i="37" s="1"/>
  <c r="AB90" i="18"/>
  <c r="AB95" i="18" s="1"/>
  <c r="AB65" i="18"/>
  <c r="AC63" i="18" s="1"/>
  <c r="AW50" i="8"/>
  <c r="AX48" i="8" s="1"/>
  <c r="AX47" i="30"/>
  <c r="AX45" i="30" s="1"/>
  <c r="AX70" i="30" s="1"/>
  <c r="AC75" i="31"/>
  <c r="AB99" i="31"/>
  <c r="AB100" i="31" s="1"/>
  <c r="AB101" i="31" s="1"/>
  <c r="AB119" i="31" s="1"/>
  <c r="AB120" i="31" s="1"/>
  <c r="AB98" i="31"/>
  <c r="AC95" i="31" s="1"/>
  <c r="AD69" i="26"/>
  <c r="AB126" i="35"/>
  <c r="AB91" i="35"/>
  <c r="AB94" i="35" s="1"/>
  <c r="AB100" i="35" s="1"/>
  <c r="AB101" i="35" s="1"/>
  <c r="AB119" i="35" s="1"/>
  <c r="AB73" i="35"/>
  <c r="AG174" i="37" l="1"/>
  <c r="AG126" i="37"/>
  <c r="AG129" i="37" s="1"/>
  <c r="AG100" i="37"/>
  <c r="AX51" i="8"/>
  <c r="AX49" i="8" s="1"/>
  <c r="AX74" i="8" s="1"/>
  <c r="AC66" i="18"/>
  <c r="AX46" i="30"/>
  <c r="AY44" i="30" s="1"/>
  <c r="AD85" i="26"/>
  <c r="AD88" i="26" s="1"/>
  <c r="AD89" i="26" s="1"/>
  <c r="AD106" i="26" s="1"/>
  <c r="AD113" i="26"/>
  <c r="AD67" i="26"/>
  <c r="AB125" i="35"/>
  <c r="AB129" i="35" s="1"/>
  <c r="AB74" i="35"/>
  <c r="AC72" i="35" s="1"/>
  <c r="AB139" i="35"/>
  <c r="AB140" i="35" s="1"/>
  <c r="AC91" i="31"/>
  <c r="AC94" i="31" s="1"/>
  <c r="AC126" i="31"/>
  <c r="AC73" i="31"/>
  <c r="AG173" i="37" l="1"/>
  <c r="AG102" i="37"/>
  <c r="AH99" i="37" s="1"/>
  <c r="AG132" i="37"/>
  <c r="AG131" i="37"/>
  <c r="AC91" i="18"/>
  <c r="AC64" i="18"/>
  <c r="AC105" i="18" s="1"/>
  <c r="AC106" i="18" s="1"/>
  <c r="AX50" i="8"/>
  <c r="AY48" i="8" s="1"/>
  <c r="AY47" i="30"/>
  <c r="AY45" i="30" s="1"/>
  <c r="AY70" i="30" s="1"/>
  <c r="AC125" i="31"/>
  <c r="AC129" i="31" s="1"/>
  <c r="AC74" i="31"/>
  <c r="AD72" i="31" s="1"/>
  <c r="AC75" i="35"/>
  <c r="AD127" i="26"/>
  <c r="AD128" i="26" s="1"/>
  <c r="AD112" i="26"/>
  <c r="AD117" i="26" s="1"/>
  <c r="AD68" i="26"/>
  <c r="AE66" i="26" s="1"/>
  <c r="AC134" i="31"/>
  <c r="AC135" i="31" s="1"/>
  <c r="AC97" i="31"/>
  <c r="AC96" i="31"/>
  <c r="AH104" i="37" l="1"/>
  <c r="AG134" i="37"/>
  <c r="AG135" i="37" s="1"/>
  <c r="AG136" i="37" s="1"/>
  <c r="AG164" i="37" s="1"/>
  <c r="AG133" i="37"/>
  <c r="AH130" i="37" s="1"/>
  <c r="AG176" i="37"/>
  <c r="AG181" i="37"/>
  <c r="AG182" i="37" s="1"/>
  <c r="AY51" i="8"/>
  <c r="AY49" i="8" s="1"/>
  <c r="AY74" i="8" s="1"/>
  <c r="AC90" i="18"/>
  <c r="AC95" i="18" s="1"/>
  <c r="AC65" i="18"/>
  <c r="AD63" i="18" s="1"/>
  <c r="AY46" i="30"/>
  <c r="AZ44" i="30" s="1"/>
  <c r="AE69" i="26"/>
  <c r="AC91" i="35"/>
  <c r="AC94" i="35" s="1"/>
  <c r="AC100" i="35" s="1"/>
  <c r="AC101" i="35" s="1"/>
  <c r="AC119" i="35" s="1"/>
  <c r="AC126" i="35"/>
  <c r="AC73" i="35"/>
  <c r="AC139" i="35" s="1"/>
  <c r="AC140" i="35" s="1"/>
  <c r="AD75" i="31"/>
  <c r="AC99" i="31"/>
  <c r="AC100" i="31" s="1"/>
  <c r="AC101" i="31" s="1"/>
  <c r="AC119" i="31" s="1"/>
  <c r="AC120" i="31" s="1"/>
  <c r="AC98" i="31"/>
  <c r="AD95" i="31" s="1"/>
  <c r="AH174" i="37" l="1"/>
  <c r="AH100" i="37"/>
  <c r="AH126" i="37"/>
  <c r="AH129" i="37" s="1"/>
  <c r="AD66" i="18"/>
  <c r="AY50" i="8"/>
  <c r="AZ48" i="8" s="1"/>
  <c r="AZ47" i="30"/>
  <c r="AZ45" i="30" s="1"/>
  <c r="AZ70" i="30" s="1"/>
  <c r="AD91" i="31"/>
  <c r="AD94" i="31" s="1"/>
  <c r="AD126" i="31"/>
  <c r="AD73" i="31"/>
  <c r="AD134" i="31" s="1"/>
  <c r="AD135" i="31" s="1"/>
  <c r="AE113" i="26"/>
  <c r="AE85" i="26"/>
  <c r="AE88" i="26" s="1"/>
  <c r="AE89" i="26" s="1"/>
  <c r="AE106" i="26" s="1"/>
  <c r="AE67" i="26"/>
  <c r="AC125" i="35"/>
  <c r="AC129" i="35" s="1"/>
  <c r="AC74" i="35"/>
  <c r="AD72" i="35" s="1"/>
  <c r="AH132" i="37" l="1"/>
  <c r="AH131" i="37"/>
  <c r="AH173" i="37"/>
  <c r="AH102" i="37"/>
  <c r="AI99" i="37" s="1"/>
  <c r="AZ51" i="8"/>
  <c r="AZ49" i="8" s="1"/>
  <c r="AZ74" i="8" s="1"/>
  <c r="AZ46" i="30"/>
  <c r="BA44" i="30" s="1"/>
  <c r="BA47" i="30" s="1"/>
  <c r="BA45" i="30" s="1"/>
  <c r="BA70" i="30" s="1"/>
  <c r="AD91" i="18"/>
  <c r="AD64" i="18"/>
  <c r="AD105" i="18" s="1"/>
  <c r="AD106" i="18" s="1"/>
  <c r="AE127" i="26"/>
  <c r="AE128" i="26" s="1"/>
  <c r="AE112" i="26"/>
  <c r="AE117" i="26" s="1"/>
  <c r="AE68" i="26"/>
  <c r="AF66" i="26" s="1"/>
  <c r="AD125" i="31"/>
  <c r="AD129" i="31" s="1"/>
  <c r="AD74" i="31"/>
  <c r="AE72" i="31" s="1"/>
  <c r="AD75" i="35"/>
  <c r="AD97" i="31"/>
  <c r="AD96" i="31"/>
  <c r="AI104" i="37" l="1"/>
  <c r="AH176" i="37"/>
  <c r="AH181" i="37"/>
  <c r="AH182" i="37" s="1"/>
  <c r="AH134" i="37"/>
  <c r="AH135" i="37" s="1"/>
  <c r="AH136" i="37" s="1"/>
  <c r="AH164" i="37" s="1"/>
  <c r="AH133" i="37"/>
  <c r="AI130" i="37" s="1"/>
  <c r="AZ50" i="8"/>
  <c r="BA48" i="8" s="1"/>
  <c r="AD90" i="18"/>
  <c r="AD95" i="18" s="1"/>
  <c r="AD65" i="18"/>
  <c r="AE63" i="18" s="1"/>
  <c r="BA46" i="30"/>
  <c r="BB44" i="30" s="1"/>
  <c r="AD126" i="35"/>
  <c r="AD91" i="35"/>
  <c r="AD94" i="35" s="1"/>
  <c r="AD100" i="35" s="1"/>
  <c r="AD101" i="35" s="1"/>
  <c r="AD119" i="35" s="1"/>
  <c r="AD73" i="35"/>
  <c r="AE75" i="31"/>
  <c r="AD99" i="31"/>
  <c r="AD100" i="31" s="1"/>
  <c r="AD101" i="31" s="1"/>
  <c r="AD119" i="31" s="1"/>
  <c r="AD120" i="31" s="1"/>
  <c r="AD98" i="31"/>
  <c r="AE95" i="31" s="1"/>
  <c r="AF69" i="26"/>
  <c r="AI174" i="37" l="1"/>
  <c r="AI126" i="37"/>
  <c r="AI129" i="37" s="1"/>
  <c r="AI100" i="37"/>
  <c r="AE66" i="18"/>
  <c r="BA51" i="8"/>
  <c r="BA49" i="8" s="1"/>
  <c r="BA74" i="8" s="1"/>
  <c r="BB47" i="30"/>
  <c r="BB45" i="30" s="1"/>
  <c r="BB70" i="30" s="1"/>
  <c r="AE91" i="31"/>
  <c r="AE94" i="31" s="1"/>
  <c r="AE126" i="31"/>
  <c r="AE73" i="31"/>
  <c r="AD139" i="35"/>
  <c r="AD140" i="35" s="1"/>
  <c r="AD125" i="35"/>
  <c r="AD129" i="35" s="1"/>
  <c r="AD74" i="35"/>
  <c r="AE72" i="35" s="1"/>
  <c r="AF85" i="26"/>
  <c r="AF88" i="26" s="1"/>
  <c r="AF89" i="26" s="1"/>
  <c r="AF106" i="26" s="1"/>
  <c r="AF113" i="26"/>
  <c r="AF67" i="26"/>
  <c r="AI173" i="37" l="1"/>
  <c r="AI102" i="37"/>
  <c r="AJ99" i="37" s="1"/>
  <c r="AI132" i="37"/>
  <c r="AI131" i="37"/>
  <c r="BA50" i="8"/>
  <c r="BB48" i="8" s="1"/>
  <c r="AE91" i="18"/>
  <c r="AE64" i="18"/>
  <c r="AE105" i="18" s="1"/>
  <c r="AE106" i="18" s="1"/>
  <c r="BB46" i="30"/>
  <c r="BC44" i="30" s="1"/>
  <c r="AE134" i="31"/>
  <c r="AE135" i="31" s="1"/>
  <c r="AE125" i="31"/>
  <c r="AE129" i="31" s="1"/>
  <c r="AE74" i="31"/>
  <c r="AF72" i="31" s="1"/>
  <c r="AE75" i="35"/>
  <c r="AF127" i="26"/>
  <c r="AF128" i="26" s="1"/>
  <c r="AF112" i="26"/>
  <c r="AF117" i="26" s="1"/>
  <c r="AF68" i="26"/>
  <c r="AG66" i="26" s="1"/>
  <c r="AE96" i="31"/>
  <c r="AE97" i="31"/>
  <c r="AJ104" i="37" l="1"/>
  <c r="AI134" i="37"/>
  <c r="AI135" i="37" s="1"/>
  <c r="AI136" i="37" s="1"/>
  <c r="AI164" i="37" s="1"/>
  <c r="AI133" i="37"/>
  <c r="AJ130" i="37" s="1"/>
  <c r="AI176" i="37"/>
  <c r="AI181" i="37"/>
  <c r="AI182" i="37" s="1"/>
  <c r="AE90" i="18"/>
  <c r="AE95" i="18" s="1"/>
  <c r="AE65" i="18"/>
  <c r="AF63" i="18" s="1"/>
  <c r="BB51" i="8"/>
  <c r="BB49" i="8" s="1"/>
  <c r="BB74" i="8" s="1"/>
  <c r="BC47" i="30"/>
  <c r="BC45" i="30" s="1"/>
  <c r="BC70" i="30" s="1"/>
  <c r="AE99" i="31"/>
  <c r="AE100" i="31" s="1"/>
  <c r="AE101" i="31" s="1"/>
  <c r="AE119" i="31" s="1"/>
  <c r="AE120" i="31" s="1"/>
  <c r="AE98" i="31"/>
  <c r="AF95" i="31" s="1"/>
  <c r="AG69" i="26"/>
  <c r="AE91" i="35"/>
  <c r="AE94" i="35" s="1"/>
  <c r="AE100" i="35" s="1"/>
  <c r="AE101" i="35" s="1"/>
  <c r="AE119" i="35" s="1"/>
  <c r="AE126" i="35"/>
  <c r="AE73" i="35"/>
  <c r="AE139" i="35" s="1"/>
  <c r="AE140" i="35" s="1"/>
  <c r="AF75" i="31"/>
  <c r="AJ174" i="37" l="1"/>
  <c r="AJ126" i="37"/>
  <c r="AJ129" i="37" s="1"/>
  <c r="AJ100" i="37"/>
  <c r="BC46" i="30"/>
  <c r="BD44" i="30" s="1"/>
  <c r="BD47" i="30" s="1"/>
  <c r="BD45" i="30" s="1"/>
  <c r="BD70" i="30" s="1"/>
  <c r="BB50" i="8"/>
  <c r="BC48" i="8" s="1"/>
  <c r="AF66" i="18"/>
  <c r="AE125" i="35"/>
  <c r="AE129" i="35" s="1"/>
  <c r="AE74" i="35"/>
  <c r="AF72" i="35" s="1"/>
  <c r="AG113" i="26"/>
  <c r="AG85" i="26"/>
  <c r="AG88" i="26" s="1"/>
  <c r="AG89" i="26" s="1"/>
  <c r="AG106" i="26" s="1"/>
  <c r="AG67" i="26"/>
  <c r="AF91" i="31"/>
  <c r="AF94" i="31" s="1"/>
  <c r="AF126" i="31"/>
  <c r="AF73" i="31"/>
  <c r="AJ132" i="37" l="1"/>
  <c r="AJ131" i="37"/>
  <c r="AJ173" i="37"/>
  <c r="AJ102" i="37"/>
  <c r="AK99" i="37" s="1"/>
  <c r="AF91" i="18"/>
  <c r="AF64" i="18"/>
  <c r="AF105" i="18" s="1"/>
  <c r="AF106" i="18" s="1"/>
  <c r="BC51" i="8"/>
  <c r="BC49" i="8" s="1"/>
  <c r="BC74" i="8" s="1"/>
  <c r="BD46" i="30"/>
  <c r="BE44" i="30" s="1"/>
  <c r="AF97" i="31"/>
  <c r="AF96" i="31"/>
  <c r="AG127" i="26"/>
  <c r="AG128" i="26" s="1"/>
  <c r="AG112" i="26"/>
  <c r="AG117" i="26" s="1"/>
  <c r="AG68" i="26"/>
  <c r="AH66" i="26" s="1"/>
  <c r="AF75" i="35"/>
  <c r="AF134" i="31"/>
  <c r="AF135" i="31" s="1"/>
  <c r="AF125" i="31"/>
  <c r="AF129" i="31" s="1"/>
  <c r="AF74" i="31"/>
  <c r="AG72" i="31" s="1"/>
  <c r="AK104" i="37" l="1"/>
  <c r="AJ176" i="37"/>
  <c r="AJ181" i="37"/>
  <c r="AJ182" i="37" s="1"/>
  <c r="AJ134" i="37"/>
  <c r="AJ135" i="37" s="1"/>
  <c r="AJ136" i="37" s="1"/>
  <c r="AJ164" i="37" s="1"/>
  <c r="AJ133" i="37"/>
  <c r="AK130" i="37" s="1"/>
  <c r="BC50" i="8"/>
  <c r="BD48" i="8" s="1"/>
  <c r="BD51" i="8" s="1"/>
  <c r="BD49" i="8" s="1"/>
  <c r="BD74" i="8" s="1"/>
  <c r="AF90" i="18"/>
  <c r="AF95" i="18" s="1"/>
  <c r="AF65" i="18"/>
  <c r="AG63" i="18" s="1"/>
  <c r="BE47" i="30"/>
  <c r="BE45" i="30" s="1"/>
  <c r="BE70" i="30" s="1"/>
  <c r="AH69" i="26"/>
  <c r="AG75" i="31"/>
  <c r="AF91" i="35"/>
  <c r="AF94" i="35" s="1"/>
  <c r="AF100" i="35" s="1"/>
  <c r="AF101" i="35" s="1"/>
  <c r="AF119" i="35" s="1"/>
  <c r="AF126" i="35"/>
  <c r="AF73" i="35"/>
  <c r="AF99" i="31"/>
  <c r="AF100" i="31" s="1"/>
  <c r="AF101" i="31" s="1"/>
  <c r="AF119" i="31" s="1"/>
  <c r="AF120" i="31" s="1"/>
  <c r="AF98" i="31"/>
  <c r="AG95" i="31" s="1"/>
  <c r="AK174" i="37" l="1"/>
  <c r="AK126" i="37"/>
  <c r="AK129" i="37" s="1"/>
  <c r="AK100" i="37"/>
  <c r="BD50" i="8"/>
  <c r="BE48" i="8" s="1"/>
  <c r="AG66" i="18"/>
  <c r="BE46" i="30"/>
  <c r="BF44" i="30" s="1"/>
  <c r="BF47" i="30" s="1"/>
  <c r="BF45" i="30" s="1"/>
  <c r="BF70" i="30" s="1"/>
  <c r="AG126" i="31"/>
  <c r="AG91" i="31"/>
  <c r="AG94" i="31" s="1"/>
  <c r="AG73" i="31"/>
  <c r="AH113" i="26"/>
  <c r="AH85" i="26"/>
  <c r="AH88" i="26" s="1"/>
  <c r="AH89" i="26" s="1"/>
  <c r="AH106" i="26" s="1"/>
  <c r="AH67" i="26"/>
  <c r="AF139" i="35"/>
  <c r="AF140" i="35" s="1"/>
  <c r="AF125" i="35"/>
  <c r="AF129" i="35" s="1"/>
  <c r="AF74" i="35"/>
  <c r="AG72" i="35" s="1"/>
  <c r="AK132" i="37" l="1"/>
  <c r="AK131" i="37"/>
  <c r="AK173" i="37"/>
  <c r="AK102" i="37"/>
  <c r="AL99" i="37" s="1"/>
  <c r="AG64" i="18"/>
  <c r="AG105" i="18" s="1"/>
  <c r="AG106" i="18" s="1"/>
  <c r="AG91" i="18"/>
  <c r="BE51" i="8"/>
  <c r="BE49" i="8" s="1"/>
  <c r="BE74" i="8" s="1"/>
  <c r="BF46" i="30"/>
  <c r="BG44" i="30" s="1"/>
  <c r="AG75" i="35"/>
  <c r="AG134" i="31"/>
  <c r="AG135" i="31" s="1"/>
  <c r="AG125" i="31"/>
  <c r="AG129" i="31" s="1"/>
  <c r="AG74" i="31"/>
  <c r="AH72" i="31" s="1"/>
  <c r="AH127" i="26"/>
  <c r="AH128" i="26" s="1"/>
  <c r="AH112" i="26"/>
  <c r="AH117" i="26" s="1"/>
  <c r="AH68" i="26"/>
  <c r="AI66" i="26" s="1"/>
  <c r="AG96" i="31"/>
  <c r="AG97" i="31"/>
  <c r="AL104" i="37" l="1"/>
  <c r="AK176" i="37"/>
  <c r="AK181" i="37"/>
  <c r="AK182" i="37" s="1"/>
  <c r="AK134" i="37"/>
  <c r="AK135" i="37" s="1"/>
  <c r="AK136" i="37" s="1"/>
  <c r="AK164" i="37" s="1"/>
  <c r="AK133" i="37"/>
  <c r="AL130" i="37" s="1"/>
  <c r="BE50" i="8"/>
  <c r="BF48" i="8" s="1"/>
  <c r="BF51" i="8" s="1"/>
  <c r="BF49" i="8" s="1"/>
  <c r="BF74" i="8" s="1"/>
  <c r="AG90" i="18"/>
  <c r="AG95" i="18" s="1"/>
  <c r="AG65" i="18"/>
  <c r="AH63" i="18" s="1"/>
  <c r="BG47" i="30"/>
  <c r="BG45" i="30" s="1"/>
  <c r="BG70" i="30" s="1"/>
  <c r="AH75" i="31"/>
  <c r="AG99" i="31"/>
  <c r="AG100" i="31" s="1"/>
  <c r="AG101" i="31" s="1"/>
  <c r="AG119" i="31" s="1"/>
  <c r="AG120" i="31" s="1"/>
  <c r="AG98" i="31"/>
  <c r="AH95" i="31" s="1"/>
  <c r="AI69" i="26"/>
  <c r="AG126" i="35"/>
  <c r="AG91" i="35"/>
  <c r="AG94" i="35" s="1"/>
  <c r="AG100" i="35" s="1"/>
  <c r="AG101" i="35" s="1"/>
  <c r="AG119" i="35" s="1"/>
  <c r="AG73" i="35"/>
  <c r="AL174" i="37" l="1"/>
  <c r="AL126" i="37"/>
  <c r="AL129" i="37" s="1"/>
  <c r="AL100" i="37"/>
  <c r="AH66" i="18"/>
  <c r="BG46" i="30"/>
  <c r="BH44" i="30" s="1"/>
  <c r="BH47" i="30" s="1"/>
  <c r="BH45" i="30" s="1"/>
  <c r="BH70" i="30" s="1"/>
  <c r="BF50" i="8"/>
  <c r="BG48" i="8" s="1"/>
  <c r="AG139" i="35"/>
  <c r="AG140" i="35" s="1"/>
  <c r="AG125" i="35"/>
  <c r="AG129" i="35" s="1"/>
  <c r="AG74" i="35"/>
  <c r="AH72" i="35" s="1"/>
  <c r="AI113" i="26"/>
  <c r="AI67" i="26"/>
  <c r="AI85" i="26"/>
  <c r="AI88" i="26" s="1"/>
  <c r="AI89" i="26" s="1"/>
  <c r="AI106" i="26" s="1"/>
  <c r="AH126" i="31"/>
  <c r="AH91" i="31"/>
  <c r="AH94" i="31" s="1"/>
  <c r="AH73" i="31"/>
  <c r="AL173" i="37" l="1"/>
  <c r="AL102" i="37"/>
  <c r="AM99" i="37" s="1"/>
  <c r="AL131" i="37"/>
  <c r="AL132" i="37"/>
  <c r="BG51" i="8"/>
  <c r="BG49" i="8" s="1"/>
  <c r="BG74" i="8" s="1"/>
  <c r="BH46" i="30"/>
  <c r="BI44" i="30" s="1"/>
  <c r="BI47" i="30" s="1"/>
  <c r="BI45" i="30" s="1"/>
  <c r="BI70" i="30" s="1"/>
  <c r="AH91" i="18"/>
  <c r="AH64" i="18"/>
  <c r="AH105" i="18" s="1"/>
  <c r="AH106" i="18" s="1"/>
  <c r="AH125" i="31"/>
  <c r="AH129" i="31" s="1"/>
  <c r="AH74" i="31"/>
  <c r="AI72" i="31" s="1"/>
  <c r="AH97" i="31"/>
  <c r="AH96" i="31"/>
  <c r="AI127" i="26"/>
  <c r="AI128" i="26" s="1"/>
  <c r="AI112" i="26"/>
  <c r="AI117" i="26" s="1"/>
  <c r="AI68" i="26"/>
  <c r="AJ66" i="26" s="1"/>
  <c r="AH134" i="31"/>
  <c r="AH135" i="31" s="1"/>
  <c r="AH75" i="35"/>
  <c r="AL134" i="37" l="1"/>
  <c r="AL135" i="37" s="1"/>
  <c r="AL136" i="37" s="1"/>
  <c r="AL164" i="37" s="1"/>
  <c r="AL133" i="37"/>
  <c r="AM130" i="37" s="1"/>
  <c r="AM104" i="37"/>
  <c r="AL181" i="37"/>
  <c r="AL182" i="37" s="1"/>
  <c r="AL176" i="37"/>
  <c r="BG50" i="8"/>
  <c r="BH48" i="8" s="1"/>
  <c r="AH90" i="18"/>
  <c r="AH95" i="18" s="1"/>
  <c r="AH65" i="18"/>
  <c r="AI63" i="18" s="1"/>
  <c r="BI46" i="30"/>
  <c r="BJ44" i="30" s="1"/>
  <c r="BJ47" i="30" s="1"/>
  <c r="BJ45" i="30" s="1"/>
  <c r="BJ70" i="30" s="1"/>
  <c r="AH91" i="35"/>
  <c r="AH94" i="35" s="1"/>
  <c r="AH100" i="35" s="1"/>
  <c r="AH101" i="35" s="1"/>
  <c r="AH119" i="35" s="1"/>
  <c r="AH126" i="35"/>
  <c r="AH73" i="35"/>
  <c r="AH99" i="31"/>
  <c r="AH100" i="31" s="1"/>
  <c r="AH101" i="31" s="1"/>
  <c r="AH119" i="31" s="1"/>
  <c r="AH120" i="31" s="1"/>
  <c r="AH98" i="31"/>
  <c r="AI95" i="31" s="1"/>
  <c r="AJ69" i="26"/>
  <c r="AI75" i="31"/>
  <c r="AM174" i="37" l="1"/>
  <c r="AM126" i="37"/>
  <c r="AM129" i="37" s="1"/>
  <c r="AM100" i="37"/>
  <c r="AI66" i="18"/>
  <c r="BH51" i="8"/>
  <c r="BH49" i="8" s="1"/>
  <c r="BH74" i="8" s="1"/>
  <c r="BJ46" i="30"/>
  <c r="BK44" i="30" s="1"/>
  <c r="AJ67" i="26"/>
  <c r="AJ113" i="26"/>
  <c r="AJ85" i="26"/>
  <c r="AJ88" i="26" s="1"/>
  <c r="AJ89" i="26" s="1"/>
  <c r="AJ106" i="26" s="1"/>
  <c r="AH139" i="35"/>
  <c r="AH140" i="35" s="1"/>
  <c r="AH125" i="35"/>
  <c r="AH129" i="35" s="1"/>
  <c r="AH74" i="35"/>
  <c r="AI72" i="35" s="1"/>
  <c r="AI91" i="31"/>
  <c r="AI94" i="31" s="1"/>
  <c r="AI126" i="31"/>
  <c r="AI73" i="31"/>
  <c r="AM173" i="37" l="1"/>
  <c r="AM102" i="37"/>
  <c r="AN99" i="37" s="1"/>
  <c r="AM132" i="37"/>
  <c r="AM131" i="37"/>
  <c r="BH50" i="8"/>
  <c r="BI48" i="8" s="1"/>
  <c r="AI64" i="18"/>
  <c r="AI105" i="18" s="1"/>
  <c r="AI106" i="18" s="1"/>
  <c r="AI91" i="18"/>
  <c r="BK47" i="30"/>
  <c r="BK45" i="30" s="1"/>
  <c r="BK70" i="30" s="1"/>
  <c r="AI134" i="31"/>
  <c r="AI135" i="31" s="1"/>
  <c r="AI125" i="31"/>
  <c r="AI129" i="31" s="1"/>
  <c r="AI74" i="31"/>
  <c r="AJ72" i="31" s="1"/>
  <c r="AI97" i="31"/>
  <c r="AI96" i="31"/>
  <c r="AI75" i="35"/>
  <c r="AJ127" i="26"/>
  <c r="AJ128" i="26" s="1"/>
  <c r="AJ112" i="26"/>
  <c r="AJ117" i="26" s="1"/>
  <c r="AJ68" i="26"/>
  <c r="AK66" i="26" s="1"/>
  <c r="AM134" i="37" l="1"/>
  <c r="AM135" i="37" s="1"/>
  <c r="AM136" i="37" s="1"/>
  <c r="AM164" i="37" s="1"/>
  <c r="AM133" i="37"/>
  <c r="AN130" i="37" s="1"/>
  <c r="AN104" i="37"/>
  <c r="AM176" i="37"/>
  <c r="AM181" i="37"/>
  <c r="AM182" i="37" s="1"/>
  <c r="BK46" i="30"/>
  <c r="BL44" i="30" s="1"/>
  <c r="AI90" i="18"/>
  <c r="AI95" i="18" s="1"/>
  <c r="AI65" i="18"/>
  <c r="AJ63" i="18" s="1"/>
  <c r="BI51" i="8"/>
  <c r="BI49" i="8" s="1"/>
  <c r="BI74" i="8" s="1"/>
  <c r="BL47" i="30"/>
  <c r="BL45" i="30" s="1"/>
  <c r="BL70" i="30" s="1"/>
  <c r="D71" i="30" s="1"/>
  <c r="AK69" i="26"/>
  <c r="AJ75" i="31"/>
  <c r="AI91" i="35"/>
  <c r="AI94" i="35" s="1"/>
  <c r="AI100" i="35" s="1"/>
  <c r="AI101" i="35" s="1"/>
  <c r="AI119" i="35" s="1"/>
  <c r="AI126" i="35"/>
  <c r="AI73" i="35"/>
  <c r="AI99" i="31"/>
  <c r="AI100" i="31" s="1"/>
  <c r="AI101" i="31" s="1"/>
  <c r="AI119" i="31" s="1"/>
  <c r="AI120" i="31" s="1"/>
  <c r="AI98" i="31"/>
  <c r="AJ95" i="31" s="1"/>
  <c r="AN174" i="37" l="1"/>
  <c r="AN126" i="37"/>
  <c r="AN129" i="37" s="1"/>
  <c r="AN100" i="37"/>
  <c r="BL46" i="30"/>
  <c r="AJ66" i="18"/>
  <c r="BI50" i="8"/>
  <c r="BJ48" i="8" s="1"/>
  <c r="AI139" i="35"/>
  <c r="AI140" i="35" s="1"/>
  <c r="AI125" i="35"/>
  <c r="AI129" i="35" s="1"/>
  <c r="AI74" i="35"/>
  <c r="AJ72" i="35" s="1"/>
  <c r="AJ91" i="31"/>
  <c r="AJ94" i="31" s="1"/>
  <c r="AJ126" i="31"/>
  <c r="AJ73" i="31"/>
  <c r="AK113" i="26"/>
  <c r="AK85" i="26"/>
  <c r="AK88" i="26" s="1"/>
  <c r="AK89" i="26" s="1"/>
  <c r="AK106" i="26" s="1"/>
  <c r="AK67" i="26"/>
  <c r="AN132" i="37" l="1"/>
  <c r="AN131" i="37"/>
  <c r="AN173" i="37"/>
  <c r="AN102" i="37"/>
  <c r="AO99" i="37" s="1"/>
  <c r="BJ51" i="8"/>
  <c r="BJ49" i="8" s="1"/>
  <c r="BJ74" i="8" s="1"/>
  <c r="AJ64" i="18"/>
  <c r="AJ91" i="18"/>
  <c r="AK112" i="26"/>
  <c r="AK117" i="26" s="1"/>
  <c r="AK68" i="26"/>
  <c r="AL66" i="26" s="1"/>
  <c r="AJ125" i="31"/>
  <c r="AJ129" i="31" s="1"/>
  <c r="AJ74" i="31"/>
  <c r="AK72" i="31" s="1"/>
  <c r="AJ96" i="31"/>
  <c r="AJ97" i="31"/>
  <c r="AK127" i="26"/>
  <c r="AK128" i="26" s="1"/>
  <c r="AJ134" i="31"/>
  <c r="AJ135" i="31" s="1"/>
  <c r="AJ75" i="35"/>
  <c r="AN181" i="37" l="1"/>
  <c r="AN182" i="37" s="1"/>
  <c r="AN176" i="37"/>
  <c r="AN134" i="37"/>
  <c r="AN135" i="37" s="1"/>
  <c r="AN136" i="37" s="1"/>
  <c r="AN164" i="37" s="1"/>
  <c r="AN133" i="37"/>
  <c r="AO130" i="37" s="1"/>
  <c r="AO104" i="37"/>
  <c r="AJ105" i="18"/>
  <c r="AJ106" i="18" s="1"/>
  <c r="AJ90" i="18"/>
  <c r="AJ95" i="18" s="1"/>
  <c r="AJ65" i="18"/>
  <c r="AK63" i="18" s="1"/>
  <c r="BJ50" i="8"/>
  <c r="BK48" i="8" s="1"/>
  <c r="AJ126" i="35"/>
  <c r="AJ91" i="35"/>
  <c r="AJ94" i="35" s="1"/>
  <c r="AJ100" i="35" s="1"/>
  <c r="AJ101" i="35" s="1"/>
  <c r="AJ119" i="35" s="1"/>
  <c r="AJ73" i="35"/>
  <c r="AJ139" i="35" s="1"/>
  <c r="AJ140" i="35" s="1"/>
  <c r="AK75" i="31"/>
  <c r="AL69" i="26"/>
  <c r="AJ99" i="31"/>
  <c r="AJ100" i="31" s="1"/>
  <c r="AJ101" i="31" s="1"/>
  <c r="AJ119" i="31" s="1"/>
  <c r="AJ120" i="31" s="1"/>
  <c r="AJ98" i="31"/>
  <c r="AK95" i="31" s="1"/>
  <c r="AO174" i="37" l="1"/>
  <c r="AO126" i="37"/>
  <c r="AO129" i="37" s="1"/>
  <c r="AO100" i="37"/>
  <c r="BK51" i="8"/>
  <c r="BK49" i="8" s="1"/>
  <c r="BK74" i="8" s="1"/>
  <c r="AK66" i="18"/>
  <c r="AL67" i="26"/>
  <c r="AL113" i="26"/>
  <c r="AL85" i="26"/>
  <c r="AL88" i="26" s="1"/>
  <c r="AL89" i="26" s="1"/>
  <c r="AL106" i="26" s="1"/>
  <c r="AJ125" i="35"/>
  <c r="AJ129" i="35" s="1"/>
  <c r="AJ74" i="35"/>
  <c r="AK72" i="35" s="1"/>
  <c r="AK91" i="31"/>
  <c r="AK94" i="31" s="1"/>
  <c r="AK126" i="31"/>
  <c r="AK73" i="31"/>
  <c r="AO173" i="37" l="1"/>
  <c r="AO102" i="37"/>
  <c r="AP99" i="37" s="1"/>
  <c r="AO132" i="37"/>
  <c r="AO131" i="37"/>
  <c r="AK91" i="18"/>
  <c r="AK64" i="18"/>
  <c r="AK105" i="18" s="1"/>
  <c r="AK106" i="18" s="1"/>
  <c r="BK50" i="8"/>
  <c r="BL48" i="8" s="1"/>
  <c r="AK96" i="31"/>
  <c r="AK97" i="31"/>
  <c r="AL112" i="26"/>
  <c r="AL117" i="26" s="1"/>
  <c r="AL68" i="26"/>
  <c r="AM66" i="26" s="1"/>
  <c r="AK134" i="31"/>
  <c r="AK135" i="31" s="1"/>
  <c r="AK125" i="31"/>
  <c r="AK129" i="31" s="1"/>
  <c r="AK74" i="31"/>
  <c r="AL72" i="31" s="1"/>
  <c r="AK75" i="35"/>
  <c r="AL127" i="26"/>
  <c r="AL128" i="26" s="1"/>
  <c r="AP104" i="37" l="1"/>
  <c r="AO134" i="37"/>
  <c r="AO135" i="37" s="1"/>
  <c r="AO136" i="37" s="1"/>
  <c r="AO164" i="37" s="1"/>
  <c r="AO133" i="37"/>
  <c r="AP130" i="37" s="1"/>
  <c r="AO176" i="37"/>
  <c r="AO181" i="37"/>
  <c r="AO182" i="37" s="1"/>
  <c r="BL51" i="8"/>
  <c r="BL49" i="8" s="1"/>
  <c r="BL74" i="8" s="1"/>
  <c r="D75" i="8" s="1"/>
  <c r="AK90" i="18"/>
  <c r="AK95" i="18" s="1"/>
  <c r="AK65" i="18"/>
  <c r="AL63" i="18" s="1"/>
  <c r="AK99" i="31"/>
  <c r="AK100" i="31" s="1"/>
  <c r="AK101" i="31" s="1"/>
  <c r="AK119" i="31" s="1"/>
  <c r="AK120" i="31" s="1"/>
  <c r="AK98" i="31"/>
  <c r="AL95" i="31" s="1"/>
  <c r="AM69" i="26"/>
  <c r="AK91" i="35"/>
  <c r="AK94" i="35" s="1"/>
  <c r="AK100" i="35" s="1"/>
  <c r="AK101" i="35" s="1"/>
  <c r="AK119" i="35" s="1"/>
  <c r="AK126" i="35"/>
  <c r="AK73" i="35"/>
  <c r="AK139" i="35" s="1"/>
  <c r="AK140" i="35" s="1"/>
  <c r="AL75" i="31"/>
  <c r="AP174" i="37" l="1"/>
  <c r="AP126" i="37"/>
  <c r="AP129" i="37" s="1"/>
  <c r="AP100" i="37"/>
  <c r="AL66" i="18"/>
  <c r="BL50" i="8"/>
  <c r="AL126" i="31"/>
  <c r="AL73" i="31"/>
  <c r="AL134" i="31" s="1"/>
  <c r="AL135" i="31" s="1"/>
  <c r="AL91" i="31"/>
  <c r="AL94" i="31" s="1"/>
  <c r="AM85" i="26"/>
  <c r="AM88" i="26" s="1"/>
  <c r="AM89" i="26" s="1"/>
  <c r="AM106" i="26" s="1"/>
  <c r="AM113" i="26"/>
  <c r="AM67" i="26"/>
  <c r="AM127" i="26" s="1"/>
  <c r="AM128" i="26" s="1"/>
  <c r="AK125" i="35"/>
  <c r="AK129" i="35" s="1"/>
  <c r="AK74" i="35"/>
  <c r="AL72" i="35" s="1"/>
  <c r="AP132" i="37" l="1"/>
  <c r="AP131" i="37"/>
  <c r="AP173" i="37"/>
  <c r="AP102" i="37"/>
  <c r="AQ99" i="37" s="1"/>
  <c r="AL64" i="18"/>
  <c r="AL105" i="18" s="1"/>
  <c r="AL106" i="18" s="1"/>
  <c r="AL91" i="18"/>
  <c r="AL75" i="35"/>
  <c r="AL96" i="31"/>
  <c r="AL97" i="31"/>
  <c r="AM112" i="26"/>
  <c r="AM117" i="26" s="1"/>
  <c r="AM68" i="26"/>
  <c r="AN66" i="26" s="1"/>
  <c r="AL125" i="31"/>
  <c r="AL129" i="31" s="1"/>
  <c r="AL74" i="31"/>
  <c r="AM72" i="31" s="1"/>
  <c r="AP134" i="37" l="1"/>
  <c r="AP135" i="37" s="1"/>
  <c r="AP136" i="37" s="1"/>
  <c r="AP164" i="37" s="1"/>
  <c r="AP133" i="37"/>
  <c r="AQ130" i="37" s="1"/>
  <c r="AQ104" i="37"/>
  <c r="AP181" i="37"/>
  <c r="AP182" i="37" s="1"/>
  <c r="AP176" i="37"/>
  <c r="AL90" i="18"/>
  <c r="AL95" i="18" s="1"/>
  <c r="AL65" i="18"/>
  <c r="AM63" i="18" s="1"/>
  <c r="AN69" i="26"/>
  <c r="AM75" i="31"/>
  <c r="AL99" i="31"/>
  <c r="AL100" i="31" s="1"/>
  <c r="AL101" i="31" s="1"/>
  <c r="AL119" i="31" s="1"/>
  <c r="AL120" i="31" s="1"/>
  <c r="AL98" i="31"/>
  <c r="AM95" i="31" s="1"/>
  <c r="AL91" i="35"/>
  <c r="AL94" i="35" s="1"/>
  <c r="AL100" i="35" s="1"/>
  <c r="AL101" i="35" s="1"/>
  <c r="AL119" i="35" s="1"/>
  <c r="AL126" i="35"/>
  <c r="AL73" i="35"/>
  <c r="AQ174" i="37" l="1"/>
  <c r="AQ126" i="37"/>
  <c r="AQ129" i="37" s="1"/>
  <c r="AQ100" i="37"/>
  <c r="AM66" i="18"/>
  <c r="AL139" i="35"/>
  <c r="AL140" i="35" s="1"/>
  <c r="AL125" i="35"/>
  <c r="AL129" i="35" s="1"/>
  <c r="AL74" i="35"/>
  <c r="AM72" i="35" s="1"/>
  <c r="AM73" i="31"/>
  <c r="AM126" i="31"/>
  <c r="AM91" i="31"/>
  <c r="AM94" i="31" s="1"/>
  <c r="AN113" i="26"/>
  <c r="AN85" i="26"/>
  <c r="AN88" i="26" s="1"/>
  <c r="AN89" i="26" s="1"/>
  <c r="AN106" i="26" s="1"/>
  <c r="AN67" i="26"/>
  <c r="AQ173" i="37" l="1"/>
  <c r="AQ102" i="37"/>
  <c r="AR99" i="37" s="1"/>
  <c r="AQ132" i="37"/>
  <c r="AQ131" i="37"/>
  <c r="AM91" i="18"/>
  <c r="AM64" i="18"/>
  <c r="AM105" i="18" s="1"/>
  <c r="AM106" i="18" s="1"/>
  <c r="AM96" i="31"/>
  <c r="AM97" i="31"/>
  <c r="AM75" i="35"/>
  <c r="AN127" i="26"/>
  <c r="AN128" i="26" s="1"/>
  <c r="AN112" i="26"/>
  <c r="AN117" i="26" s="1"/>
  <c r="AN68" i="26"/>
  <c r="AO66" i="26" s="1"/>
  <c r="AM134" i="31"/>
  <c r="AM135" i="31" s="1"/>
  <c r="AM125" i="31"/>
  <c r="AM129" i="31" s="1"/>
  <c r="AM74" i="31"/>
  <c r="AN72" i="31" s="1"/>
  <c r="AR104" i="37" l="1"/>
  <c r="AQ134" i="37"/>
  <c r="AQ135" i="37" s="1"/>
  <c r="AQ136" i="37" s="1"/>
  <c r="AQ164" i="37" s="1"/>
  <c r="AQ133" i="37"/>
  <c r="AR130" i="37" s="1"/>
  <c r="AQ181" i="37"/>
  <c r="AQ182" i="37" s="1"/>
  <c r="AQ176" i="37"/>
  <c r="AM90" i="18"/>
  <c r="AM95" i="18" s="1"/>
  <c r="AM65" i="18"/>
  <c r="AN63" i="18" s="1"/>
  <c r="AO69" i="26"/>
  <c r="AM126" i="35"/>
  <c r="AM91" i="35"/>
  <c r="AM94" i="35" s="1"/>
  <c r="AM100" i="35" s="1"/>
  <c r="AM101" i="35" s="1"/>
  <c r="AM119" i="35" s="1"/>
  <c r="AM73" i="35"/>
  <c r="AN75" i="31"/>
  <c r="AM99" i="31"/>
  <c r="AM100" i="31" s="1"/>
  <c r="AM101" i="31" s="1"/>
  <c r="AM119" i="31" s="1"/>
  <c r="AM120" i="31" s="1"/>
  <c r="AM98" i="31"/>
  <c r="AN95" i="31" s="1"/>
  <c r="AR174" i="37" l="1"/>
  <c r="AR126" i="37"/>
  <c r="AR129" i="37" s="1"/>
  <c r="AR100" i="37"/>
  <c r="AN66" i="18"/>
  <c r="AN126" i="31"/>
  <c r="AN73" i="31"/>
  <c r="AN91" i="31"/>
  <c r="AN94" i="31" s="1"/>
  <c r="AM139" i="35"/>
  <c r="AM140" i="35" s="1"/>
  <c r="AM125" i="35"/>
  <c r="AM129" i="35" s="1"/>
  <c r="AM74" i="35"/>
  <c r="AN72" i="35" s="1"/>
  <c r="AO113" i="26"/>
  <c r="AO67" i="26"/>
  <c r="AO85" i="26"/>
  <c r="AO88" i="26" s="1"/>
  <c r="AO89" i="26" s="1"/>
  <c r="AO106" i="26" s="1"/>
  <c r="AR173" i="37" l="1"/>
  <c r="AR102" i="37"/>
  <c r="AR132" i="37"/>
  <c r="AR131" i="37"/>
  <c r="AN64" i="18"/>
  <c r="AN105" i="18" s="1"/>
  <c r="AN106" i="18" s="1"/>
  <c r="AN91" i="18"/>
  <c r="AO127" i="26"/>
  <c r="AO128" i="26" s="1"/>
  <c r="AO112" i="26"/>
  <c r="AO117" i="26" s="1"/>
  <c r="AO68" i="26"/>
  <c r="AP66" i="26" s="1"/>
  <c r="AN97" i="31"/>
  <c r="AN96" i="31"/>
  <c r="AN75" i="35"/>
  <c r="AN134" i="31"/>
  <c r="AN135" i="31" s="1"/>
  <c r="AN125" i="31"/>
  <c r="AN129" i="31" s="1"/>
  <c r="AN74" i="31"/>
  <c r="AO72" i="31" s="1"/>
  <c r="AR134" i="37" l="1"/>
  <c r="AR135" i="37" s="1"/>
  <c r="AR136" i="37" s="1"/>
  <c r="AR164" i="37" s="1"/>
  <c r="AR133" i="37"/>
  <c r="AS130" i="37" s="1"/>
  <c r="D107" i="37"/>
  <c r="H13" i="37" s="1"/>
  <c r="AS99" i="37"/>
  <c r="AR181" i="37"/>
  <c r="AR182" i="37" s="1"/>
  <c r="AR176" i="37"/>
  <c r="AN90" i="18"/>
  <c r="AN95" i="18" s="1"/>
  <c r="AN65" i="18"/>
  <c r="AO63" i="18" s="1"/>
  <c r="AO75" i="31"/>
  <c r="AP69" i="26"/>
  <c r="AN99" i="31"/>
  <c r="AN100" i="31" s="1"/>
  <c r="AN101" i="31" s="1"/>
  <c r="AN119" i="31" s="1"/>
  <c r="AN120" i="31" s="1"/>
  <c r="AN98" i="31"/>
  <c r="AO95" i="31" s="1"/>
  <c r="AN91" i="35"/>
  <c r="AN94" i="35" s="1"/>
  <c r="AN100" i="35" s="1"/>
  <c r="AN101" i="35" s="1"/>
  <c r="AN119" i="35" s="1"/>
  <c r="AN73" i="35"/>
  <c r="AN126" i="35"/>
  <c r="AS104" i="37" l="1"/>
  <c r="AO66" i="18"/>
  <c r="AP85" i="26"/>
  <c r="AP88" i="26" s="1"/>
  <c r="AP89" i="26" s="1"/>
  <c r="AP106" i="26" s="1"/>
  <c r="AP67" i="26"/>
  <c r="AP113" i="26"/>
  <c r="AN139" i="35"/>
  <c r="AN140" i="35" s="1"/>
  <c r="AN125" i="35"/>
  <c r="AN129" i="35" s="1"/>
  <c r="AN74" i="35"/>
  <c r="AO72" i="35" s="1"/>
  <c r="AO73" i="31"/>
  <c r="AO134" i="31" s="1"/>
  <c r="AO135" i="31" s="1"/>
  <c r="AO91" i="31"/>
  <c r="AO94" i="31" s="1"/>
  <c r="AO126" i="31"/>
  <c r="AS100" i="37" l="1"/>
  <c r="AS174" i="37"/>
  <c r="AS126" i="37"/>
  <c r="AS129" i="37" s="1"/>
  <c r="AO91" i="18"/>
  <c r="AO64" i="18"/>
  <c r="AO105" i="18" s="1"/>
  <c r="AO106" i="18" s="1"/>
  <c r="AO96" i="31"/>
  <c r="AO97" i="31"/>
  <c r="AO125" i="31"/>
  <c r="AO129" i="31" s="1"/>
  <c r="AO74" i="31"/>
  <c r="AP72" i="31" s="1"/>
  <c r="AO75" i="35"/>
  <c r="AP127" i="26"/>
  <c r="AP128" i="26" s="1"/>
  <c r="AP112" i="26"/>
  <c r="AP117" i="26" s="1"/>
  <c r="AP68" i="26"/>
  <c r="AQ66" i="26" s="1"/>
  <c r="AS131" i="37" l="1"/>
  <c r="AS132" i="37"/>
  <c r="AS173" i="37"/>
  <c r="AS102" i="37"/>
  <c r="AT99" i="37" s="1"/>
  <c r="AO90" i="18"/>
  <c r="AO95" i="18" s="1"/>
  <c r="AO65" i="18"/>
  <c r="AP63" i="18" s="1"/>
  <c r="AP75" i="31"/>
  <c r="AQ69" i="26"/>
  <c r="AO73" i="35"/>
  <c r="AO91" i="35"/>
  <c r="AO94" i="35" s="1"/>
  <c r="AO100" i="35" s="1"/>
  <c r="AO101" i="35" s="1"/>
  <c r="AO119" i="35" s="1"/>
  <c r="AO126" i="35"/>
  <c r="AO99" i="31"/>
  <c r="AO100" i="31" s="1"/>
  <c r="AO101" i="31" s="1"/>
  <c r="AO119" i="31" s="1"/>
  <c r="AO120" i="31" s="1"/>
  <c r="AO98" i="31"/>
  <c r="AP95" i="31" s="1"/>
  <c r="AT104" i="37" l="1"/>
  <c r="AS176" i="37"/>
  <c r="AS181" i="37"/>
  <c r="AS182" i="37" s="1"/>
  <c r="AS134" i="37"/>
  <c r="AS135" i="37" s="1"/>
  <c r="AS136" i="37" s="1"/>
  <c r="AS164" i="37" s="1"/>
  <c r="AS133" i="37"/>
  <c r="AT130" i="37" s="1"/>
  <c r="AP66" i="18"/>
  <c r="AO139" i="35"/>
  <c r="AO140" i="35" s="1"/>
  <c r="AO125" i="35"/>
  <c r="AO129" i="35" s="1"/>
  <c r="AO74" i="35"/>
  <c r="AP72" i="35" s="1"/>
  <c r="AQ113" i="26"/>
  <c r="AQ67" i="26"/>
  <c r="AQ85" i="26"/>
  <c r="AQ88" i="26" s="1"/>
  <c r="AQ89" i="26" s="1"/>
  <c r="AQ106" i="26" s="1"/>
  <c r="AP91" i="31"/>
  <c r="AP94" i="31" s="1"/>
  <c r="AP126" i="31"/>
  <c r="AP73" i="31"/>
  <c r="AP134" i="31" s="1"/>
  <c r="AP135" i="31" s="1"/>
  <c r="AT100" i="37" l="1"/>
  <c r="AT174" i="37"/>
  <c r="AT126" i="37"/>
  <c r="AT129" i="37" s="1"/>
  <c r="AP64" i="18"/>
  <c r="AP91" i="18"/>
  <c r="AP96" i="31"/>
  <c r="AP97" i="31"/>
  <c r="AP75" i="35"/>
  <c r="AQ112" i="26"/>
  <c r="AQ117" i="26" s="1"/>
  <c r="AQ68" i="26"/>
  <c r="AR66" i="26" s="1"/>
  <c r="AP125" i="31"/>
  <c r="AP129" i="31" s="1"/>
  <c r="AP74" i="31"/>
  <c r="AQ72" i="31" s="1"/>
  <c r="AQ127" i="26"/>
  <c r="AQ128" i="26" s="1"/>
  <c r="AT132" i="37" l="1"/>
  <c r="AT131" i="37"/>
  <c r="AT173" i="37"/>
  <c r="AT102" i="37"/>
  <c r="AU99" i="37" s="1"/>
  <c r="AP105" i="18"/>
  <c r="AP106" i="18" s="1"/>
  <c r="AP90" i="18"/>
  <c r="AP95" i="18" s="1"/>
  <c r="AP65" i="18"/>
  <c r="AQ63" i="18" s="1"/>
  <c r="AQ75" i="31"/>
  <c r="AP91" i="35"/>
  <c r="AP94" i="35" s="1"/>
  <c r="AP100" i="35" s="1"/>
  <c r="AP101" i="35" s="1"/>
  <c r="AP119" i="35" s="1"/>
  <c r="AP126" i="35"/>
  <c r="AP73" i="35"/>
  <c r="AP139" i="35" s="1"/>
  <c r="AP140" i="35" s="1"/>
  <c r="AR69" i="26"/>
  <c r="AP99" i="31"/>
  <c r="AP100" i="31" s="1"/>
  <c r="AP101" i="31" s="1"/>
  <c r="AP119" i="31" s="1"/>
  <c r="AP120" i="31" s="1"/>
  <c r="AP98" i="31"/>
  <c r="AQ95" i="31" s="1"/>
  <c r="AU104" i="37" l="1"/>
  <c r="AT181" i="37"/>
  <c r="AT182" i="37" s="1"/>
  <c r="AT176" i="37"/>
  <c r="AT134" i="37"/>
  <c r="AT135" i="37" s="1"/>
  <c r="AT136" i="37" s="1"/>
  <c r="AT164" i="37" s="1"/>
  <c r="AT133" i="37"/>
  <c r="AU130" i="37" s="1"/>
  <c r="AQ66" i="18"/>
  <c r="AP125" i="35"/>
  <c r="AP129" i="35" s="1"/>
  <c r="AP74" i="35"/>
  <c r="AQ72" i="35" s="1"/>
  <c r="AR85" i="26"/>
  <c r="AR88" i="26" s="1"/>
  <c r="AR89" i="26" s="1"/>
  <c r="AR106" i="26" s="1"/>
  <c r="AR67" i="26"/>
  <c r="AR113" i="26"/>
  <c r="AQ126" i="31"/>
  <c r="AQ73" i="31"/>
  <c r="AQ134" i="31" s="1"/>
  <c r="AQ135" i="31" s="1"/>
  <c r="AQ91" i="31"/>
  <c r="AQ94" i="31" s="1"/>
  <c r="AU100" i="37" l="1"/>
  <c r="AU174" i="37"/>
  <c r="AU126" i="37"/>
  <c r="AU129" i="37" s="1"/>
  <c r="AQ91" i="18"/>
  <c r="AQ64" i="18"/>
  <c r="AQ97" i="31"/>
  <c r="AQ96" i="31"/>
  <c r="AQ125" i="31"/>
  <c r="AQ129" i="31" s="1"/>
  <c r="AQ74" i="31"/>
  <c r="AR72" i="31" s="1"/>
  <c r="AR127" i="26"/>
  <c r="AR128" i="26" s="1"/>
  <c r="AR112" i="26"/>
  <c r="AR117" i="26" s="1"/>
  <c r="AR68" i="26"/>
  <c r="AQ75" i="35"/>
  <c r="AU131" i="37" l="1"/>
  <c r="AU132" i="37"/>
  <c r="AU173" i="37"/>
  <c r="AU102" i="37"/>
  <c r="AV99" i="37" s="1"/>
  <c r="AQ105" i="18"/>
  <c r="AQ106" i="18" s="1"/>
  <c r="AQ90" i="18"/>
  <c r="AQ95" i="18" s="1"/>
  <c r="AQ65" i="18"/>
  <c r="AR63" i="18" s="1"/>
  <c r="AR75" i="31"/>
  <c r="AQ73" i="35"/>
  <c r="AQ91" i="35"/>
  <c r="AQ94" i="35" s="1"/>
  <c r="AQ100" i="35" s="1"/>
  <c r="AQ101" i="35" s="1"/>
  <c r="AQ119" i="35" s="1"/>
  <c r="AQ126" i="35"/>
  <c r="AQ99" i="31"/>
  <c r="AQ100" i="31" s="1"/>
  <c r="AQ101" i="31" s="1"/>
  <c r="AQ119" i="31" s="1"/>
  <c r="AQ120" i="31" s="1"/>
  <c r="AQ98" i="31"/>
  <c r="AR95" i="31" s="1"/>
  <c r="AS66" i="26"/>
  <c r="D74" i="26"/>
  <c r="H13" i="26" s="1"/>
  <c r="AU134" i="37" l="1"/>
  <c r="AU135" i="37" s="1"/>
  <c r="AU136" i="37" s="1"/>
  <c r="AU164" i="37" s="1"/>
  <c r="AU133" i="37"/>
  <c r="AV130" i="37" s="1"/>
  <c r="AV104" i="37"/>
  <c r="AU176" i="37"/>
  <c r="AU181" i="37"/>
  <c r="AU182" i="37" s="1"/>
  <c r="AR66" i="18"/>
  <c r="AS69" i="26"/>
  <c r="AQ139" i="35"/>
  <c r="AQ140" i="35" s="1"/>
  <c r="AQ125" i="35"/>
  <c r="AQ129" i="35" s="1"/>
  <c r="AQ74" i="35"/>
  <c r="AR72" i="35" s="1"/>
  <c r="AR91" i="31"/>
  <c r="AR94" i="31" s="1"/>
  <c r="AR73" i="31"/>
  <c r="AR126" i="31"/>
  <c r="AV100" i="37" l="1"/>
  <c r="AV126" i="37"/>
  <c r="AV129" i="37" s="1"/>
  <c r="AV174" i="37"/>
  <c r="AR64" i="18"/>
  <c r="AR91" i="18"/>
  <c r="AR97" i="31"/>
  <c r="AR96" i="31"/>
  <c r="AS85" i="26"/>
  <c r="AS88" i="26" s="1"/>
  <c r="AS89" i="26" s="1"/>
  <c r="AS106" i="26" s="1"/>
  <c r="AS67" i="26"/>
  <c r="AS127" i="26" s="1"/>
  <c r="AS128" i="26" s="1"/>
  <c r="AS113" i="26"/>
  <c r="AR75" i="35"/>
  <c r="AR134" i="31"/>
  <c r="AR135" i="31" s="1"/>
  <c r="AR125" i="31"/>
  <c r="AR129" i="31" s="1"/>
  <c r="AR74" i="31"/>
  <c r="AV131" i="37" l="1"/>
  <c r="AV132" i="37"/>
  <c r="AV173" i="37"/>
  <c r="AV102" i="37"/>
  <c r="AW99" i="37" s="1"/>
  <c r="AR105" i="18"/>
  <c r="AR106" i="18" s="1"/>
  <c r="AR90" i="18"/>
  <c r="AR95" i="18" s="1"/>
  <c r="AR65" i="18"/>
  <c r="D80" i="31"/>
  <c r="H13" i="31" s="1"/>
  <c r="AS72" i="31"/>
  <c r="AR99" i="31"/>
  <c r="AR100" i="31" s="1"/>
  <c r="AR101" i="31" s="1"/>
  <c r="AR119" i="31" s="1"/>
  <c r="AR120" i="31" s="1"/>
  <c r="AR98" i="31"/>
  <c r="AS95" i="31" s="1"/>
  <c r="AS112" i="26"/>
  <c r="AS117" i="26" s="1"/>
  <c r="AS68" i="26"/>
  <c r="AT66" i="26" s="1"/>
  <c r="AR91" i="35"/>
  <c r="AR94" i="35" s="1"/>
  <c r="AR100" i="35" s="1"/>
  <c r="AR101" i="35" s="1"/>
  <c r="AR119" i="35" s="1"/>
  <c r="AR126" i="35"/>
  <c r="AR73" i="35"/>
  <c r="AR139" i="35" s="1"/>
  <c r="AR140" i="35" s="1"/>
  <c r="AV181" i="37" l="1"/>
  <c r="AV182" i="37" s="1"/>
  <c r="AV176" i="37"/>
  <c r="AW104" i="37"/>
  <c r="AV134" i="37"/>
  <c r="AV135" i="37" s="1"/>
  <c r="AV136" i="37" s="1"/>
  <c r="AV164" i="37" s="1"/>
  <c r="AV133" i="37"/>
  <c r="AW130" i="37" s="1"/>
  <c r="D71" i="18"/>
  <c r="H13" i="18" s="1"/>
  <c r="AS63" i="18"/>
  <c r="AR125" i="35"/>
  <c r="AR129" i="35" s="1"/>
  <c r="AR74" i="35"/>
  <c r="AT69" i="26"/>
  <c r="AS75" i="31"/>
  <c r="AW100" i="37" l="1"/>
  <c r="AW174" i="37"/>
  <c r="AW126" i="37"/>
  <c r="AW129" i="37" s="1"/>
  <c r="AS66" i="18"/>
  <c r="AT85" i="26"/>
  <c r="AT88" i="26" s="1"/>
  <c r="AT89" i="26" s="1"/>
  <c r="AT106" i="26" s="1"/>
  <c r="AT67" i="26"/>
  <c r="AT113" i="26"/>
  <c r="AS73" i="31"/>
  <c r="AS126" i="31"/>
  <c r="AS91" i="31"/>
  <c r="AS94" i="31" s="1"/>
  <c r="D80" i="35"/>
  <c r="H13" i="35" s="1"/>
  <c r="AS72" i="35"/>
  <c r="AW132" i="37" l="1"/>
  <c r="AW131" i="37"/>
  <c r="AW173" i="37"/>
  <c r="AW102" i="37"/>
  <c r="AX99" i="37" s="1"/>
  <c r="AS64" i="18"/>
  <c r="AS105" i="18" s="1"/>
  <c r="AS106" i="18" s="1"/>
  <c r="AS91" i="18"/>
  <c r="AS134" i="31"/>
  <c r="AS135" i="31" s="1"/>
  <c r="AS125" i="31"/>
  <c r="AS129" i="31" s="1"/>
  <c r="AS74" i="31"/>
  <c r="AT72" i="31" s="1"/>
  <c r="AS75" i="35"/>
  <c r="AS96" i="31"/>
  <c r="AS97" i="31"/>
  <c r="AT127" i="26"/>
  <c r="AT128" i="26" s="1"/>
  <c r="AT112" i="26"/>
  <c r="AT117" i="26" s="1"/>
  <c r="AT68" i="26"/>
  <c r="AU66" i="26" s="1"/>
  <c r="AX104" i="37" l="1"/>
  <c r="AW181" i="37"/>
  <c r="AW182" i="37" s="1"/>
  <c r="AW176" i="37"/>
  <c r="AW134" i="37"/>
  <c r="AW135" i="37" s="1"/>
  <c r="AW136" i="37" s="1"/>
  <c r="AW164" i="37" s="1"/>
  <c r="AW133" i="37"/>
  <c r="AX130" i="37" s="1"/>
  <c r="AS90" i="18"/>
  <c r="AS95" i="18" s="1"/>
  <c r="AS65" i="18"/>
  <c r="AT63" i="18" s="1"/>
  <c r="AS73" i="35"/>
  <c r="AS126" i="35"/>
  <c r="AS91" i="35"/>
  <c r="AS94" i="35" s="1"/>
  <c r="AS100" i="35" s="1"/>
  <c r="AS101" i="35" s="1"/>
  <c r="AS119" i="35" s="1"/>
  <c r="AU69" i="26"/>
  <c r="AS99" i="31"/>
  <c r="AS100" i="31" s="1"/>
  <c r="AS101" i="31" s="1"/>
  <c r="AS119" i="31" s="1"/>
  <c r="AS120" i="31" s="1"/>
  <c r="AS98" i="31"/>
  <c r="AT95" i="31" s="1"/>
  <c r="AT75" i="31"/>
  <c r="AX100" i="37" l="1"/>
  <c r="AX174" i="37"/>
  <c r="AX126" i="37"/>
  <c r="AX129" i="37" s="1"/>
  <c r="AT66" i="18"/>
  <c r="AU113" i="26"/>
  <c r="AU85" i="26"/>
  <c r="AU88" i="26" s="1"/>
  <c r="AU89" i="26" s="1"/>
  <c r="AU106" i="26" s="1"/>
  <c r="AU67" i="26"/>
  <c r="AT73" i="31"/>
  <c r="AT134" i="31" s="1"/>
  <c r="AT135" i="31" s="1"/>
  <c r="AT126" i="31"/>
  <c r="AT91" i="31"/>
  <c r="AT94" i="31" s="1"/>
  <c r="AS139" i="35"/>
  <c r="AS140" i="35" s="1"/>
  <c r="AS125" i="35"/>
  <c r="AS129" i="35" s="1"/>
  <c r="AS74" i="35"/>
  <c r="AT72" i="35" s="1"/>
  <c r="AX132" i="37" l="1"/>
  <c r="AX131" i="37"/>
  <c r="AX173" i="37"/>
  <c r="AX102" i="37"/>
  <c r="AY99" i="37" s="1"/>
  <c r="AT64" i="18"/>
  <c r="AT105" i="18" s="1"/>
  <c r="AT106" i="18" s="1"/>
  <c r="AT91" i="18"/>
  <c r="AT125" i="31"/>
  <c r="AT129" i="31" s="1"/>
  <c r="AT74" i="31"/>
  <c r="AU72" i="31" s="1"/>
  <c r="AU127" i="26"/>
  <c r="AU128" i="26" s="1"/>
  <c r="AU112" i="26"/>
  <c r="AU117" i="26" s="1"/>
  <c r="AU68" i="26"/>
  <c r="AV66" i="26" s="1"/>
  <c r="AT97" i="31"/>
  <c r="AT96" i="31"/>
  <c r="AT75" i="35"/>
  <c r="AY104" i="37" l="1"/>
  <c r="AX176" i="37"/>
  <c r="AX181" i="37"/>
  <c r="AX182" i="37" s="1"/>
  <c r="AX134" i="37"/>
  <c r="AX135" i="37" s="1"/>
  <c r="AX136" i="37" s="1"/>
  <c r="AX164" i="37" s="1"/>
  <c r="AX133" i="37"/>
  <c r="AY130" i="37" s="1"/>
  <c r="AT90" i="18"/>
  <c r="AT95" i="18" s="1"/>
  <c r="AT65" i="18"/>
  <c r="AU63" i="18" s="1"/>
  <c r="AV69" i="26"/>
  <c r="AT99" i="31"/>
  <c r="AT100" i="31" s="1"/>
  <c r="AT101" i="31" s="1"/>
  <c r="AT119" i="31" s="1"/>
  <c r="AT120" i="31" s="1"/>
  <c r="AT98" i="31"/>
  <c r="AU95" i="31" s="1"/>
  <c r="AT126" i="35"/>
  <c r="AT91" i="35"/>
  <c r="AT94" i="35" s="1"/>
  <c r="AT100" i="35" s="1"/>
  <c r="AT101" i="35" s="1"/>
  <c r="AT119" i="35" s="1"/>
  <c r="AT73" i="35"/>
  <c r="AU75" i="31"/>
  <c r="AY174" i="37" l="1"/>
  <c r="AY126" i="37"/>
  <c r="AY129" i="37" s="1"/>
  <c r="AY100" i="37"/>
  <c r="AU66" i="18"/>
  <c r="AT139" i="35"/>
  <c r="AT140" i="35" s="1"/>
  <c r="AT125" i="35"/>
  <c r="AT129" i="35" s="1"/>
  <c r="AT74" i="35"/>
  <c r="AU72" i="35" s="1"/>
  <c r="AV113" i="26"/>
  <c r="AV85" i="26"/>
  <c r="AV88" i="26" s="1"/>
  <c r="AV89" i="26" s="1"/>
  <c r="AV106" i="26" s="1"/>
  <c r="AV67" i="26"/>
  <c r="AU73" i="31"/>
  <c r="AU126" i="31"/>
  <c r="AU91" i="31"/>
  <c r="AU94" i="31" s="1"/>
  <c r="AY173" i="37" l="1"/>
  <c r="AY102" i="37"/>
  <c r="AZ99" i="37" s="1"/>
  <c r="AY132" i="37"/>
  <c r="AY131" i="37"/>
  <c r="AU64" i="18"/>
  <c r="AU105" i="18" s="1"/>
  <c r="AU106" i="18" s="1"/>
  <c r="AU91" i="18"/>
  <c r="AV127" i="26"/>
  <c r="AV128" i="26" s="1"/>
  <c r="AV112" i="26"/>
  <c r="AV117" i="26" s="1"/>
  <c r="AV68" i="26"/>
  <c r="AW66" i="26" s="1"/>
  <c r="AU75" i="35"/>
  <c r="AU97" i="31"/>
  <c r="AU96" i="31"/>
  <c r="AU134" i="31"/>
  <c r="AU135" i="31" s="1"/>
  <c r="AU125" i="31"/>
  <c r="AU129" i="31" s="1"/>
  <c r="AU74" i="31"/>
  <c r="AV72" i="31" s="1"/>
  <c r="AY134" i="37" l="1"/>
  <c r="AY135" i="37" s="1"/>
  <c r="AY136" i="37" s="1"/>
  <c r="AY164" i="37" s="1"/>
  <c r="AY133" i="37"/>
  <c r="AZ130" i="37" s="1"/>
  <c r="AZ104" i="37"/>
  <c r="AY181" i="37"/>
  <c r="AY182" i="37" s="1"/>
  <c r="AY176" i="37"/>
  <c r="AU90" i="18"/>
  <c r="AU95" i="18" s="1"/>
  <c r="AU65" i="18"/>
  <c r="AV63" i="18" s="1"/>
  <c r="AV75" i="31"/>
  <c r="AU99" i="31"/>
  <c r="AU100" i="31" s="1"/>
  <c r="AU101" i="31" s="1"/>
  <c r="AU119" i="31" s="1"/>
  <c r="AU120" i="31" s="1"/>
  <c r="AU98" i="31"/>
  <c r="AV95" i="31" s="1"/>
  <c r="AU73" i="35"/>
  <c r="AU139" i="35" s="1"/>
  <c r="AU140" i="35" s="1"/>
  <c r="AU126" i="35"/>
  <c r="AU91" i="35"/>
  <c r="AU94" i="35" s="1"/>
  <c r="AU100" i="35" s="1"/>
  <c r="AU101" i="35" s="1"/>
  <c r="AU119" i="35" s="1"/>
  <c r="AW69" i="26"/>
  <c r="AZ174" i="37" l="1"/>
  <c r="AZ126" i="37"/>
  <c r="AZ129" i="37" s="1"/>
  <c r="AZ100" i="37"/>
  <c r="AV66" i="18"/>
  <c r="AU125" i="35"/>
  <c r="AU129" i="35" s="1"/>
  <c r="AU74" i="35"/>
  <c r="AV72" i="35" s="1"/>
  <c r="AW85" i="26"/>
  <c r="AW88" i="26" s="1"/>
  <c r="AW89" i="26" s="1"/>
  <c r="AW106" i="26" s="1"/>
  <c r="AW113" i="26"/>
  <c r="AW67" i="26"/>
  <c r="AV73" i="31"/>
  <c r="AV126" i="31"/>
  <c r="AV91" i="31"/>
  <c r="AV94" i="31" s="1"/>
  <c r="AZ173" i="37" l="1"/>
  <c r="AZ102" i="37"/>
  <c r="BA99" i="37" s="1"/>
  <c r="AZ131" i="37"/>
  <c r="AZ132" i="37"/>
  <c r="AV64" i="18"/>
  <c r="AV91" i="18"/>
  <c r="AV96" i="31"/>
  <c r="AV97" i="31"/>
  <c r="AW127" i="26"/>
  <c r="AW128" i="26" s="1"/>
  <c r="AW112" i="26"/>
  <c r="AW117" i="26" s="1"/>
  <c r="AW68" i="26"/>
  <c r="AX66" i="26" s="1"/>
  <c r="AV75" i="35"/>
  <c r="AV134" i="31"/>
  <c r="AV135" i="31" s="1"/>
  <c r="AV125" i="31"/>
  <c r="AV129" i="31" s="1"/>
  <c r="AV74" i="31"/>
  <c r="AW72" i="31" s="1"/>
  <c r="AZ134" i="37" l="1"/>
  <c r="AZ135" i="37" s="1"/>
  <c r="AZ136" i="37" s="1"/>
  <c r="AZ164" i="37" s="1"/>
  <c r="AZ133" i="37"/>
  <c r="BA130" i="37" s="1"/>
  <c r="BA104" i="37"/>
  <c r="AZ181" i="37"/>
  <c r="AZ182" i="37" s="1"/>
  <c r="AZ176" i="37"/>
  <c r="AV105" i="18"/>
  <c r="AV106" i="18" s="1"/>
  <c r="AV90" i="18"/>
  <c r="AV95" i="18" s="1"/>
  <c r="AV65" i="18"/>
  <c r="AW63" i="18" s="1"/>
  <c r="AW75" i="31"/>
  <c r="AV126" i="35"/>
  <c r="AV91" i="35"/>
  <c r="AV94" i="35" s="1"/>
  <c r="AV100" i="35" s="1"/>
  <c r="AV101" i="35" s="1"/>
  <c r="AV119" i="35" s="1"/>
  <c r="AV73" i="35"/>
  <c r="AX69" i="26"/>
  <c r="AV99" i="31"/>
  <c r="AV100" i="31" s="1"/>
  <c r="AV101" i="31" s="1"/>
  <c r="AV119" i="31" s="1"/>
  <c r="AV120" i="31" s="1"/>
  <c r="AV98" i="31"/>
  <c r="AW95" i="31" s="1"/>
  <c r="BA100" i="37" l="1"/>
  <c r="BA174" i="37"/>
  <c r="BA126" i="37"/>
  <c r="BA129" i="37" s="1"/>
  <c r="AW66" i="18"/>
  <c r="AX67" i="26"/>
  <c r="AX113" i="26"/>
  <c r="AX85" i="26"/>
  <c r="AX88" i="26" s="1"/>
  <c r="AX89" i="26" s="1"/>
  <c r="AX106" i="26" s="1"/>
  <c r="AV139" i="35"/>
  <c r="AV140" i="35" s="1"/>
  <c r="AV125" i="35"/>
  <c r="AV129" i="35" s="1"/>
  <c r="AV74" i="35"/>
  <c r="AW72" i="35" s="1"/>
  <c r="AW91" i="31"/>
  <c r="AW94" i="31" s="1"/>
  <c r="AW73" i="31"/>
  <c r="AW126" i="31"/>
  <c r="BA132" i="37" l="1"/>
  <c r="BA131" i="37"/>
  <c r="BA173" i="37"/>
  <c r="BA102" i="37"/>
  <c r="BB99" i="37" s="1"/>
  <c r="AW64" i="18"/>
  <c r="AW105" i="18" s="1"/>
  <c r="AW106" i="18" s="1"/>
  <c r="AW91" i="18"/>
  <c r="AW97" i="31"/>
  <c r="AW96" i="31"/>
  <c r="AW75" i="35"/>
  <c r="AW134" i="31"/>
  <c r="AW135" i="31" s="1"/>
  <c r="AW125" i="31"/>
  <c r="AW129" i="31" s="1"/>
  <c r="AW74" i="31"/>
  <c r="AX72" i="31" s="1"/>
  <c r="AX127" i="26"/>
  <c r="AX128" i="26" s="1"/>
  <c r="AX112" i="26"/>
  <c r="AX117" i="26" s="1"/>
  <c r="AX68" i="26"/>
  <c r="AY66" i="26" s="1"/>
  <c r="BB104" i="37" l="1"/>
  <c r="BA176" i="37"/>
  <c r="BA181" i="37"/>
  <c r="BA182" i="37" s="1"/>
  <c r="BA134" i="37"/>
  <c r="BA135" i="37" s="1"/>
  <c r="BA136" i="37" s="1"/>
  <c r="BA164" i="37" s="1"/>
  <c r="BA133" i="37"/>
  <c r="BB130" i="37" s="1"/>
  <c r="AW90" i="18"/>
  <c r="AW95" i="18" s="1"/>
  <c r="AW65" i="18"/>
  <c r="AX63" i="18" s="1"/>
  <c r="AX75" i="31"/>
  <c r="AY69" i="26"/>
  <c r="AW126" i="35"/>
  <c r="AW91" i="35"/>
  <c r="AW94" i="35" s="1"/>
  <c r="AW100" i="35" s="1"/>
  <c r="AW101" i="35" s="1"/>
  <c r="AW119" i="35" s="1"/>
  <c r="AW73" i="35"/>
  <c r="AW139" i="35" s="1"/>
  <c r="AW140" i="35" s="1"/>
  <c r="AW99" i="31"/>
  <c r="AW100" i="31" s="1"/>
  <c r="AW101" i="31" s="1"/>
  <c r="AW119" i="31" s="1"/>
  <c r="AW120" i="31" s="1"/>
  <c r="AW98" i="31"/>
  <c r="AX95" i="31" s="1"/>
  <c r="BB174" i="37" l="1"/>
  <c r="BB126" i="37"/>
  <c r="BB129" i="37" s="1"/>
  <c r="BB100" i="37"/>
  <c r="AX66" i="18"/>
  <c r="AY113" i="26"/>
  <c r="AY85" i="26"/>
  <c r="AY88" i="26" s="1"/>
  <c r="AY89" i="26" s="1"/>
  <c r="AY106" i="26" s="1"/>
  <c r="AY67" i="26"/>
  <c r="AW125" i="35"/>
  <c r="AW129" i="35" s="1"/>
  <c r="AW74" i="35"/>
  <c r="AX72" i="35" s="1"/>
  <c r="AX73" i="31"/>
  <c r="AX126" i="31"/>
  <c r="AX91" i="31"/>
  <c r="AX94" i="31" s="1"/>
  <c r="BB173" i="37" l="1"/>
  <c r="BB102" i="37"/>
  <c r="BC99" i="37" s="1"/>
  <c r="BB131" i="37"/>
  <c r="BB132" i="37"/>
  <c r="AX91" i="18"/>
  <c r="AX64" i="18"/>
  <c r="AX105" i="18" s="1"/>
  <c r="AX106" i="18" s="1"/>
  <c r="AX97" i="31"/>
  <c r="AX96" i="31"/>
  <c r="AY127" i="26"/>
  <c r="AY128" i="26" s="1"/>
  <c r="AY112" i="26"/>
  <c r="AY117" i="26" s="1"/>
  <c r="AY68" i="26"/>
  <c r="AZ66" i="26" s="1"/>
  <c r="AX125" i="31"/>
  <c r="AX129" i="31" s="1"/>
  <c r="AX74" i="31"/>
  <c r="AY72" i="31" s="1"/>
  <c r="AX134" i="31"/>
  <c r="AX135" i="31" s="1"/>
  <c r="AX75" i="35"/>
  <c r="BB134" i="37" l="1"/>
  <c r="BB135" i="37" s="1"/>
  <c r="BB136" i="37" s="1"/>
  <c r="BB164" i="37" s="1"/>
  <c r="BB133" i="37"/>
  <c r="BC130" i="37" s="1"/>
  <c r="BC104" i="37"/>
  <c r="BB181" i="37"/>
  <c r="BB182" i="37" s="1"/>
  <c r="BB176" i="37"/>
  <c r="AX90" i="18"/>
  <c r="AX95" i="18" s="1"/>
  <c r="AX65" i="18"/>
  <c r="AY63" i="18" s="1"/>
  <c r="AZ69" i="26"/>
  <c r="AX91" i="35"/>
  <c r="AX94" i="35" s="1"/>
  <c r="AX100" i="35" s="1"/>
  <c r="AX101" i="35" s="1"/>
  <c r="AX119" i="35" s="1"/>
  <c r="AX73" i="35"/>
  <c r="AX139" i="35" s="1"/>
  <c r="AX140" i="35" s="1"/>
  <c r="AX126" i="35"/>
  <c r="AX99" i="31"/>
  <c r="AX100" i="31" s="1"/>
  <c r="AX101" i="31" s="1"/>
  <c r="AX119" i="31" s="1"/>
  <c r="AX120" i="31" s="1"/>
  <c r="AX98" i="31"/>
  <c r="AY95" i="31" s="1"/>
  <c r="AY75" i="31"/>
  <c r="BC174" i="37" l="1"/>
  <c r="BC126" i="37"/>
  <c r="BC129" i="37" s="1"/>
  <c r="BC100" i="37"/>
  <c r="AY66" i="18"/>
  <c r="AZ113" i="26"/>
  <c r="AZ85" i="26"/>
  <c r="AZ88" i="26" s="1"/>
  <c r="AZ89" i="26" s="1"/>
  <c r="AZ106" i="26" s="1"/>
  <c r="AZ67" i="26"/>
  <c r="AY126" i="31"/>
  <c r="AY91" i="31"/>
  <c r="AY94" i="31" s="1"/>
  <c r="AY73" i="31"/>
  <c r="AX125" i="35"/>
  <c r="AX129" i="35" s="1"/>
  <c r="AX74" i="35"/>
  <c r="AY72" i="35" s="1"/>
  <c r="BC173" i="37" l="1"/>
  <c r="BC102" i="37"/>
  <c r="BD99" i="37" s="1"/>
  <c r="BC132" i="37"/>
  <c r="BC131" i="37"/>
  <c r="AY91" i="18"/>
  <c r="AY64" i="18"/>
  <c r="AY105" i="18" s="1"/>
  <c r="AY106" i="18" s="1"/>
  <c r="AY75" i="35"/>
  <c r="AZ127" i="26"/>
  <c r="AZ128" i="26" s="1"/>
  <c r="AZ112" i="26"/>
  <c r="AZ117" i="26" s="1"/>
  <c r="AZ68" i="26"/>
  <c r="BA66" i="26" s="1"/>
  <c r="AY134" i="31"/>
  <c r="AY135" i="31" s="1"/>
  <c r="AY125" i="31"/>
  <c r="AY129" i="31" s="1"/>
  <c r="AY74" i="31"/>
  <c r="AZ72" i="31" s="1"/>
  <c r="AY96" i="31"/>
  <c r="AY97" i="31"/>
  <c r="BC134" i="37" l="1"/>
  <c r="BC135" i="37" s="1"/>
  <c r="BC136" i="37" s="1"/>
  <c r="BC164" i="37" s="1"/>
  <c r="BC133" i="37"/>
  <c r="BD130" i="37" s="1"/>
  <c r="BD104" i="37"/>
  <c r="BC181" i="37"/>
  <c r="BC182" i="37" s="1"/>
  <c r="BC176" i="37"/>
  <c r="AY90" i="18"/>
  <c r="AY95" i="18" s="1"/>
  <c r="AY65" i="18"/>
  <c r="AZ63" i="18" s="1"/>
  <c r="BA69" i="26"/>
  <c r="AY91" i="35"/>
  <c r="AY94" i="35" s="1"/>
  <c r="AY100" i="35" s="1"/>
  <c r="AY101" i="35" s="1"/>
  <c r="AY119" i="35" s="1"/>
  <c r="AY73" i="35"/>
  <c r="AY126" i="35"/>
  <c r="AY99" i="31"/>
  <c r="AY100" i="31" s="1"/>
  <c r="AY101" i="31" s="1"/>
  <c r="AY119" i="31" s="1"/>
  <c r="AY120" i="31" s="1"/>
  <c r="AY98" i="31"/>
  <c r="AZ95" i="31" s="1"/>
  <c r="AZ75" i="31"/>
  <c r="BD174" i="37" l="1"/>
  <c r="BD126" i="37"/>
  <c r="BD129" i="37" s="1"/>
  <c r="BD100" i="37"/>
  <c r="AZ66" i="18"/>
  <c r="BA113" i="26"/>
  <c r="BA85" i="26"/>
  <c r="BA88" i="26" s="1"/>
  <c r="BA89" i="26" s="1"/>
  <c r="BA106" i="26" s="1"/>
  <c r="BA67" i="26"/>
  <c r="BA127" i="26" s="1"/>
  <c r="BA128" i="26" s="1"/>
  <c r="AZ126" i="31"/>
  <c r="AZ91" i="31"/>
  <c r="AZ94" i="31" s="1"/>
  <c r="AZ73" i="31"/>
  <c r="AZ134" i="31" s="1"/>
  <c r="AZ135" i="31" s="1"/>
  <c r="AY139" i="35"/>
  <c r="AY140" i="35" s="1"/>
  <c r="AY125" i="35"/>
  <c r="AY129" i="35" s="1"/>
  <c r="AY74" i="35"/>
  <c r="AZ72" i="35" s="1"/>
  <c r="BD173" i="37" l="1"/>
  <c r="BD102" i="37"/>
  <c r="BE99" i="37" s="1"/>
  <c r="BD132" i="37"/>
  <c r="BD131" i="37"/>
  <c r="AZ91" i="18"/>
  <c r="AZ64" i="18"/>
  <c r="AZ75" i="35"/>
  <c r="AZ125" i="31"/>
  <c r="AZ129" i="31" s="1"/>
  <c r="AZ74" i="31"/>
  <c r="BA72" i="31" s="1"/>
  <c r="BA112" i="26"/>
  <c r="BA117" i="26" s="1"/>
  <c r="BA68" i="26"/>
  <c r="BB66" i="26" s="1"/>
  <c r="AZ97" i="31"/>
  <c r="AZ96" i="31"/>
  <c r="BD134" i="37" l="1"/>
  <c r="BD135" i="37" s="1"/>
  <c r="BD136" i="37" s="1"/>
  <c r="BD164" i="37" s="1"/>
  <c r="BD133" i="37"/>
  <c r="BE130" i="37" s="1"/>
  <c r="BE104" i="37"/>
  <c r="BD176" i="37"/>
  <c r="BD181" i="37"/>
  <c r="BD182" i="37" s="1"/>
  <c r="AZ105" i="18"/>
  <c r="AZ106" i="18" s="1"/>
  <c r="AZ90" i="18"/>
  <c r="AZ95" i="18" s="1"/>
  <c r="AZ65" i="18"/>
  <c r="BA63" i="18" s="1"/>
  <c r="BB69" i="26"/>
  <c r="BA75" i="31"/>
  <c r="AZ99" i="31"/>
  <c r="AZ100" i="31" s="1"/>
  <c r="AZ101" i="31" s="1"/>
  <c r="AZ119" i="31" s="1"/>
  <c r="AZ120" i="31" s="1"/>
  <c r="AZ98" i="31"/>
  <c r="BA95" i="31" s="1"/>
  <c r="AZ73" i="35"/>
  <c r="AZ91" i="35"/>
  <c r="AZ94" i="35" s="1"/>
  <c r="AZ100" i="35" s="1"/>
  <c r="AZ101" i="35" s="1"/>
  <c r="AZ119" i="35" s="1"/>
  <c r="AZ126" i="35"/>
  <c r="BE174" i="37" l="1"/>
  <c r="BE126" i="37"/>
  <c r="BE129" i="37" s="1"/>
  <c r="BE100" i="37"/>
  <c r="BA66" i="18"/>
  <c r="BB67" i="26"/>
  <c r="BB113" i="26"/>
  <c r="BB85" i="26"/>
  <c r="BB88" i="26" s="1"/>
  <c r="BB89" i="26" s="1"/>
  <c r="BB106" i="26" s="1"/>
  <c r="AZ139" i="35"/>
  <c r="AZ140" i="35" s="1"/>
  <c r="AZ125" i="35"/>
  <c r="AZ129" i="35" s="1"/>
  <c r="AZ74" i="35"/>
  <c r="BA72" i="35" s="1"/>
  <c r="BA91" i="31"/>
  <c r="BA94" i="31" s="1"/>
  <c r="BA126" i="31"/>
  <c r="BA73" i="31"/>
  <c r="BE173" i="37" l="1"/>
  <c r="BE102" i="37"/>
  <c r="BF99" i="37" s="1"/>
  <c r="BE132" i="37"/>
  <c r="BE131" i="37"/>
  <c r="BA64" i="18"/>
  <c r="BA105" i="18" s="1"/>
  <c r="BA106" i="18" s="1"/>
  <c r="BA91" i="18"/>
  <c r="BA97" i="31"/>
  <c r="BA96" i="31"/>
  <c r="BA75" i="35"/>
  <c r="BA134" i="31"/>
  <c r="BA135" i="31" s="1"/>
  <c r="BA125" i="31"/>
  <c r="BA129" i="31" s="1"/>
  <c r="BA74" i="31"/>
  <c r="BB72" i="31" s="1"/>
  <c r="BB127" i="26"/>
  <c r="BB128" i="26" s="1"/>
  <c r="BB112" i="26"/>
  <c r="BB117" i="26" s="1"/>
  <c r="BB68" i="26"/>
  <c r="BC66" i="26" s="1"/>
  <c r="BE134" i="37" l="1"/>
  <c r="BE135" i="37" s="1"/>
  <c r="BE136" i="37" s="1"/>
  <c r="BE164" i="37" s="1"/>
  <c r="BE133" i="37"/>
  <c r="BF130" i="37" s="1"/>
  <c r="BF104" i="37"/>
  <c r="BE181" i="37"/>
  <c r="BE182" i="37" s="1"/>
  <c r="BE176" i="37"/>
  <c r="BA90" i="18"/>
  <c r="BA95" i="18" s="1"/>
  <c r="BA65" i="18"/>
  <c r="BB63" i="18" s="1"/>
  <c r="BB75" i="31"/>
  <c r="BA126" i="35"/>
  <c r="BA73" i="35"/>
  <c r="BA91" i="35"/>
  <c r="BA94" i="35" s="1"/>
  <c r="BA100" i="35" s="1"/>
  <c r="BA101" i="35" s="1"/>
  <c r="BA119" i="35" s="1"/>
  <c r="BC69" i="26"/>
  <c r="BA99" i="31"/>
  <c r="BA100" i="31" s="1"/>
  <c r="BA101" i="31" s="1"/>
  <c r="BA119" i="31" s="1"/>
  <c r="BA120" i="31" s="1"/>
  <c r="BA98" i="31"/>
  <c r="BB95" i="31" s="1"/>
  <c r="BF174" i="37" l="1"/>
  <c r="BF126" i="37"/>
  <c r="BF129" i="37" s="1"/>
  <c r="BF100" i="37"/>
  <c r="BB66" i="18"/>
  <c r="BC113" i="26"/>
  <c r="BC85" i="26"/>
  <c r="BC88" i="26" s="1"/>
  <c r="BC89" i="26" s="1"/>
  <c r="BC106" i="26" s="1"/>
  <c r="BC67" i="26"/>
  <c r="BB91" i="31"/>
  <c r="BB94" i="31" s="1"/>
  <c r="BB126" i="31"/>
  <c r="BB73" i="31"/>
  <c r="BA139" i="35"/>
  <c r="BA140" i="35" s="1"/>
  <c r="BA125" i="35"/>
  <c r="BA129" i="35" s="1"/>
  <c r="BA74" i="35"/>
  <c r="BB72" i="35" s="1"/>
  <c r="BF173" i="37" l="1"/>
  <c r="BF102" i="37"/>
  <c r="BG99" i="37" s="1"/>
  <c r="BF132" i="37"/>
  <c r="BF131" i="37"/>
  <c r="BB64" i="18"/>
  <c r="BB105" i="18" s="1"/>
  <c r="BB106" i="18" s="1"/>
  <c r="BB91" i="18"/>
  <c r="BB125" i="31"/>
  <c r="BB129" i="31" s="1"/>
  <c r="BB74" i="31"/>
  <c r="BC72" i="31" s="1"/>
  <c r="BC127" i="26"/>
  <c r="BC128" i="26" s="1"/>
  <c r="BC112" i="26"/>
  <c r="BC117" i="26" s="1"/>
  <c r="BC68" i="26"/>
  <c r="BD66" i="26" s="1"/>
  <c r="BB97" i="31"/>
  <c r="BB96" i="31"/>
  <c r="BB75" i="35"/>
  <c r="BB134" i="31"/>
  <c r="BB135" i="31" s="1"/>
  <c r="BF134" i="37" l="1"/>
  <c r="BF135" i="37" s="1"/>
  <c r="BF136" i="37" s="1"/>
  <c r="BF164" i="37" s="1"/>
  <c r="BF133" i="37"/>
  <c r="BG130" i="37" s="1"/>
  <c r="BG104" i="37"/>
  <c r="BF176" i="37"/>
  <c r="BF181" i="37"/>
  <c r="BF182" i="37" s="1"/>
  <c r="BB90" i="18"/>
  <c r="BB95" i="18" s="1"/>
  <c r="BB65" i="18"/>
  <c r="BC63" i="18" s="1"/>
  <c r="BC75" i="31"/>
  <c r="BB99" i="31"/>
  <c r="BB100" i="31" s="1"/>
  <c r="BB101" i="31" s="1"/>
  <c r="BB119" i="31" s="1"/>
  <c r="BB120" i="31" s="1"/>
  <c r="BB98" i="31"/>
  <c r="BC95" i="31" s="1"/>
  <c r="BB73" i="35"/>
  <c r="BB126" i="35"/>
  <c r="BB91" i="35"/>
  <c r="BB94" i="35" s="1"/>
  <c r="BB100" i="35" s="1"/>
  <c r="BB101" i="35" s="1"/>
  <c r="BB119" i="35" s="1"/>
  <c r="BD69" i="26"/>
  <c r="BG174" i="37" l="1"/>
  <c r="BG126" i="37"/>
  <c r="BG129" i="37" s="1"/>
  <c r="BG100" i="37"/>
  <c r="BC66" i="18"/>
  <c r="BD113" i="26"/>
  <c r="BD85" i="26"/>
  <c r="BD88" i="26" s="1"/>
  <c r="BD89" i="26" s="1"/>
  <c r="BD106" i="26" s="1"/>
  <c r="BD67" i="26"/>
  <c r="BB139" i="35"/>
  <c r="BB140" i="35" s="1"/>
  <c r="BB125" i="35"/>
  <c r="BB129" i="35" s="1"/>
  <c r="BB74" i="35"/>
  <c r="BC72" i="35" s="1"/>
  <c r="BC73" i="31"/>
  <c r="BC126" i="31"/>
  <c r="BC91" i="31"/>
  <c r="BC94" i="31" s="1"/>
  <c r="BG173" i="37" l="1"/>
  <c r="BG102" i="37"/>
  <c r="BH99" i="37" s="1"/>
  <c r="BG132" i="37"/>
  <c r="BG131" i="37"/>
  <c r="BC91" i="18"/>
  <c r="BC64" i="18"/>
  <c r="BC105" i="18" s="1"/>
  <c r="BC106" i="18" s="1"/>
  <c r="BD127" i="26"/>
  <c r="BD128" i="26" s="1"/>
  <c r="BD112" i="26"/>
  <c r="BD117" i="26" s="1"/>
  <c r="BD68" i="26"/>
  <c r="BE66" i="26" s="1"/>
  <c r="BC125" i="31"/>
  <c r="BC129" i="31" s="1"/>
  <c r="BC74" i="31"/>
  <c r="BD72" i="31" s="1"/>
  <c r="BC134" i="31"/>
  <c r="BC135" i="31" s="1"/>
  <c r="BC75" i="35"/>
  <c r="BC96" i="31"/>
  <c r="BC97" i="31"/>
  <c r="BG176" i="37" l="1"/>
  <c r="BG181" i="37"/>
  <c r="BG182" i="37" s="1"/>
  <c r="BG134" i="37"/>
  <c r="BG135" i="37" s="1"/>
  <c r="BG136" i="37" s="1"/>
  <c r="BG164" i="37" s="1"/>
  <c r="BG133" i="37"/>
  <c r="BH130" i="37" s="1"/>
  <c r="BH104" i="37"/>
  <c r="BC90" i="18"/>
  <c r="BC95" i="18" s="1"/>
  <c r="BC65" i="18"/>
  <c r="BD63" i="18" s="1"/>
  <c r="BC99" i="31"/>
  <c r="BC100" i="31" s="1"/>
  <c r="BC101" i="31" s="1"/>
  <c r="BC119" i="31" s="1"/>
  <c r="BC120" i="31" s="1"/>
  <c r="BC98" i="31"/>
  <c r="BD95" i="31" s="1"/>
  <c r="BD75" i="31"/>
  <c r="BE69" i="26"/>
  <c r="BC126" i="35"/>
  <c r="BC91" i="35"/>
  <c r="BC94" i="35" s="1"/>
  <c r="BC100" i="35" s="1"/>
  <c r="BC101" i="35" s="1"/>
  <c r="BC119" i="35" s="1"/>
  <c r="BC73" i="35"/>
  <c r="BH174" i="37" l="1"/>
  <c r="BH126" i="37"/>
  <c r="BH129" i="37" s="1"/>
  <c r="BH100" i="37"/>
  <c r="BD66" i="18"/>
  <c r="BE67" i="26"/>
  <c r="BE85" i="26"/>
  <c r="BE88" i="26" s="1"/>
  <c r="BE89" i="26" s="1"/>
  <c r="BE106" i="26" s="1"/>
  <c r="BE113" i="26"/>
  <c r="BC139" i="35"/>
  <c r="BC140" i="35" s="1"/>
  <c r="BC125" i="35"/>
  <c r="BC129" i="35" s="1"/>
  <c r="BC74" i="35"/>
  <c r="BD72" i="35" s="1"/>
  <c r="BD73" i="31"/>
  <c r="BD126" i="31"/>
  <c r="BD91" i="31"/>
  <c r="BD94" i="31" s="1"/>
  <c r="BH173" i="37" l="1"/>
  <c r="BH102" i="37"/>
  <c r="BI99" i="37" s="1"/>
  <c r="BH131" i="37"/>
  <c r="BH132" i="37"/>
  <c r="BD64" i="18"/>
  <c r="BD105" i="18" s="1"/>
  <c r="BD106" i="18" s="1"/>
  <c r="BD91" i="18"/>
  <c r="BD134" i="31"/>
  <c r="BD135" i="31" s="1"/>
  <c r="BD125" i="31"/>
  <c r="BD129" i="31" s="1"/>
  <c r="BD74" i="31"/>
  <c r="BE72" i="31" s="1"/>
  <c r="BD96" i="31"/>
  <c r="BD97" i="31"/>
  <c r="BD75" i="35"/>
  <c r="BE127" i="26"/>
  <c r="BE128" i="26" s="1"/>
  <c r="BE112" i="26"/>
  <c r="BE117" i="26" s="1"/>
  <c r="BE68" i="26"/>
  <c r="BF66" i="26" s="1"/>
  <c r="BH176" i="37" l="1"/>
  <c r="BH181" i="37"/>
  <c r="BH182" i="37" s="1"/>
  <c r="BH134" i="37"/>
  <c r="BH135" i="37" s="1"/>
  <c r="BH136" i="37" s="1"/>
  <c r="BH164" i="37" s="1"/>
  <c r="BH133" i="37"/>
  <c r="BI130" i="37" s="1"/>
  <c r="BI104" i="37"/>
  <c r="BD90" i="18"/>
  <c r="BD95" i="18" s="1"/>
  <c r="BD65" i="18"/>
  <c r="BE63" i="18" s="1"/>
  <c r="BD99" i="31"/>
  <c r="BD100" i="31" s="1"/>
  <c r="BD101" i="31" s="1"/>
  <c r="BD119" i="31" s="1"/>
  <c r="BD120" i="31" s="1"/>
  <c r="BD98" i="31"/>
  <c r="BE95" i="31" s="1"/>
  <c r="BE75" i="31"/>
  <c r="BF69" i="26"/>
  <c r="BD73" i="35"/>
  <c r="BD91" i="35"/>
  <c r="BD94" i="35" s="1"/>
  <c r="BD100" i="35" s="1"/>
  <c r="BD101" i="35" s="1"/>
  <c r="BD119" i="35" s="1"/>
  <c r="BD126" i="35"/>
  <c r="BI174" i="37" l="1"/>
  <c r="BI126" i="37"/>
  <c r="BI129" i="37" s="1"/>
  <c r="BI100" i="37"/>
  <c r="BE66" i="18"/>
  <c r="BF85" i="26"/>
  <c r="BF88" i="26" s="1"/>
  <c r="BF89" i="26" s="1"/>
  <c r="BF106" i="26" s="1"/>
  <c r="BF67" i="26"/>
  <c r="BF113" i="26"/>
  <c r="BE91" i="31"/>
  <c r="BE94" i="31" s="1"/>
  <c r="BE73" i="31"/>
  <c r="BE126" i="31"/>
  <c r="BD125" i="35"/>
  <c r="BD129" i="35" s="1"/>
  <c r="BD74" i="35"/>
  <c r="BE72" i="35" s="1"/>
  <c r="BD139" i="35"/>
  <c r="BD140" i="35" s="1"/>
  <c r="BI173" i="37" l="1"/>
  <c r="BI102" i="37"/>
  <c r="BJ99" i="37" s="1"/>
  <c r="BI131" i="37"/>
  <c r="BI132" i="37"/>
  <c r="BE91" i="18"/>
  <c r="BE64" i="18"/>
  <c r="BE105" i="18" s="1"/>
  <c r="BE106" i="18" s="1"/>
  <c r="BF127" i="26"/>
  <c r="BF128" i="26" s="1"/>
  <c r="BF112" i="26"/>
  <c r="BF117" i="26" s="1"/>
  <c r="BF68" i="26"/>
  <c r="BG66" i="26" s="1"/>
  <c r="BE75" i="35"/>
  <c r="BE134" i="31"/>
  <c r="BE135" i="31" s="1"/>
  <c r="BE125" i="31"/>
  <c r="BE129" i="31" s="1"/>
  <c r="BE74" i="31"/>
  <c r="BF72" i="31" s="1"/>
  <c r="BE97" i="31"/>
  <c r="BE96" i="31"/>
  <c r="BI176" i="37" l="1"/>
  <c r="BI181" i="37"/>
  <c r="BI182" i="37" s="1"/>
  <c r="BI134" i="37"/>
  <c r="BI135" i="37" s="1"/>
  <c r="BI136" i="37" s="1"/>
  <c r="BI164" i="37" s="1"/>
  <c r="BI133" i="37"/>
  <c r="BJ130" i="37" s="1"/>
  <c r="BJ104" i="37"/>
  <c r="BE90" i="18"/>
  <c r="BE95" i="18" s="1"/>
  <c r="BE65" i="18"/>
  <c r="BF63" i="18" s="1"/>
  <c r="BF75" i="31"/>
  <c r="BE126" i="35"/>
  <c r="BE91" i="35"/>
  <c r="BE94" i="35" s="1"/>
  <c r="BE100" i="35" s="1"/>
  <c r="BE101" i="35" s="1"/>
  <c r="BE119" i="35" s="1"/>
  <c r="BE73" i="35"/>
  <c r="BE139" i="35" s="1"/>
  <c r="BE140" i="35" s="1"/>
  <c r="BG69" i="26"/>
  <c r="BE99" i="31"/>
  <c r="BE100" i="31" s="1"/>
  <c r="BE101" i="31" s="1"/>
  <c r="BE119" i="31" s="1"/>
  <c r="BE120" i="31" s="1"/>
  <c r="BE98" i="31"/>
  <c r="BF95" i="31" s="1"/>
  <c r="BJ174" i="37" l="1"/>
  <c r="BJ126" i="37"/>
  <c r="BJ129" i="37" s="1"/>
  <c r="BJ100" i="37"/>
  <c r="BF66" i="18"/>
  <c r="BE125" i="35"/>
  <c r="BE129" i="35" s="1"/>
  <c r="BE74" i="35"/>
  <c r="BF72" i="35" s="1"/>
  <c r="BF73" i="31"/>
  <c r="BF126" i="31"/>
  <c r="BF91" i="31"/>
  <c r="BF94" i="31" s="1"/>
  <c r="BG113" i="26"/>
  <c r="BG85" i="26"/>
  <c r="BG88" i="26" s="1"/>
  <c r="BG89" i="26" s="1"/>
  <c r="BG106" i="26" s="1"/>
  <c r="BG67" i="26"/>
  <c r="BJ173" i="37" l="1"/>
  <c r="BJ102" i="37"/>
  <c r="BK99" i="37" s="1"/>
  <c r="BJ131" i="37"/>
  <c r="BJ132" i="37"/>
  <c r="BF64" i="18"/>
  <c r="BF91" i="18"/>
  <c r="BF97" i="31"/>
  <c r="BF96" i="31"/>
  <c r="BF125" i="31"/>
  <c r="BF129" i="31" s="1"/>
  <c r="BF74" i="31"/>
  <c r="BG72" i="31" s="1"/>
  <c r="BG127" i="26"/>
  <c r="BG128" i="26" s="1"/>
  <c r="BG112" i="26"/>
  <c r="BG117" i="26" s="1"/>
  <c r="BG68" i="26"/>
  <c r="BH66" i="26" s="1"/>
  <c r="BF134" i="31"/>
  <c r="BF135" i="31" s="1"/>
  <c r="BF75" i="35"/>
  <c r="BJ134" i="37" l="1"/>
  <c r="BJ135" i="37" s="1"/>
  <c r="BJ136" i="37" s="1"/>
  <c r="BJ164" i="37" s="1"/>
  <c r="BJ133" i="37"/>
  <c r="BK130" i="37" s="1"/>
  <c r="BK104" i="37"/>
  <c r="BJ176" i="37"/>
  <c r="BJ181" i="37"/>
  <c r="BJ182" i="37" s="1"/>
  <c r="BF105" i="18"/>
  <c r="BF106" i="18" s="1"/>
  <c r="BF90" i="18"/>
  <c r="BF95" i="18" s="1"/>
  <c r="BF65" i="18"/>
  <c r="BG63" i="18" s="1"/>
  <c r="BF91" i="35"/>
  <c r="BF94" i="35" s="1"/>
  <c r="BF100" i="35" s="1"/>
  <c r="BF101" i="35" s="1"/>
  <c r="BF119" i="35" s="1"/>
  <c r="BF73" i="35"/>
  <c r="BF126" i="35"/>
  <c r="BG75" i="31"/>
  <c r="BH69" i="26"/>
  <c r="BF99" i="31"/>
  <c r="BF100" i="31" s="1"/>
  <c r="BF101" i="31" s="1"/>
  <c r="BF119" i="31" s="1"/>
  <c r="BF120" i="31" s="1"/>
  <c r="BF98" i="31"/>
  <c r="BG95" i="31" s="1"/>
  <c r="BK174" i="37" l="1"/>
  <c r="BK126" i="37"/>
  <c r="BK129" i="37" s="1"/>
  <c r="BK100" i="37"/>
  <c r="BG66" i="18"/>
  <c r="BH113" i="26"/>
  <c r="BH67" i="26"/>
  <c r="BH85" i="26"/>
  <c r="BH88" i="26" s="1"/>
  <c r="BH89" i="26" s="1"/>
  <c r="BH106" i="26" s="1"/>
  <c r="BG126" i="31"/>
  <c r="BG91" i="31"/>
  <c r="BG94" i="31" s="1"/>
  <c r="BG73" i="31"/>
  <c r="BG134" i="31" s="1"/>
  <c r="BG135" i="31" s="1"/>
  <c r="BF139" i="35"/>
  <c r="BF140" i="35" s="1"/>
  <c r="BF125" i="35"/>
  <c r="BF129" i="35" s="1"/>
  <c r="BF74" i="35"/>
  <c r="BG72" i="35" s="1"/>
  <c r="BK173" i="37" l="1"/>
  <c r="BK102" i="37"/>
  <c r="BL99" i="37" s="1"/>
  <c r="BK132" i="37"/>
  <c r="BK131" i="37"/>
  <c r="BG91" i="18"/>
  <c r="BG64" i="18"/>
  <c r="BG105" i="18" s="1"/>
  <c r="BG106" i="18" s="1"/>
  <c r="BG125" i="31"/>
  <c r="BG129" i="31" s="1"/>
  <c r="BG74" i="31"/>
  <c r="BH72" i="31" s="1"/>
  <c r="BH127" i="26"/>
  <c r="BH128" i="26" s="1"/>
  <c r="BH112" i="26"/>
  <c r="BH117" i="26" s="1"/>
  <c r="BH68" i="26"/>
  <c r="BI66" i="26" s="1"/>
  <c r="BG96" i="31"/>
  <c r="BG97" i="31"/>
  <c r="BG75" i="35"/>
  <c r="BK134" i="37" l="1"/>
  <c r="BK135" i="37" s="1"/>
  <c r="BK136" i="37" s="1"/>
  <c r="BK164" i="37" s="1"/>
  <c r="BK133" i="37"/>
  <c r="BL130" i="37" s="1"/>
  <c r="BL104" i="37"/>
  <c r="D106" i="37"/>
  <c r="H14" i="37" s="1"/>
  <c r="BK181" i="37"/>
  <c r="BK182" i="37" s="1"/>
  <c r="BK176" i="37"/>
  <c r="BG90" i="18"/>
  <c r="BG95" i="18" s="1"/>
  <c r="BG65" i="18"/>
  <c r="BH63" i="18" s="1"/>
  <c r="BG73" i="35"/>
  <c r="BG126" i="35"/>
  <c r="BG91" i="35"/>
  <c r="BG94" i="35" s="1"/>
  <c r="BG100" i="35" s="1"/>
  <c r="BG101" i="35" s="1"/>
  <c r="BG119" i="35" s="1"/>
  <c r="BH75" i="31"/>
  <c r="BI69" i="26"/>
  <c r="BG99" i="31"/>
  <c r="BG100" i="31" s="1"/>
  <c r="BG101" i="31" s="1"/>
  <c r="BG119" i="31" s="1"/>
  <c r="BG120" i="31" s="1"/>
  <c r="BG98" i="31"/>
  <c r="BH95" i="31" s="1"/>
  <c r="BL174" i="37" l="1"/>
  <c r="BL126" i="37"/>
  <c r="BL129" i="37" s="1"/>
  <c r="BL100" i="37"/>
  <c r="BH66" i="18"/>
  <c r="BH91" i="31"/>
  <c r="BH94" i="31" s="1"/>
  <c r="BH126" i="31"/>
  <c r="BH73" i="31"/>
  <c r="BH134" i="31" s="1"/>
  <c r="BH135" i="31" s="1"/>
  <c r="BG125" i="35"/>
  <c r="BG129" i="35" s="1"/>
  <c r="BG74" i="35"/>
  <c r="BH72" i="35" s="1"/>
  <c r="BG139" i="35"/>
  <c r="BG140" i="35" s="1"/>
  <c r="BI113" i="26"/>
  <c r="BI67" i="26"/>
  <c r="BI85" i="26"/>
  <c r="BI88" i="26" s="1"/>
  <c r="BI89" i="26" s="1"/>
  <c r="BI106" i="26" s="1"/>
  <c r="BL173" i="37" l="1"/>
  <c r="BL102" i="37"/>
  <c r="BL132" i="37"/>
  <c r="BL131" i="37"/>
  <c r="BH91" i="18"/>
  <c r="BH64" i="18"/>
  <c r="BH105" i="18" s="1"/>
  <c r="BH106" i="18" s="1"/>
  <c r="BH97" i="31"/>
  <c r="BH96" i="31"/>
  <c r="BH125" i="31"/>
  <c r="BH129" i="31" s="1"/>
  <c r="BH74" i="31"/>
  <c r="BI72" i="31" s="1"/>
  <c r="BI112" i="26"/>
  <c r="BI117" i="26" s="1"/>
  <c r="BI68" i="26"/>
  <c r="BJ66" i="26" s="1"/>
  <c r="BI127" i="26"/>
  <c r="BI128" i="26" s="1"/>
  <c r="BH75" i="35"/>
  <c r="BL181" i="37" l="1"/>
  <c r="BL182" i="37" s="1"/>
  <c r="BL176" i="37"/>
  <c r="D177" i="37" s="1"/>
  <c r="H18" i="37" s="1"/>
  <c r="BL134" i="37"/>
  <c r="BL135" i="37" s="1"/>
  <c r="BL136" i="37" s="1"/>
  <c r="BL164" i="37" s="1"/>
  <c r="BL133" i="37"/>
  <c r="BH90" i="18"/>
  <c r="BH95" i="18" s="1"/>
  <c r="BH65" i="18"/>
  <c r="BI63" i="18" s="1"/>
  <c r="BJ69" i="26"/>
  <c r="BH91" i="35"/>
  <c r="BH94" i="35" s="1"/>
  <c r="BH100" i="35" s="1"/>
  <c r="BH101" i="35" s="1"/>
  <c r="BH119" i="35" s="1"/>
  <c r="BH73" i="35"/>
  <c r="BH126" i="35"/>
  <c r="BI75" i="31"/>
  <c r="BH99" i="31"/>
  <c r="BH100" i="31" s="1"/>
  <c r="BH101" i="31" s="1"/>
  <c r="BH119" i="31" s="1"/>
  <c r="BH120" i="31" s="1"/>
  <c r="BH98" i="31"/>
  <c r="BI95" i="31" s="1"/>
  <c r="D183" i="37" l="1"/>
  <c r="H16" i="37" s="1"/>
  <c r="D184" i="37"/>
  <c r="H17" i="37" s="1"/>
  <c r="BI66" i="18"/>
  <c r="BH139" i="35"/>
  <c r="BH140" i="35" s="1"/>
  <c r="BH125" i="35"/>
  <c r="BH129" i="35" s="1"/>
  <c r="BH74" i="35"/>
  <c r="BI72" i="35" s="1"/>
  <c r="BI126" i="31"/>
  <c r="BI91" i="31"/>
  <c r="BI94" i="31" s="1"/>
  <c r="BI73" i="31"/>
  <c r="BJ67" i="26"/>
  <c r="BJ127" i="26" s="1"/>
  <c r="BJ128" i="26" s="1"/>
  <c r="BJ113" i="26"/>
  <c r="BJ85" i="26"/>
  <c r="BJ88" i="26" s="1"/>
  <c r="BJ89" i="26" s="1"/>
  <c r="BJ106" i="26" s="1"/>
  <c r="BI64" i="18" l="1"/>
  <c r="BI91" i="18"/>
  <c r="BJ112" i="26"/>
  <c r="BJ117" i="26" s="1"/>
  <c r="BJ68" i="26"/>
  <c r="BK66" i="26" s="1"/>
  <c r="BI134" i="31"/>
  <c r="BI135" i="31" s="1"/>
  <c r="BI125" i="31"/>
  <c r="BI129" i="31" s="1"/>
  <c r="BI74" i="31"/>
  <c r="BJ72" i="31" s="1"/>
  <c r="BI96" i="31"/>
  <c r="BI97" i="31"/>
  <c r="BI75" i="35"/>
  <c r="BI105" i="18" l="1"/>
  <c r="BI106" i="18" s="1"/>
  <c r="BI90" i="18"/>
  <c r="BI95" i="18" s="1"/>
  <c r="BI65" i="18"/>
  <c r="BJ63" i="18" s="1"/>
  <c r="BI73" i="35"/>
  <c r="BI126" i="35"/>
  <c r="BI91" i="35"/>
  <c r="BI94" i="35" s="1"/>
  <c r="BI100" i="35" s="1"/>
  <c r="BI101" i="35" s="1"/>
  <c r="BI119" i="35" s="1"/>
  <c r="BI99" i="31"/>
  <c r="BI100" i="31" s="1"/>
  <c r="BI101" i="31" s="1"/>
  <c r="BI119" i="31" s="1"/>
  <c r="BI120" i="31" s="1"/>
  <c r="BI98" i="31"/>
  <c r="BJ95" i="31" s="1"/>
  <c r="BK69" i="26"/>
  <c r="BJ75" i="31"/>
  <c r="BJ66" i="18" l="1"/>
  <c r="BK85" i="26"/>
  <c r="BK88" i="26" s="1"/>
  <c r="BK89" i="26" s="1"/>
  <c r="BK106" i="26" s="1"/>
  <c r="BK67" i="26"/>
  <c r="BK113" i="26"/>
  <c r="BI125" i="35"/>
  <c r="BI129" i="35" s="1"/>
  <c r="BI74" i="35"/>
  <c r="BJ72" i="35" s="1"/>
  <c r="BJ73" i="31"/>
  <c r="BJ91" i="31"/>
  <c r="BJ94" i="31" s="1"/>
  <c r="BJ126" i="31"/>
  <c r="BI139" i="35"/>
  <c r="BI140" i="35" s="1"/>
  <c r="BJ64" i="18" l="1"/>
  <c r="BJ91" i="18"/>
  <c r="BJ75" i="35"/>
  <c r="BJ97" i="31"/>
  <c r="BJ96" i="31"/>
  <c r="BJ134" i="31"/>
  <c r="BJ135" i="31" s="1"/>
  <c r="BJ125" i="31"/>
  <c r="BJ129" i="31" s="1"/>
  <c r="BJ74" i="31"/>
  <c r="BK72" i="31" s="1"/>
  <c r="BK127" i="26"/>
  <c r="BK128" i="26" s="1"/>
  <c r="BK112" i="26"/>
  <c r="BK117" i="26" s="1"/>
  <c r="BK68" i="26"/>
  <c r="BL66" i="26" s="1"/>
  <c r="BJ105" i="18" l="1"/>
  <c r="BJ106" i="18" s="1"/>
  <c r="BJ90" i="18"/>
  <c r="BJ95" i="18" s="1"/>
  <c r="BJ65" i="18"/>
  <c r="BK63" i="18" s="1"/>
  <c r="BL69" i="26"/>
  <c r="D73" i="26"/>
  <c r="H14" i="26" s="1"/>
  <c r="BJ73" i="35"/>
  <c r="BJ91" i="35"/>
  <c r="BJ94" i="35" s="1"/>
  <c r="BJ100" i="35" s="1"/>
  <c r="BJ101" i="35" s="1"/>
  <c r="BJ119" i="35" s="1"/>
  <c r="BJ126" i="35"/>
  <c r="BJ99" i="31"/>
  <c r="BJ100" i="31" s="1"/>
  <c r="BJ101" i="31" s="1"/>
  <c r="BJ119" i="31" s="1"/>
  <c r="BJ120" i="31" s="1"/>
  <c r="BJ98" i="31"/>
  <c r="BK95" i="31" s="1"/>
  <c r="BK75" i="31"/>
  <c r="BK66" i="18" l="1"/>
  <c r="BJ139" i="35"/>
  <c r="BJ140" i="35" s="1"/>
  <c r="BJ125" i="35"/>
  <c r="BJ129" i="35" s="1"/>
  <c r="BJ74" i="35"/>
  <c r="BK72" i="35" s="1"/>
  <c r="BK73" i="31"/>
  <c r="BK126" i="31"/>
  <c r="BK91" i="31"/>
  <c r="BK94" i="31" s="1"/>
  <c r="BL113" i="26"/>
  <c r="BL85" i="26"/>
  <c r="BL88" i="26" s="1"/>
  <c r="BL89" i="26" s="1"/>
  <c r="BL106" i="26" s="1"/>
  <c r="BL67" i="26"/>
  <c r="BL127" i="26" s="1"/>
  <c r="BL128" i="26" s="1"/>
  <c r="BK64" i="18" l="1"/>
  <c r="BK105" i="18" s="1"/>
  <c r="BK106" i="18" s="1"/>
  <c r="BK91" i="18"/>
  <c r="BL112" i="26"/>
  <c r="BL117" i="26" s="1"/>
  <c r="D118" i="26" s="1"/>
  <c r="H18" i="26" s="1"/>
  <c r="BL68" i="26"/>
  <c r="BK134" i="31"/>
  <c r="BK135" i="31" s="1"/>
  <c r="BK125" i="31"/>
  <c r="BK129" i="31" s="1"/>
  <c r="BK74" i="31"/>
  <c r="BL72" i="31" s="1"/>
  <c r="BK75" i="35"/>
  <c r="D130" i="26"/>
  <c r="H17" i="26" s="1"/>
  <c r="D129" i="26"/>
  <c r="H16" i="26" s="1"/>
  <c r="BK97" i="31"/>
  <c r="BK96" i="31"/>
  <c r="BK90" i="18" l="1"/>
  <c r="BK95" i="18" s="1"/>
  <c r="BK65" i="18"/>
  <c r="BL63" i="18" s="1"/>
  <c r="BL75" i="31"/>
  <c r="D79" i="31"/>
  <c r="H14" i="31" s="1"/>
  <c r="BK99" i="31"/>
  <c r="BK100" i="31" s="1"/>
  <c r="BK101" i="31" s="1"/>
  <c r="BK119" i="31" s="1"/>
  <c r="BK120" i="31" s="1"/>
  <c r="BK98" i="31"/>
  <c r="BL95" i="31" s="1"/>
  <c r="BK73" i="35"/>
  <c r="BK139" i="35" s="1"/>
  <c r="BK140" i="35" s="1"/>
  <c r="BK126" i="35"/>
  <c r="BK91" i="35"/>
  <c r="BK94" i="35" s="1"/>
  <c r="BK100" i="35" s="1"/>
  <c r="BK101" i="35" s="1"/>
  <c r="BK119" i="35" s="1"/>
  <c r="D70" i="18" l="1"/>
  <c r="H14" i="18" s="1"/>
  <c r="BL66" i="18"/>
  <c r="BK125" i="35"/>
  <c r="BK129" i="35" s="1"/>
  <c r="BK74" i="35"/>
  <c r="BL72" i="35" s="1"/>
  <c r="BL91" i="31"/>
  <c r="BL94" i="31" s="1"/>
  <c r="BL126" i="31"/>
  <c r="BL73" i="31"/>
  <c r="BL64" i="18" l="1"/>
  <c r="BL105" i="18" s="1"/>
  <c r="BL106" i="18" s="1"/>
  <c r="BL91" i="18"/>
  <c r="BL125" i="31"/>
  <c r="BL74" i="31"/>
  <c r="BL75" i="35"/>
  <c r="D79" i="35"/>
  <c r="H14" i="35" s="1"/>
  <c r="BL96" i="31"/>
  <c r="BL97" i="31"/>
  <c r="BL134" i="31"/>
  <c r="BL135" i="31" s="1"/>
  <c r="D108" i="18" l="1"/>
  <c r="H17" i="18" s="1"/>
  <c r="D107" i="18"/>
  <c r="H16" i="18" s="1"/>
  <c r="BL90" i="18"/>
  <c r="BL95" i="18" s="1"/>
  <c r="D96" i="18" s="1"/>
  <c r="H18" i="18" s="1"/>
  <c r="BL65" i="18"/>
  <c r="BL129" i="31"/>
  <c r="D130" i="31" s="1"/>
  <c r="H18" i="31" s="1"/>
  <c r="D136" i="31"/>
  <c r="H16" i="31" s="1"/>
  <c r="D137" i="31"/>
  <c r="H17" i="31" s="1"/>
  <c r="BL126" i="35"/>
  <c r="BL73" i="35"/>
  <c r="BL91" i="35"/>
  <c r="BL94" i="35" s="1"/>
  <c r="BL100" i="35" s="1"/>
  <c r="BL101" i="35" s="1"/>
  <c r="BL119" i="35" s="1"/>
  <c r="BL99" i="31"/>
  <c r="BL100" i="31" s="1"/>
  <c r="BL101" i="31" s="1"/>
  <c r="BL119" i="31" s="1"/>
  <c r="BL120" i="31" s="1"/>
  <c r="BL98" i="31"/>
  <c r="BL139" i="35" l="1"/>
  <c r="BL140" i="35" s="1"/>
  <c r="BL125" i="35"/>
  <c r="BL74" i="35"/>
  <c r="BL129" i="35" l="1"/>
  <c r="D130" i="35" s="1"/>
  <c r="H18" i="35" s="1"/>
  <c r="D142" i="35"/>
  <c r="H17" i="35" s="1"/>
  <c r="D141" i="35"/>
  <c r="H16" i="35" s="1"/>
  <c r="E169" i="36"/>
  <c r="E117" i="36"/>
  <c r="E175" i="36"/>
  <c r="E176" i="36" s="1"/>
  <c r="E187" i="36" l="1"/>
  <c r="AD117" i="36"/>
  <c r="AD169" i="36"/>
  <c r="N117" i="36"/>
  <c r="N169" i="36"/>
  <c r="K169" i="36"/>
  <c r="K117" i="36"/>
  <c r="AT117" i="36"/>
  <c r="AT169" i="36"/>
  <c r="BI117" i="36"/>
  <c r="BI169" i="36"/>
  <c r="T117" i="36"/>
  <c r="T169" i="36"/>
  <c r="AY169" i="36"/>
  <c r="AY117" i="36"/>
  <c r="U117" i="36"/>
  <c r="U169" i="36"/>
  <c r="P169" i="36"/>
  <c r="P117" i="36"/>
  <c r="Z117" i="36"/>
  <c r="Z169" i="36"/>
  <c r="BB169" i="36"/>
  <c r="BB117" i="36"/>
  <c r="AV169" i="36"/>
  <c r="AV117" i="36"/>
  <c r="Q169" i="36"/>
  <c r="Q117" i="36"/>
  <c r="AN117" i="36"/>
  <c r="AN169" i="36"/>
  <c r="AM117" i="36"/>
  <c r="AM169" i="36"/>
  <c r="AK169" i="36"/>
  <c r="AK117" i="36"/>
  <c r="X169" i="36"/>
  <c r="X117" i="36"/>
  <c r="AE117" i="36"/>
  <c r="AE169" i="36"/>
  <c r="V169" i="36"/>
  <c r="V117" i="36"/>
  <c r="H169" i="36"/>
  <c r="H117" i="36"/>
  <c r="AJ169" i="36"/>
  <c r="AJ117" i="36"/>
  <c r="BE169" i="36"/>
  <c r="BE117" i="36"/>
  <c r="AI117" i="36"/>
  <c r="AI169" i="36"/>
  <c r="M117" i="36"/>
  <c r="M169" i="36"/>
  <c r="S117" i="36"/>
  <c r="S169" i="36"/>
  <c r="AQ117" i="36"/>
  <c r="AQ169" i="36"/>
  <c r="BD117" i="36"/>
  <c r="BD169" i="36"/>
  <c r="BJ169" i="36"/>
  <c r="BJ117" i="36"/>
  <c r="BH117" i="36"/>
  <c r="BH169" i="36"/>
  <c r="O169" i="36"/>
  <c r="O117" i="36"/>
  <c r="AZ169" i="36"/>
  <c r="AZ117" i="36"/>
  <c r="AR117" i="36"/>
  <c r="AR169" i="36"/>
  <c r="AH117" i="36"/>
  <c r="AH169" i="36"/>
  <c r="J117" i="36"/>
  <c r="J169" i="36"/>
  <c r="AC169" i="36"/>
  <c r="AC117" i="36"/>
  <c r="AU169" i="36"/>
  <c r="AU117" i="36"/>
  <c r="L117" i="36"/>
  <c r="L169" i="36"/>
  <c r="AP169" i="36"/>
  <c r="AP117" i="36"/>
  <c r="BA169" i="36"/>
  <c r="BA117" i="36"/>
  <c r="BF117" i="36"/>
  <c r="BF169" i="36"/>
  <c r="AW117" i="36"/>
  <c r="AW169" i="36"/>
  <c r="BK117" i="36"/>
  <c r="BK169" i="36"/>
  <c r="AA117" i="36"/>
  <c r="AA169" i="36"/>
  <c r="Y169" i="36"/>
  <c r="Y117" i="36"/>
  <c r="AB169" i="36"/>
  <c r="AB117" i="36"/>
  <c r="AL169" i="36"/>
  <c r="AL117" i="36"/>
  <c r="L175" i="36"/>
  <c r="L176" i="36" s="1"/>
  <c r="L187" i="36" s="1"/>
  <c r="BC169" i="36"/>
  <c r="BC117" i="36"/>
  <c r="BC175" i="36"/>
  <c r="BC176" i="36" s="1"/>
  <c r="W169" i="36"/>
  <c r="W117" i="36"/>
  <c r="BA175" i="36"/>
  <c r="BA176" i="36" s="1"/>
  <c r="BG169" i="36"/>
  <c r="BG117" i="36"/>
  <c r="AX117" i="36"/>
  <c r="AX169" i="36"/>
  <c r="AS117" i="36"/>
  <c r="AS169" i="36"/>
  <c r="R117" i="36"/>
  <c r="R169" i="36"/>
  <c r="AM175" i="36"/>
  <c r="AM176" i="36" s="1"/>
  <c r="I169" i="36"/>
  <c r="I117" i="36"/>
  <c r="BE175" i="36"/>
  <c r="BE176" i="36" s="1"/>
  <c r="AF169" i="36"/>
  <c r="AF117" i="36"/>
  <c r="G117" i="36"/>
  <c r="G169" i="36"/>
  <c r="F117" i="36"/>
  <c r="F169" i="36"/>
  <c r="BL169" i="36"/>
  <c r="BL117" i="36"/>
  <c r="AO169" i="36"/>
  <c r="AO117" i="36"/>
  <c r="AB175" i="36"/>
  <c r="AB176" i="36" s="1"/>
  <c r="AB187" i="36" s="1"/>
  <c r="F175" i="36"/>
  <c r="F176" i="36" s="1"/>
  <c r="P175" i="36"/>
  <c r="P176" i="36" s="1"/>
  <c r="AN175" i="36"/>
  <c r="AN176" i="36" s="1"/>
  <c r="Q175" i="36"/>
  <c r="Q176" i="36" s="1"/>
  <c r="AC175" i="36"/>
  <c r="AC176" i="36" s="1"/>
  <c r="AG117" i="36"/>
  <c r="AG169" i="36"/>
  <c r="O175" i="36"/>
  <c r="O176" i="36" s="1"/>
  <c r="AT175" i="36"/>
  <c r="AT176" i="36" s="1"/>
  <c r="AG175" i="36"/>
  <c r="AG176" i="36" s="1"/>
  <c r="BJ175" i="36"/>
  <c r="BJ176" i="36" s="1"/>
  <c r="G175" i="36"/>
  <c r="G176" i="36" s="1"/>
  <c r="AK175" i="36"/>
  <c r="AK176" i="36" s="1"/>
  <c r="M175" i="36"/>
  <c r="M176" i="36" s="1"/>
  <c r="Y175" i="36"/>
  <c r="Y176" i="36" s="1"/>
  <c r="AD175" i="36"/>
  <c r="AD176" i="36" s="1"/>
  <c r="AZ175" i="36"/>
  <c r="AZ176" i="36" s="1"/>
  <c r="AE175" i="36"/>
  <c r="AE176" i="36" s="1"/>
  <c r="BF175" i="36"/>
  <c r="BF176" i="36" s="1"/>
  <c r="S175" i="36"/>
  <c r="S176" i="36" s="1"/>
  <c r="BL175" i="36"/>
  <c r="BL176" i="36" s="1"/>
  <c r="AI175" i="36"/>
  <c r="AI176" i="36" s="1"/>
  <c r="AF175" i="36"/>
  <c r="AF176" i="36" s="1"/>
  <c r="BD175" i="36"/>
  <c r="BD176" i="36" s="1"/>
  <c r="AX175" i="36"/>
  <c r="AX176" i="36" s="1"/>
  <c r="AQ175" i="36"/>
  <c r="AQ176" i="36" s="1"/>
  <c r="X175" i="36"/>
  <c r="X176" i="36" s="1"/>
  <c r="H175" i="36"/>
  <c r="H176" i="36" s="1"/>
  <c r="AO175" i="36"/>
  <c r="AO176" i="36" s="1"/>
  <c r="AO187" i="36" s="1"/>
  <c r="AA175" i="36"/>
  <c r="AA176" i="36" s="1"/>
  <c r="AV175" i="36"/>
  <c r="AV176" i="36" s="1"/>
  <c r="AS175" i="36"/>
  <c r="AS176" i="36" s="1"/>
  <c r="AW175" i="36"/>
  <c r="AW176" i="36" s="1"/>
  <c r="AH175" i="36"/>
  <c r="AH176" i="36" s="1"/>
  <c r="AL175" i="36"/>
  <c r="AL176" i="36" s="1"/>
  <c r="AP175" i="36"/>
  <c r="AP176" i="36" s="1"/>
  <c r="J175" i="36"/>
  <c r="J176" i="36" s="1"/>
  <c r="AY175" i="36"/>
  <c r="AY176" i="36" s="1"/>
  <c r="V175" i="36"/>
  <c r="V176" i="36" s="1"/>
  <c r="BG175" i="36"/>
  <c r="BG176" i="36" s="1"/>
  <c r="BB175" i="36"/>
  <c r="BB176" i="36" s="1"/>
  <c r="U175" i="36"/>
  <c r="U176" i="36" s="1"/>
  <c r="R175" i="36"/>
  <c r="R176" i="36" s="1"/>
  <c r="N175" i="36"/>
  <c r="N176" i="36" s="1"/>
  <c r="W175" i="36"/>
  <c r="W176" i="36" s="1"/>
  <c r="T175" i="36"/>
  <c r="T176" i="36" s="1"/>
  <c r="BH175" i="36"/>
  <c r="BH176" i="36" s="1"/>
  <c r="K175" i="36"/>
  <c r="K176" i="36" s="1"/>
  <c r="AU175" i="36"/>
  <c r="AU176" i="36" s="1"/>
  <c r="BK175" i="36"/>
  <c r="BK176" i="36" s="1"/>
  <c r="BI175" i="36"/>
  <c r="BI176" i="36" s="1"/>
  <c r="I175" i="36"/>
  <c r="I176" i="36" s="1"/>
  <c r="AJ175" i="36"/>
  <c r="AJ176" i="36" s="1"/>
  <c r="Z175" i="36"/>
  <c r="Z176" i="36" s="1"/>
  <c r="AR175" i="36"/>
  <c r="AR176" i="36" s="1"/>
  <c r="K187" i="36" l="1"/>
  <c r="AR187" i="36"/>
  <c r="AJ187" i="36"/>
  <c r="BI187" i="36"/>
  <c r="Z187" i="36"/>
  <c r="I187" i="36"/>
  <c r="BK187" i="36"/>
  <c r="T187" i="36"/>
  <c r="R187" i="36"/>
  <c r="U187" i="36"/>
  <c r="AP187" i="36"/>
  <c r="BH187" i="36"/>
  <c r="W187" i="36"/>
  <c r="N187" i="36"/>
  <c r="BB187" i="36"/>
  <c r="AL187" i="36"/>
  <c r="AU187" i="36"/>
  <c r="AV187" i="36"/>
  <c r="AQ187" i="36"/>
  <c r="V187" i="36"/>
  <c r="AY187" i="36"/>
  <c r="J187" i="36"/>
  <c r="AH187" i="36"/>
  <c r="AW187" i="36"/>
  <c r="AS187" i="36"/>
  <c r="H187" i="36"/>
  <c r="AX187" i="36"/>
  <c r="AA187" i="36"/>
  <c r="BD187" i="36"/>
  <c r="BG187" i="36"/>
  <c r="AD187" i="36"/>
  <c r="M187" i="36"/>
  <c r="AI187" i="36"/>
  <c r="S187" i="36"/>
  <c r="BJ187" i="36"/>
  <c r="AN187" i="36"/>
  <c r="BF187" i="36"/>
  <c r="AK187" i="36"/>
  <c r="AG187" i="36"/>
  <c r="AC187" i="36"/>
  <c r="F187" i="36"/>
  <c r="X187" i="36"/>
  <c r="AF187" i="36"/>
  <c r="AE187" i="36"/>
  <c r="G187" i="36"/>
  <c r="AT187" i="36"/>
  <c r="AM187" i="36"/>
  <c r="BL187" i="36"/>
  <c r="BA187" i="36"/>
  <c r="AZ187" i="36"/>
  <c r="O187" i="36"/>
  <c r="Y187" i="36"/>
  <c r="P187" i="36"/>
  <c r="BE187" i="36"/>
  <c r="Q187" i="36"/>
  <c r="BC187" i="36"/>
  <c r="F121" i="36"/>
  <c r="AK123" i="36"/>
  <c r="AL124" i="36" s="1"/>
  <c r="AL179" i="36" s="1"/>
  <c r="AR123" i="36"/>
  <c r="AS124" i="36" s="1"/>
  <c r="AS179" i="36" s="1"/>
  <c r="AD121" i="36"/>
  <c r="V123" i="36"/>
  <c r="W124" i="36" s="1"/>
  <c r="W179" i="36" s="1"/>
  <c r="AV123" i="36"/>
  <c r="AW124" i="36" s="1"/>
  <c r="AW179" i="36" s="1"/>
  <c r="X121" i="36"/>
  <c r="AZ123" i="36"/>
  <c r="BA124" i="36" s="1"/>
  <c r="BA179" i="36" s="1"/>
  <c r="AJ121" i="36"/>
  <c r="AI123" i="36"/>
  <c r="AJ124" i="36" s="1"/>
  <c r="AJ179" i="36" s="1"/>
  <c r="T123" i="36"/>
  <c r="U124" i="36" s="1"/>
  <c r="U179" i="36" s="1"/>
  <c r="AQ121" i="36"/>
  <c r="BH123" i="36"/>
  <c r="BI124" i="36" s="1"/>
  <c r="BI179" i="36" s="1"/>
  <c r="AO123" i="36"/>
  <c r="AP124" i="36" s="1"/>
  <c r="AP179" i="36" s="1"/>
  <c r="AQ165" i="36" l="1"/>
  <c r="AQ161" i="36"/>
  <c r="AD165" i="36"/>
  <c r="AD161" i="36"/>
  <c r="X165" i="36"/>
  <c r="X161" i="36"/>
  <c r="AJ165" i="36"/>
  <c r="AJ161" i="36"/>
  <c r="F165" i="36"/>
  <c r="F161" i="36"/>
  <c r="AQ123" i="36"/>
  <c r="AR124" i="36" s="1"/>
  <c r="AW123" i="36"/>
  <c r="AX124" i="36" s="1"/>
  <c r="AR121" i="36"/>
  <c r="AS121" i="36"/>
  <c r="AE121" i="36"/>
  <c r="AX121" i="36"/>
  <c r="BI93" i="36"/>
  <c r="BI167" i="36"/>
  <c r="Z121" i="36"/>
  <c r="Y123" i="36"/>
  <c r="Z124" i="36" s="1"/>
  <c r="Z179" i="36" s="1"/>
  <c r="AM121" i="36"/>
  <c r="AL123" i="36"/>
  <c r="AM124" i="36" s="1"/>
  <c r="AM179" i="36" s="1"/>
  <c r="I123" i="36"/>
  <c r="J124" i="36" s="1"/>
  <c r="J179" i="36" s="1"/>
  <c r="J121" i="36"/>
  <c r="AJ167" i="36"/>
  <c r="AJ93" i="36"/>
  <c r="AM123" i="36"/>
  <c r="AN124" i="36" s="1"/>
  <c r="AN179" i="36" s="1"/>
  <c r="AN121" i="36"/>
  <c r="BJ121" i="36"/>
  <c r="BI123" i="36"/>
  <c r="BJ124" i="36" s="1"/>
  <c r="BJ179" i="36" s="1"/>
  <c r="AP167" i="36"/>
  <c r="AP93" i="36"/>
  <c r="AS123" i="36"/>
  <c r="AT124" i="36" s="1"/>
  <c r="AT179" i="36" s="1"/>
  <c r="AT121" i="36"/>
  <c r="BG121" i="36"/>
  <c r="BF123" i="36"/>
  <c r="BG124" i="36" s="1"/>
  <c r="BG179" i="36" s="1"/>
  <c r="AY121" i="36"/>
  <c r="AX123" i="36"/>
  <c r="AY124" i="36" s="1"/>
  <c r="AY179" i="36" s="1"/>
  <c r="BC121" i="36"/>
  <c r="BB123" i="36"/>
  <c r="BC124" i="36" s="1"/>
  <c r="BC179" i="36" s="1"/>
  <c r="AU123" i="36"/>
  <c r="AV124" i="36" s="1"/>
  <c r="AV179" i="36" s="1"/>
  <c r="AV121" i="36"/>
  <c r="AF121" i="36"/>
  <c r="AE123" i="36"/>
  <c r="AF124" i="36" s="1"/>
  <c r="AF179" i="36" s="1"/>
  <c r="BI121" i="36"/>
  <c r="N123" i="36"/>
  <c r="O124" i="36" s="1"/>
  <c r="O179" i="36" s="1"/>
  <c r="O121" i="36"/>
  <c r="BH121" i="36"/>
  <c r="BG123" i="36"/>
  <c r="BH124" i="36" s="1"/>
  <c r="BH179" i="36" s="1"/>
  <c r="U93" i="36"/>
  <c r="U167" i="36"/>
  <c r="BA167" i="36"/>
  <c r="BA93" i="36"/>
  <c r="AW167" i="36"/>
  <c r="AW93" i="36"/>
  <c r="W121" i="36"/>
  <c r="S121" i="36"/>
  <c r="R123" i="36"/>
  <c r="S124" i="36" s="1"/>
  <c r="S179" i="36" s="1"/>
  <c r="BA123" i="36"/>
  <c r="BB124" i="36" s="1"/>
  <c r="BB179" i="36" s="1"/>
  <c r="BB121" i="36"/>
  <c r="H123" i="36"/>
  <c r="I124" i="36" s="1"/>
  <c r="I179" i="36" s="1"/>
  <c r="I121" i="36"/>
  <c r="AP121" i="36"/>
  <c r="M123" i="36"/>
  <c r="N124" i="36" s="1"/>
  <c r="N179" i="36" s="1"/>
  <c r="N121" i="36"/>
  <c r="BK121" i="36"/>
  <c r="BJ123" i="36"/>
  <c r="BK124" i="36" s="1"/>
  <c r="BK179" i="36" s="1"/>
  <c r="BF121" i="36"/>
  <c r="BE123" i="36"/>
  <c r="BF124" i="36" s="1"/>
  <c r="BF179" i="36" s="1"/>
  <c r="AI121" i="36"/>
  <c r="AH123" i="36"/>
  <c r="AI124" i="36" s="1"/>
  <c r="AI179" i="36" s="1"/>
  <c r="BE121" i="36"/>
  <c r="BD123" i="36"/>
  <c r="BE124" i="36" s="1"/>
  <c r="BE179" i="36" s="1"/>
  <c r="P123" i="36"/>
  <c r="Q124" i="36" s="1"/>
  <c r="Q179" i="36" s="1"/>
  <c r="Q121" i="36"/>
  <c r="AU121" i="36"/>
  <c r="AT123" i="36"/>
  <c r="AU124" i="36" s="1"/>
  <c r="AU179" i="36" s="1"/>
  <c r="BL121" i="36"/>
  <c r="BK123" i="36"/>
  <c r="BL124" i="36" s="1"/>
  <c r="BL179" i="36" s="1"/>
  <c r="W167" i="36"/>
  <c r="W93" i="36"/>
  <c r="G121" i="36"/>
  <c r="F123" i="36"/>
  <c r="G124" i="36" s="1"/>
  <c r="G179" i="36" s="1"/>
  <c r="W123" i="36"/>
  <c r="X124" i="36" s="1"/>
  <c r="X179" i="36" s="1"/>
  <c r="H121" i="36"/>
  <c r="G123" i="36"/>
  <c r="H124" i="36" s="1"/>
  <c r="H179" i="36" s="1"/>
  <c r="X123" i="36"/>
  <c r="Y124" i="36" s="1"/>
  <c r="Y179" i="36" s="1"/>
  <c r="Y121" i="36"/>
  <c r="AS93" i="36"/>
  <c r="AS167" i="36"/>
  <c r="AP123" i="36"/>
  <c r="AQ124" i="36" s="1"/>
  <c r="AQ179" i="36" s="1"/>
  <c r="U121" i="36"/>
  <c r="AY123" i="36"/>
  <c r="AZ124" i="36" s="1"/>
  <c r="AZ179" i="36" s="1"/>
  <c r="BA121" i="36"/>
  <c r="AZ121" i="36"/>
  <c r="AW121" i="36"/>
  <c r="Q123" i="36"/>
  <c r="R124" i="36" s="1"/>
  <c r="R179" i="36" s="1"/>
  <c r="R121" i="36"/>
  <c r="AF123" i="36"/>
  <c r="AG124" i="36" s="1"/>
  <c r="AG179" i="36" s="1"/>
  <c r="AL93" i="36"/>
  <c r="AL167" i="36"/>
  <c r="AG121" i="36"/>
  <c r="AO121" i="36"/>
  <c r="AN123" i="36"/>
  <c r="AO124" i="36" s="1"/>
  <c r="AO179" i="36" s="1"/>
  <c r="BD121" i="36"/>
  <c r="BC123" i="36"/>
  <c r="BD124" i="36" s="1"/>
  <c r="BD179" i="36" s="1"/>
  <c r="AJ123" i="36"/>
  <c r="AK124" i="36" s="1"/>
  <c r="AK179" i="36" s="1"/>
  <c r="AK121" i="36"/>
  <c r="AH121" i="36"/>
  <c r="AG123" i="36"/>
  <c r="AH124" i="36" s="1"/>
  <c r="AH179" i="36" s="1"/>
  <c r="S123" i="36"/>
  <c r="T124" i="36" s="1"/>
  <c r="T179" i="36" s="1"/>
  <c r="T121" i="36"/>
  <c r="K121" i="36"/>
  <c r="J123" i="36"/>
  <c r="K124" i="36" s="1"/>
  <c r="K179" i="36" s="1"/>
  <c r="AA123" i="36"/>
  <c r="AB124" i="36" s="1"/>
  <c r="AB179" i="36" s="1"/>
  <c r="AB121" i="36"/>
  <c r="AC123" i="36"/>
  <c r="AD124" i="36" s="1"/>
  <c r="AD179" i="36" s="1"/>
  <c r="AL121" i="36"/>
  <c r="Z123" i="36"/>
  <c r="AA124" i="36" s="1"/>
  <c r="AA179" i="36" s="1"/>
  <c r="AA121" i="36"/>
  <c r="M121" i="36"/>
  <c r="L123" i="36"/>
  <c r="M124" i="36" s="1"/>
  <c r="M179" i="36" s="1"/>
  <c r="AC121" i="36"/>
  <c r="AB123" i="36"/>
  <c r="AC124" i="36" s="1"/>
  <c r="AC179" i="36" s="1"/>
  <c r="U123" i="36"/>
  <c r="V124" i="36" s="1"/>
  <c r="V179" i="36" s="1"/>
  <c r="O123" i="36"/>
  <c r="P124" i="36" s="1"/>
  <c r="P179" i="36" s="1"/>
  <c r="P121" i="36"/>
  <c r="AD123" i="36"/>
  <c r="AE124" i="36" s="1"/>
  <c r="AE179" i="36" s="1"/>
  <c r="V121" i="36"/>
  <c r="K123" i="36"/>
  <c r="L124" i="36" s="1"/>
  <c r="L179" i="36" s="1"/>
  <c r="L121" i="36"/>
  <c r="E123" i="36"/>
  <c r="F124" i="36" s="1"/>
  <c r="F179" i="36" s="1"/>
  <c r="L165" i="36" l="1"/>
  <c r="L161" i="36"/>
  <c r="AA165" i="36"/>
  <c r="AA161" i="36"/>
  <c r="AB165" i="36"/>
  <c r="AB161" i="36"/>
  <c r="T165" i="36"/>
  <c r="T161" i="36"/>
  <c r="AK165" i="36"/>
  <c r="AK161" i="36"/>
  <c r="AW165" i="36"/>
  <c r="AW161" i="36"/>
  <c r="U165" i="36"/>
  <c r="U161" i="36"/>
  <c r="Y165" i="36"/>
  <c r="Y161" i="36"/>
  <c r="AU165" i="36"/>
  <c r="AU161" i="36"/>
  <c r="BE165" i="36"/>
  <c r="BE161" i="36"/>
  <c r="BF165" i="36"/>
  <c r="BF161" i="36"/>
  <c r="BB165" i="36"/>
  <c r="BB161" i="36"/>
  <c r="W165" i="36"/>
  <c r="W161" i="36"/>
  <c r="BH165" i="36"/>
  <c r="BH161" i="36"/>
  <c r="AN165" i="36"/>
  <c r="AN161" i="36"/>
  <c r="J165" i="36"/>
  <c r="J161" i="36"/>
  <c r="AX165" i="36"/>
  <c r="AX161" i="36"/>
  <c r="P165" i="36"/>
  <c r="P161" i="36"/>
  <c r="AC165" i="36"/>
  <c r="AC161" i="36"/>
  <c r="AO165" i="36"/>
  <c r="AO161" i="36"/>
  <c r="AZ165" i="36"/>
  <c r="AZ161" i="36"/>
  <c r="Q165" i="36"/>
  <c r="Q161" i="36"/>
  <c r="AP165" i="36"/>
  <c r="AP161" i="36"/>
  <c r="O165" i="36"/>
  <c r="O161" i="36"/>
  <c r="AF165" i="36"/>
  <c r="AF161" i="36"/>
  <c r="BC165" i="36"/>
  <c r="BC161" i="36"/>
  <c r="BG165" i="36"/>
  <c r="BG161" i="36"/>
  <c r="Z165" i="36"/>
  <c r="Z161" i="36"/>
  <c r="AE165" i="36"/>
  <c r="AE161" i="36"/>
  <c r="AL165" i="36"/>
  <c r="AL161" i="36"/>
  <c r="AG165" i="36"/>
  <c r="AG161" i="36"/>
  <c r="R165" i="36"/>
  <c r="R161" i="36"/>
  <c r="BA165" i="36"/>
  <c r="BA161" i="36"/>
  <c r="G165" i="36"/>
  <c r="G161" i="36"/>
  <c r="BL165" i="36"/>
  <c r="BL161" i="36"/>
  <c r="AI165" i="36"/>
  <c r="AI161" i="36"/>
  <c r="BK165" i="36"/>
  <c r="BK161" i="36"/>
  <c r="I165" i="36"/>
  <c r="I161" i="36"/>
  <c r="AV165" i="36"/>
  <c r="AV161" i="36"/>
  <c r="AT165" i="36"/>
  <c r="AT161" i="36"/>
  <c r="AS165" i="36"/>
  <c r="AS161" i="36"/>
  <c r="V165" i="36"/>
  <c r="V161" i="36"/>
  <c r="M165" i="36"/>
  <c r="M161" i="36"/>
  <c r="K165" i="36"/>
  <c r="K161" i="36"/>
  <c r="AH165" i="36"/>
  <c r="AH161" i="36"/>
  <c r="BD165" i="36"/>
  <c r="BD161" i="36"/>
  <c r="H165" i="36"/>
  <c r="H161" i="36"/>
  <c r="N165" i="36"/>
  <c r="N161" i="36"/>
  <c r="S165" i="36"/>
  <c r="S161" i="36"/>
  <c r="BI165" i="36"/>
  <c r="BI161" i="36"/>
  <c r="AY165" i="36"/>
  <c r="AY161" i="36"/>
  <c r="BJ165" i="36"/>
  <c r="BJ161" i="36"/>
  <c r="AM165" i="36"/>
  <c r="AM161" i="36"/>
  <c r="AR165" i="36"/>
  <c r="AR161" i="36"/>
  <c r="AX93" i="36"/>
  <c r="AX179" i="36"/>
  <c r="AR93" i="36"/>
  <c r="AR179" i="36"/>
  <c r="AX167" i="36"/>
  <c r="AR167" i="36"/>
  <c r="AE93" i="36"/>
  <c r="AE167" i="36"/>
  <c r="AB167" i="36"/>
  <c r="AB93" i="36"/>
  <c r="L93" i="36"/>
  <c r="L167" i="36"/>
  <c r="AC93" i="36"/>
  <c r="AC167" i="36"/>
  <c r="M93" i="36"/>
  <c r="M167" i="36"/>
  <c r="AD93" i="36"/>
  <c r="AD167" i="36"/>
  <c r="BD167" i="36"/>
  <c r="BD93" i="36"/>
  <c r="R167" i="36"/>
  <c r="R93" i="36"/>
  <c r="Y167" i="36"/>
  <c r="Y93" i="36"/>
  <c r="X167" i="36"/>
  <c r="X93" i="36"/>
  <c r="BE167" i="36"/>
  <c r="BE93" i="36"/>
  <c r="BH93" i="36"/>
  <c r="BH167" i="36"/>
  <c r="O167" i="36"/>
  <c r="O93" i="36"/>
  <c r="AV93" i="36"/>
  <c r="AV167" i="36"/>
  <c r="AY93" i="36"/>
  <c r="AY167" i="36"/>
  <c r="AM167" i="36"/>
  <c r="AM93" i="36"/>
  <c r="AA93" i="36"/>
  <c r="AA167" i="36"/>
  <c r="K93" i="36"/>
  <c r="K167" i="36"/>
  <c r="T93" i="36"/>
  <c r="T167" i="36"/>
  <c r="H93" i="36"/>
  <c r="H167" i="36"/>
  <c r="BK93" i="36"/>
  <c r="BK167" i="36"/>
  <c r="N167" i="36"/>
  <c r="N93" i="36"/>
  <c r="BB93" i="36"/>
  <c r="BB167" i="36"/>
  <c r="BC93" i="36"/>
  <c r="BC167" i="36"/>
  <c r="F93" i="36"/>
  <c r="F167" i="36"/>
  <c r="P167" i="36"/>
  <c r="P93" i="36"/>
  <c r="AG167" i="36"/>
  <c r="AG93" i="36"/>
  <c r="G93" i="36"/>
  <c r="G167" i="36"/>
  <c r="AU167" i="36"/>
  <c r="AU93" i="36"/>
  <c r="Q93" i="36"/>
  <c r="Q167" i="36"/>
  <c r="BF167" i="36"/>
  <c r="BF93" i="36"/>
  <c r="J167" i="36"/>
  <c r="J93" i="36"/>
  <c r="V167" i="36"/>
  <c r="V93" i="36"/>
  <c r="AH93" i="36"/>
  <c r="AH167" i="36"/>
  <c r="AK93" i="36"/>
  <c r="AK167" i="36"/>
  <c r="AO167" i="36"/>
  <c r="AO93" i="36"/>
  <c r="AZ93" i="36"/>
  <c r="AZ167" i="36"/>
  <c r="AQ167" i="36"/>
  <c r="AQ93" i="36"/>
  <c r="BL93" i="36"/>
  <c r="BL167" i="36"/>
  <c r="AI93" i="36"/>
  <c r="AI167" i="36"/>
  <c r="I167" i="36"/>
  <c r="I93" i="36"/>
  <c r="S93" i="36"/>
  <c r="S167" i="36"/>
  <c r="AF167" i="36"/>
  <c r="AF93" i="36"/>
  <c r="BG167" i="36"/>
  <c r="BG93" i="36"/>
  <c r="AT167" i="36"/>
  <c r="AT93" i="36"/>
  <c r="BJ93" i="36"/>
  <c r="BJ167" i="36"/>
  <c r="AN167" i="36"/>
  <c r="AN93" i="36"/>
  <c r="Z93" i="36"/>
  <c r="Z167" i="36"/>
  <c r="E121" i="36"/>
  <c r="D123" i="36"/>
  <c r="E124" i="36" s="1"/>
  <c r="E179" i="36" s="1"/>
  <c r="E116" i="36"/>
  <c r="E118" i="36" s="1"/>
  <c r="E165" i="36" l="1"/>
  <c r="E161" i="36"/>
  <c r="F116" i="36"/>
  <c r="F118" i="36" s="1"/>
  <c r="E170" i="36"/>
  <c r="E93" i="36"/>
  <c r="E167" i="36"/>
  <c r="G116" i="36" l="1"/>
  <c r="G118" i="36" s="1"/>
  <c r="F170" i="36"/>
  <c r="D70" i="36"/>
  <c r="D76" i="36" s="1"/>
  <c r="H116" i="36" l="1"/>
  <c r="H118" i="36" s="1"/>
  <c r="G170" i="36"/>
  <c r="D75" i="36"/>
  <c r="D91" i="36"/>
  <c r="I116" i="36" l="1"/>
  <c r="I118" i="36" s="1"/>
  <c r="H170" i="36"/>
  <c r="D78" i="36"/>
  <c r="E91" i="36"/>
  <c r="J116" i="36" l="1"/>
  <c r="J118" i="36" s="1"/>
  <c r="I170" i="36"/>
  <c r="E64" i="36"/>
  <c r="F91" i="36"/>
  <c r="E92" i="36"/>
  <c r="E166" i="36" s="1"/>
  <c r="E105" i="36" l="1"/>
  <c r="K116" i="36"/>
  <c r="K118" i="36" s="1"/>
  <c r="J170" i="36"/>
  <c r="E94" i="36"/>
  <c r="F64" i="36"/>
  <c r="F105" i="36" s="1"/>
  <c r="G91" i="36"/>
  <c r="F92" i="36"/>
  <c r="L116" i="36" l="1"/>
  <c r="L118" i="36" s="1"/>
  <c r="K170" i="36"/>
  <c r="F94" i="36"/>
  <c r="F166" i="36"/>
  <c r="H91" i="36"/>
  <c r="G64" i="36"/>
  <c r="G92" i="36"/>
  <c r="G105" i="36" l="1"/>
  <c r="G94" i="36"/>
  <c r="G166" i="36"/>
  <c r="M116" i="36"/>
  <c r="M118" i="36" s="1"/>
  <c r="L170" i="36"/>
  <c r="H92" i="36"/>
  <c r="H166" i="36" s="1"/>
  <c r="I91" i="36"/>
  <c r="H64" i="36"/>
  <c r="H105" i="36" s="1"/>
  <c r="N116" i="36" l="1"/>
  <c r="N118" i="36" s="1"/>
  <c r="M170" i="36"/>
  <c r="J91" i="36"/>
  <c r="I92" i="36"/>
  <c r="I64" i="36"/>
  <c r="I105" i="36" s="1"/>
  <c r="H94" i="36"/>
  <c r="O116" i="36" l="1"/>
  <c r="O118" i="36" s="1"/>
  <c r="N170" i="36"/>
  <c r="I94" i="36"/>
  <c r="I166" i="36"/>
  <c r="J64" i="36"/>
  <c r="K91" i="36"/>
  <c r="J92" i="36"/>
  <c r="J105" i="36" l="1"/>
  <c r="P116" i="36"/>
  <c r="P118" i="36" s="1"/>
  <c r="O170" i="36"/>
  <c r="J94" i="36"/>
  <c r="J166" i="36"/>
  <c r="K64" i="36"/>
  <c r="K105" i="36" s="1"/>
  <c r="L91" i="36"/>
  <c r="K92" i="36"/>
  <c r="K166" i="36" s="1"/>
  <c r="Q116" i="36" l="1"/>
  <c r="Q118" i="36" s="1"/>
  <c r="P170" i="36"/>
  <c r="K94" i="36"/>
  <c r="L92" i="36"/>
  <c r="M91" i="36"/>
  <c r="L64" i="36"/>
  <c r="L105" i="36" l="1"/>
  <c r="R116" i="36"/>
  <c r="R118" i="36" s="1"/>
  <c r="Q170" i="36"/>
  <c r="L94" i="36"/>
  <c r="L166" i="36"/>
  <c r="M64" i="36"/>
  <c r="M105" i="36" s="1"/>
  <c r="N91" i="36"/>
  <c r="M92" i="36"/>
  <c r="M94" i="36" l="1"/>
  <c r="M166" i="36"/>
  <c r="S116" i="36"/>
  <c r="S118" i="36" s="1"/>
  <c r="R170" i="36"/>
  <c r="N92" i="36"/>
  <c r="N64" i="36"/>
  <c r="N105" i="36" s="1"/>
  <c r="O91" i="36"/>
  <c r="T116" i="36" l="1"/>
  <c r="T118" i="36" s="1"/>
  <c r="S170" i="36"/>
  <c r="N94" i="36"/>
  <c r="N166" i="36"/>
  <c r="O64" i="36"/>
  <c r="O105" i="36" s="1"/>
  <c r="O92" i="36"/>
  <c r="P91" i="36"/>
  <c r="U116" i="36" l="1"/>
  <c r="U118" i="36" s="1"/>
  <c r="T170" i="36"/>
  <c r="O94" i="36"/>
  <c r="O166" i="36"/>
  <c r="P64" i="36"/>
  <c r="P105" i="36" s="1"/>
  <c r="Q91" i="36"/>
  <c r="P92" i="36"/>
  <c r="P94" i="36" l="1"/>
  <c r="P166" i="36"/>
  <c r="V116" i="36"/>
  <c r="V118" i="36" s="1"/>
  <c r="U170" i="36"/>
  <c r="Q92" i="36"/>
  <c r="R91" i="36"/>
  <c r="Q64" i="36"/>
  <c r="Q105" i="36" s="1"/>
  <c r="Q94" i="36" l="1"/>
  <c r="Q166" i="36"/>
  <c r="W116" i="36"/>
  <c r="W118" i="36" s="1"/>
  <c r="V170" i="36"/>
  <c r="R64" i="36"/>
  <c r="R105" i="36" s="1"/>
  <c r="S91" i="36"/>
  <c r="R92" i="36"/>
  <c r="R94" i="36" l="1"/>
  <c r="R166" i="36"/>
  <c r="X116" i="36"/>
  <c r="X118" i="36" s="1"/>
  <c r="W170" i="36"/>
  <c r="T91" i="36"/>
  <c r="S64" i="36"/>
  <c r="S105" i="36" s="1"/>
  <c r="S92" i="36"/>
  <c r="Y116" i="36" l="1"/>
  <c r="Y118" i="36" s="1"/>
  <c r="X170" i="36"/>
  <c r="S94" i="36"/>
  <c r="S166" i="36"/>
  <c r="T64" i="36"/>
  <c r="T105" i="36" s="1"/>
  <c r="T92" i="36"/>
  <c r="U91" i="36"/>
  <c r="T94" i="36" l="1"/>
  <c r="T166" i="36"/>
  <c r="Z116" i="36"/>
  <c r="Z118" i="36" s="1"/>
  <c r="Y170" i="36"/>
  <c r="U92" i="36"/>
  <c r="V91" i="36"/>
  <c r="U64" i="36"/>
  <c r="U105" i="36" s="1"/>
  <c r="U94" i="36" l="1"/>
  <c r="U166" i="36"/>
  <c r="AA116" i="36"/>
  <c r="AA118" i="36" s="1"/>
  <c r="Z170" i="36"/>
  <c r="V64" i="36"/>
  <c r="V105" i="36" s="1"/>
  <c r="W91" i="36"/>
  <c r="V92" i="36"/>
  <c r="V94" i="36" l="1"/>
  <c r="V166" i="36"/>
  <c r="AB116" i="36"/>
  <c r="AB118" i="36" s="1"/>
  <c r="AA170" i="36"/>
  <c r="W92" i="36"/>
  <c r="W64" i="36"/>
  <c r="W105" i="36" s="1"/>
  <c r="X91" i="36"/>
  <c r="AC116" i="36" l="1"/>
  <c r="AC118" i="36" s="1"/>
  <c r="AB170" i="36"/>
  <c r="W94" i="36"/>
  <c r="W166" i="36"/>
  <c r="X92" i="36"/>
  <c r="Y91" i="36"/>
  <c r="X64" i="36"/>
  <c r="X105" i="36" s="1"/>
  <c r="X94" i="36" l="1"/>
  <c r="X166" i="36"/>
  <c r="AD116" i="36"/>
  <c r="AD118" i="36" s="1"/>
  <c r="AC170" i="36"/>
  <c r="Z91" i="36"/>
  <c r="Y64" i="36"/>
  <c r="Y105" i="36" s="1"/>
  <c r="Y92" i="36"/>
  <c r="Y94" i="36" l="1"/>
  <c r="Y166" i="36"/>
  <c r="AE116" i="36"/>
  <c r="AE118" i="36" s="1"/>
  <c r="AD170" i="36"/>
  <c r="Z92" i="36"/>
  <c r="AA91" i="36"/>
  <c r="Z64" i="36"/>
  <c r="Z105" i="36" s="1"/>
  <c r="Z94" i="36" l="1"/>
  <c r="Z166" i="36"/>
  <c r="AF116" i="36"/>
  <c r="AF118" i="36" s="1"/>
  <c r="AE170" i="36"/>
  <c r="AA92" i="36"/>
  <c r="AA64" i="36"/>
  <c r="AA105" i="36" s="1"/>
  <c r="AB91" i="36"/>
  <c r="AG116" i="36" l="1"/>
  <c r="AG118" i="36" s="1"/>
  <c r="AF170" i="36"/>
  <c r="AA94" i="36"/>
  <c r="AA166" i="36"/>
  <c r="AB64" i="36"/>
  <c r="AB105" i="36" s="1"/>
  <c r="AB92" i="36"/>
  <c r="AC91" i="36"/>
  <c r="AB94" i="36" l="1"/>
  <c r="AB166" i="36"/>
  <c r="AH116" i="36"/>
  <c r="AH118" i="36" s="1"/>
  <c r="AG170" i="36"/>
  <c r="AC92" i="36"/>
  <c r="AD91" i="36"/>
  <c r="AC64" i="36"/>
  <c r="AC105" i="36" s="1"/>
  <c r="AC94" i="36" l="1"/>
  <c r="AC166" i="36"/>
  <c r="AI116" i="36"/>
  <c r="AI118" i="36" s="1"/>
  <c r="AH170" i="36"/>
  <c r="AD64" i="36"/>
  <c r="AD105" i="36" s="1"/>
  <c r="AE91" i="36"/>
  <c r="AD92" i="36"/>
  <c r="AD94" i="36" l="1"/>
  <c r="AD166" i="36"/>
  <c r="AJ116" i="36"/>
  <c r="AJ118" i="36" s="1"/>
  <c r="AI170" i="36"/>
  <c r="AE64" i="36"/>
  <c r="AE105" i="36" s="1"/>
  <c r="AF91" i="36"/>
  <c r="AE92" i="36"/>
  <c r="AE94" i="36" l="1"/>
  <c r="AE166" i="36"/>
  <c r="AK116" i="36"/>
  <c r="AK118" i="36" s="1"/>
  <c r="AJ170" i="36"/>
  <c r="AF64" i="36"/>
  <c r="AF105" i="36" s="1"/>
  <c r="AF92" i="36"/>
  <c r="AG91" i="36"/>
  <c r="AL116" i="36" l="1"/>
  <c r="AL118" i="36" s="1"/>
  <c r="AK170" i="36"/>
  <c r="AF94" i="36"/>
  <c r="AF166" i="36"/>
  <c r="AH91" i="36"/>
  <c r="AG64" i="36"/>
  <c r="AG105" i="36" s="1"/>
  <c r="AG92" i="36"/>
  <c r="AM116" i="36" l="1"/>
  <c r="AM118" i="36" s="1"/>
  <c r="AL170" i="36"/>
  <c r="AG94" i="36"/>
  <c r="AG166" i="36"/>
  <c r="AH64" i="36"/>
  <c r="AH105" i="36" s="1"/>
  <c r="AI91" i="36"/>
  <c r="AH92" i="36"/>
  <c r="AH94" i="36" l="1"/>
  <c r="AH166" i="36"/>
  <c r="AN116" i="36"/>
  <c r="AN118" i="36" s="1"/>
  <c r="AM170" i="36"/>
  <c r="AI64" i="36"/>
  <c r="AI105" i="36" s="1"/>
  <c r="AJ91" i="36"/>
  <c r="AI92" i="36"/>
  <c r="AI94" i="36" l="1"/>
  <c r="AI166" i="36"/>
  <c r="AO116" i="36"/>
  <c r="AO118" i="36" s="1"/>
  <c r="AN170" i="36"/>
  <c r="AJ64" i="36"/>
  <c r="AJ105" i="36" s="1"/>
  <c r="AK91" i="36"/>
  <c r="AJ92" i="36"/>
  <c r="AP116" i="36" l="1"/>
  <c r="AP118" i="36" s="1"/>
  <c r="AO170" i="36"/>
  <c r="AJ94" i="36"/>
  <c r="AJ166" i="36"/>
  <c r="AK64" i="36"/>
  <c r="AK105" i="36" s="1"/>
  <c r="AL91" i="36"/>
  <c r="AK92" i="36"/>
  <c r="AQ116" i="36" l="1"/>
  <c r="AQ118" i="36" s="1"/>
  <c r="AP170" i="36"/>
  <c r="AK94" i="36"/>
  <c r="AK166" i="36"/>
  <c r="AL92" i="36"/>
  <c r="AM91" i="36"/>
  <c r="AL64" i="36"/>
  <c r="AL105" i="36" s="1"/>
  <c r="AL94" i="36" l="1"/>
  <c r="AL166" i="36"/>
  <c r="AR116" i="36"/>
  <c r="AR118" i="36" s="1"/>
  <c r="AQ170" i="36"/>
  <c r="AM92" i="36"/>
  <c r="AN91" i="36"/>
  <c r="AM64" i="36"/>
  <c r="AM105" i="36" s="1"/>
  <c r="AM94" i="36" l="1"/>
  <c r="AM166" i="36"/>
  <c r="AS116" i="36"/>
  <c r="AS118" i="36" s="1"/>
  <c r="AR170" i="36"/>
  <c r="AN64" i="36"/>
  <c r="AN105" i="36" s="1"/>
  <c r="AN92" i="36"/>
  <c r="AO91" i="36"/>
  <c r="AT116" i="36" l="1"/>
  <c r="AT118" i="36" s="1"/>
  <c r="AS170" i="36"/>
  <c r="AN94" i="36"/>
  <c r="AN166" i="36"/>
  <c r="AO64" i="36"/>
  <c r="AO105" i="36" s="1"/>
  <c r="AP91" i="36"/>
  <c r="AO92" i="36"/>
  <c r="AO94" i="36" l="1"/>
  <c r="AO166" i="36"/>
  <c r="AU116" i="36"/>
  <c r="AU118" i="36" s="1"/>
  <c r="AT170" i="36"/>
  <c r="AQ91" i="36"/>
  <c r="AP92" i="36"/>
  <c r="AP64" i="36"/>
  <c r="AP105" i="36" s="1"/>
  <c r="AV116" i="36" l="1"/>
  <c r="AV118" i="36" s="1"/>
  <c r="AU170" i="36"/>
  <c r="AP94" i="36"/>
  <c r="AP166" i="36"/>
  <c r="AR91" i="36"/>
  <c r="AQ92" i="36"/>
  <c r="AQ64" i="36"/>
  <c r="AQ105" i="36" s="1"/>
  <c r="AW116" i="36" l="1"/>
  <c r="AW118" i="36" s="1"/>
  <c r="AV170" i="36"/>
  <c r="AQ94" i="36"/>
  <c r="AQ166" i="36"/>
  <c r="AR92" i="36"/>
  <c r="AR64" i="36"/>
  <c r="AR105" i="36" s="1"/>
  <c r="AS91" i="36"/>
  <c r="AR94" i="36" l="1"/>
  <c r="AR166" i="36"/>
  <c r="AX116" i="36"/>
  <c r="AX118" i="36" s="1"/>
  <c r="AW170" i="36"/>
  <c r="AS92" i="36"/>
  <c r="AT91" i="36"/>
  <c r="AS64" i="36"/>
  <c r="AS105" i="36" s="1"/>
  <c r="AS94" i="36" l="1"/>
  <c r="AS166" i="36"/>
  <c r="AY116" i="36"/>
  <c r="AY118" i="36" s="1"/>
  <c r="AX170" i="36"/>
  <c r="AT64" i="36"/>
  <c r="AT105" i="36" s="1"/>
  <c r="AU91" i="36"/>
  <c r="AT92" i="36"/>
  <c r="AT94" i="36" l="1"/>
  <c r="AT166" i="36"/>
  <c r="AZ116" i="36"/>
  <c r="AZ118" i="36" s="1"/>
  <c r="AY170" i="36"/>
  <c r="AU64" i="36"/>
  <c r="AU105" i="36" s="1"/>
  <c r="AV91" i="36"/>
  <c r="AU92" i="36"/>
  <c r="AU94" i="36" l="1"/>
  <c r="AU166" i="36"/>
  <c r="BA116" i="36"/>
  <c r="BA118" i="36" s="1"/>
  <c r="AZ170" i="36"/>
  <c r="AV92" i="36"/>
  <c r="AW91" i="36"/>
  <c r="AV64" i="36"/>
  <c r="AV105" i="36" s="1"/>
  <c r="AV94" i="36" l="1"/>
  <c r="AV166" i="36"/>
  <c r="BB116" i="36"/>
  <c r="BB118" i="36" s="1"/>
  <c r="BA170" i="36"/>
  <c r="AX91" i="36"/>
  <c r="AW64" i="36"/>
  <c r="AW105" i="36" s="1"/>
  <c r="AW92" i="36"/>
  <c r="BC116" i="36" l="1"/>
  <c r="BC118" i="36" s="1"/>
  <c r="BB170" i="36"/>
  <c r="AW94" i="36"/>
  <c r="AW166" i="36"/>
  <c r="AX92" i="36"/>
  <c r="AX64" i="36"/>
  <c r="AX105" i="36" s="1"/>
  <c r="AY91" i="36"/>
  <c r="AX94" i="36" l="1"/>
  <c r="AX166" i="36"/>
  <c r="BD116" i="36"/>
  <c r="BD118" i="36" s="1"/>
  <c r="BC170" i="36"/>
  <c r="AY92" i="36"/>
  <c r="AZ91" i="36"/>
  <c r="AY64" i="36"/>
  <c r="AY105" i="36" s="1"/>
  <c r="AY94" i="36" l="1"/>
  <c r="AY166" i="36"/>
  <c r="BE116" i="36"/>
  <c r="BE118" i="36" s="1"/>
  <c r="BD170" i="36"/>
  <c r="AZ92" i="36"/>
  <c r="AZ64" i="36"/>
  <c r="AZ105" i="36" s="1"/>
  <c r="BA91" i="36"/>
  <c r="BF116" i="36" l="1"/>
  <c r="BF118" i="36" s="1"/>
  <c r="BE170" i="36"/>
  <c r="AZ94" i="36"/>
  <c r="AZ166" i="36"/>
  <c r="BA64" i="36"/>
  <c r="BA105" i="36" s="1"/>
  <c r="BA92" i="36"/>
  <c r="BB91" i="36"/>
  <c r="BG116" i="36" l="1"/>
  <c r="BG118" i="36" s="1"/>
  <c r="BF170" i="36"/>
  <c r="BA94" i="36"/>
  <c r="BA166" i="36"/>
  <c r="BB92" i="36"/>
  <c r="BC91" i="36"/>
  <c r="BB64" i="36"/>
  <c r="BB105" i="36" s="1"/>
  <c r="BB94" i="36" l="1"/>
  <c r="BB166" i="36"/>
  <c r="BH116" i="36"/>
  <c r="BH118" i="36" s="1"/>
  <c r="BG170" i="36"/>
  <c r="BC64" i="36"/>
  <c r="BC105" i="36" s="1"/>
  <c r="BC92" i="36"/>
  <c r="BD91" i="36"/>
  <c r="BI116" i="36" l="1"/>
  <c r="BI118" i="36" s="1"/>
  <c r="BH170" i="36"/>
  <c r="BC94" i="36"/>
  <c r="BC166" i="36"/>
  <c r="BD64" i="36"/>
  <c r="BD105" i="36" s="1"/>
  <c r="BE91" i="36"/>
  <c r="BD92" i="36"/>
  <c r="BJ116" i="36" l="1"/>
  <c r="BJ118" i="36" s="1"/>
  <c r="BI170" i="36"/>
  <c r="BD94" i="36"/>
  <c r="BD166" i="36"/>
  <c r="BF91" i="36"/>
  <c r="BE64" i="36"/>
  <c r="BE105" i="36" s="1"/>
  <c r="BE92" i="36"/>
  <c r="BE94" i="36" l="1"/>
  <c r="BE166" i="36"/>
  <c r="BK116" i="36"/>
  <c r="BK118" i="36" s="1"/>
  <c r="BJ170" i="36"/>
  <c r="BF64" i="36"/>
  <c r="BF105" i="36" s="1"/>
  <c r="BG91" i="36"/>
  <c r="BF92" i="36"/>
  <c r="BF94" i="36" l="1"/>
  <c r="BF166" i="36"/>
  <c r="BL116" i="36"/>
  <c r="BL118" i="36" s="1"/>
  <c r="BL170" i="36" s="1"/>
  <c r="BK170" i="36"/>
  <c r="BG64" i="36"/>
  <c r="BG105" i="36" s="1"/>
  <c r="BG92" i="36"/>
  <c r="BH91" i="36"/>
  <c r="BG94" i="36" l="1"/>
  <c r="BG166" i="36"/>
  <c r="BH64" i="36"/>
  <c r="BH105" i="36" s="1"/>
  <c r="BH92" i="36"/>
  <c r="BI91" i="36"/>
  <c r="BH94" i="36" l="1"/>
  <c r="BH166" i="36"/>
  <c r="BI64" i="36"/>
  <c r="BI105" i="36" s="1"/>
  <c r="BJ91" i="36"/>
  <c r="BI92" i="36"/>
  <c r="BI94" i="36" l="1"/>
  <c r="BI166" i="36"/>
  <c r="BJ64" i="36"/>
  <c r="BJ105" i="36" s="1"/>
  <c r="BK91" i="36"/>
  <c r="BJ92" i="36"/>
  <c r="BJ94" i="36" l="1"/>
  <c r="BJ166" i="36"/>
  <c r="BL91" i="36"/>
  <c r="BK92" i="36"/>
  <c r="BK64" i="36"/>
  <c r="BK105" i="36" s="1"/>
  <c r="BK94" i="36" l="1"/>
  <c r="BK166" i="36"/>
  <c r="BL92" i="36"/>
  <c r="BL166" i="36" s="1"/>
  <c r="BL64" i="36"/>
  <c r="BL105" i="36" l="1"/>
  <c r="E66" i="36"/>
  <c r="BL94" i="36"/>
  <c r="D97" i="36" s="1"/>
  <c r="D100" i="36" l="1"/>
  <c r="H22" i="36" l="1"/>
  <c r="D106" i="36"/>
  <c r="D180" i="36" l="1"/>
  <c r="I160" i="36"/>
  <c r="M160" i="36"/>
  <c r="Q160" i="36"/>
  <c r="U160" i="36"/>
  <c r="Y160" i="36"/>
  <c r="AC160" i="36"/>
  <c r="AG160" i="36"/>
  <c r="AK160" i="36"/>
  <c r="AO160" i="36"/>
  <c r="AS160" i="36"/>
  <c r="AW160" i="36"/>
  <c r="BA160" i="36"/>
  <c r="BE160" i="36"/>
  <c r="BI160" i="36"/>
  <c r="E160" i="36"/>
  <c r="F160" i="36"/>
  <c r="J160" i="36"/>
  <c r="N160" i="36"/>
  <c r="R160" i="36"/>
  <c r="V160" i="36"/>
  <c r="Z160" i="36"/>
  <c r="AD160" i="36"/>
  <c r="AH160" i="36"/>
  <c r="AL160" i="36"/>
  <c r="AP160" i="36"/>
  <c r="AT160" i="36"/>
  <c r="AX160" i="36"/>
  <c r="BB160" i="36"/>
  <c r="BF160" i="36"/>
  <c r="BJ160" i="36"/>
  <c r="G160" i="36"/>
  <c r="K160" i="36"/>
  <c r="O160" i="36"/>
  <c r="S160" i="36"/>
  <c r="W160" i="36"/>
  <c r="AA160" i="36"/>
  <c r="AE160" i="36"/>
  <c r="AI160" i="36"/>
  <c r="AM160" i="36"/>
  <c r="AQ160" i="36"/>
  <c r="AU160" i="36"/>
  <c r="AY160" i="36"/>
  <c r="BC160" i="36"/>
  <c r="BG160" i="36"/>
  <c r="BK160" i="36"/>
  <c r="H160" i="36"/>
  <c r="L160" i="36"/>
  <c r="P160" i="36"/>
  <c r="T160" i="36"/>
  <c r="X160" i="36"/>
  <c r="AB160" i="36"/>
  <c r="AF160" i="36"/>
  <c r="AJ160" i="36"/>
  <c r="AN160" i="36"/>
  <c r="AR160" i="36"/>
  <c r="AV160" i="36"/>
  <c r="AZ160" i="36"/>
  <c r="BD160" i="36"/>
  <c r="BH160" i="36"/>
  <c r="BL160" i="36"/>
  <c r="BC164" i="36"/>
  <c r="AD164" i="36"/>
  <c r="AZ164" i="36"/>
  <c r="BD164" i="36"/>
  <c r="AR164" i="36"/>
  <c r="AI164" i="36"/>
  <c r="Z164" i="36"/>
  <c r="BE164" i="36"/>
  <c r="AE164" i="36"/>
  <c r="V164" i="36"/>
  <c r="P164" i="36"/>
  <c r="E164" i="36"/>
  <c r="AB164" i="36"/>
  <c r="AQ164" i="36"/>
  <c r="AH164" i="36"/>
  <c r="BF164" i="36"/>
  <c r="BK164" i="36"/>
  <c r="AF164" i="36"/>
  <c r="AC164" i="36"/>
  <c r="J164" i="36"/>
  <c r="AT164" i="36"/>
  <c r="BL164" i="36"/>
  <c r="M164" i="36"/>
  <c r="AP164" i="36"/>
  <c r="AU164" i="36"/>
  <c r="BA164" i="36"/>
  <c r="BH164" i="36"/>
  <c r="AX164" i="36"/>
  <c r="W164" i="36"/>
  <c r="N164" i="36"/>
  <c r="T164" i="36"/>
  <c r="X164" i="36"/>
  <c r="L164" i="36"/>
  <c r="S164" i="36"/>
  <c r="I164" i="36"/>
  <c r="Y164" i="36"/>
  <c r="O164" i="36"/>
  <c r="G164" i="36"/>
  <c r="AK164" i="36"/>
  <c r="BI164" i="36"/>
  <c r="AW164" i="36"/>
  <c r="AA164" i="36"/>
  <c r="R164" i="36"/>
  <c r="U164" i="36"/>
  <c r="BJ164" i="36"/>
  <c r="H164" i="36"/>
  <c r="F164" i="36"/>
  <c r="AS164" i="36"/>
  <c r="AG164" i="36"/>
  <c r="K164" i="36"/>
  <c r="BB164" i="36"/>
  <c r="AJ164" i="36"/>
  <c r="Q164" i="36"/>
  <c r="AO164" i="36"/>
  <c r="AM164" i="36"/>
  <c r="AY164" i="36"/>
  <c r="AV164" i="36"/>
  <c r="AL164" i="36"/>
  <c r="AN164" i="36"/>
  <c r="BG164" i="36"/>
  <c r="D194" i="36"/>
  <c r="E103" i="36"/>
  <c r="D196" i="36" l="1"/>
  <c r="H18" i="36" s="1"/>
  <c r="D198" i="36"/>
  <c r="E108" i="36"/>
  <c r="E130" i="36" l="1"/>
  <c r="E133" i="36" s="1"/>
  <c r="E104" i="36"/>
  <c r="E178" i="36"/>
  <c r="E177" i="36" l="1"/>
  <c r="E106" i="36"/>
  <c r="F103" i="36" s="1"/>
  <c r="E135" i="36"/>
  <c r="E136" i="36"/>
  <c r="E180" i="36" l="1"/>
  <c r="E188" i="36"/>
  <c r="E137" i="36"/>
  <c r="F134" i="36" s="1"/>
  <c r="E138" i="36"/>
  <c r="E139" i="36" s="1"/>
  <c r="F108" i="36"/>
  <c r="E140" i="36" l="1"/>
  <c r="E168" i="36" s="1"/>
  <c r="E189" i="36"/>
  <c r="E198" i="36"/>
  <c r="F130" i="36"/>
  <c r="F133" i="36" s="1"/>
  <c r="F178" i="36"/>
  <c r="F104" i="36"/>
  <c r="F177" i="36" l="1"/>
  <c r="F106" i="36"/>
  <c r="G103" i="36" s="1"/>
  <c r="F136" i="36"/>
  <c r="F135" i="36"/>
  <c r="F180" i="36" l="1"/>
  <c r="F188" i="36"/>
  <c r="F138" i="36"/>
  <c r="F139" i="36" s="1"/>
  <c r="F140" i="36" s="1"/>
  <c r="F168" i="36" s="1"/>
  <c r="F137" i="36"/>
  <c r="G134" i="36" s="1"/>
  <c r="G108" i="36"/>
  <c r="F189" i="36" l="1"/>
  <c r="F198" i="36"/>
  <c r="G178" i="36"/>
  <c r="G130" i="36"/>
  <c r="G133" i="36" s="1"/>
  <c r="G104" i="36"/>
  <c r="G177" i="36" l="1"/>
  <c r="G106" i="36"/>
  <c r="H103" i="36" s="1"/>
  <c r="G135" i="36"/>
  <c r="G136" i="36"/>
  <c r="G180" i="36" l="1"/>
  <c r="G188" i="36"/>
  <c r="G138" i="36"/>
  <c r="G139" i="36" s="1"/>
  <c r="G140" i="36" s="1"/>
  <c r="G168" i="36" s="1"/>
  <c r="G137" i="36"/>
  <c r="H134" i="36" s="1"/>
  <c r="H108" i="36"/>
  <c r="G189" i="36" l="1"/>
  <c r="G198" i="36"/>
  <c r="H130" i="36"/>
  <c r="H133" i="36" s="1"/>
  <c r="H178" i="36"/>
  <c r="H104" i="36"/>
  <c r="H177" i="36" l="1"/>
  <c r="H106" i="36"/>
  <c r="I103" i="36" s="1"/>
  <c r="H135" i="36"/>
  <c r="H136" i="36"/>
  <c r="H180" i="36" l="1"/>
  <c r="H188" i="36"/>
  <c r="H138" i="36"/>
  <c r="H139" i="36" s="1"/>
  <c r="H140" i="36" s="1"/>
  <c r="H168" i="36" s="1"/>
  <c r="H137" i="36"/>
  <c r="I134" i="36" s="1"/>
  <c r="I108" i="36"/>
  <c r="H189" i="36" l="1"/>
  <c r="H198" i="36"/>
  <c r="I104" i="36"/>
  <c r="I178" i="36"/>
  <c r="I130" i="36"/>
  <c r="I133" i="36" s="1"/>
  <c r="I135" i="36" l="1"/>
  <c r="I136" i="36"/>
  <c r="I177" i="36"/>
  <c r="I106" i="36"/>
  <c r="J103" i="36" s="1"/>
  <c r="I180" i="36" l="1"/>
  <c r="I188" i="36"/>
  <c r="J108" i="36"/>
  <c r="I138" i="36"/>
  <c r="I139" i="36" s="1"/>
  <c r="I140" i="36" s="1"/>
  <c r="I168" i="36" s="1"/>
  <c r="I137" i="36"/>
  <c r="J134" i="36" s="1"/>
  <c r="I189" i="36" l="1"/>
  <c r="I198" i="36"/>
  <c r="J130" i="36"/>
  <c r="J133" i="36" s="1"/>
  <c r="J178" i="36"/>
  <c r="J104" i="36"/>
  <c r="J177" i="36" l="1"/>
  <c r="J106" i="36"/>
  <c r="K103" i="36" s="1"/>
  <c r="J136" i="36"/>
  <c r="J135" i="36"/>
  <c r="J180" i="36" l="1"/>
  <c r="J188" i="36"/>
  <c r="J138" i="36"/>
  <c r="J139" i="36" s="1"/>
  <c r="J140" i="36" s="1"/>
  <c r="J168" i="36" s="1"/>
  <c r="J137" i="36"/>
  <c r="K134" i="36" s="1"/>
  <c r="K108" i="36"/>
  <c r="J189" i="36" l="1"/>
  <c r="J198" i="36"/>
  <c r="K130" i="36"/>
  <c r="K133" i="36" s="1"/>
  <c r="K178" i="36"/>
  <c r="K104" i="36"/>
  <c r="K135" i="36" l="1"/>
  <c r="K136" i="36"/>
  <c r="K177" i="36"/>
  <c r="K106" i="36"/>
  <c r="L103" i="36" s="1"/>
  <c r="K180" i="36" l="1"/>
  <c r="K188" i="36"/>
  <c r="L108" i="36"/>
  <c r="K138" i="36"/>
  <c r="K139" i="36" s="1"/>
  <c r="K140" i="36" s="1"/>
  <c r="K168" i="36" s="1"/>
  <c r="K137" i="36"/>
  <c r="L134" i="36" s="1"/>
  <c r="K189" i="36" l="1"/>
  <c r="K198" i="36"/>
  <c r="L104" i="36"/>
  <c r="L178" i="36"/>
  <c r="L130" i="36"/>
  <c r="L133" i="36" s="1"/>
  <c r="L135" i="36" l="1"/>
  <c r="L136" i="36"/>
  <c r="L177" i="36"/>
  <c r="L106" i="36"/>
  <c r="M103" i="36" s="1"/>
  <c r="L180" i="36" l="1"/>
  <c r="L188" i="36"/>
  <c r="M108" i="36"/>
  <c r="L138" i="36"/>
  <c r="L139" i="36" s="1"/>
  <c r="L140" i="36" s="1"/>
  <c r="L168" i="36" s="1"/>
  <c r="L137" i="36"/>
  <c r="M134" i="36" s="1"/>
  <c r="L189" i="36" l="1"/>
  <c r="L198" i="36"/>
  <c r="M130" i="36"/>
  <c r="M133" i="36" s="1"/>
  <c r="M104" i="36"/>
  <c r="M178" i="36"/>
  <c r="M177" i="36" l="1"/>
  <c r="M106" i="36"/>
  <c r="N103" i="36" s="1"/>
  <c r="M136" i="36"/>
  <c r="M135" i="36"/>
  <c r="M180" i="36" l="1"/>
  <c r="M188" i="36"/>
  <c r="M138" i="36"/>
  <c r="M139" i="36" s="1"/>
  <c r="M140" i="36" s="1"/>
  <c r="M168" i="36" s="1"/>
  <c r="M137" i="36"/>
  <c r="N134" i="36" s="1"/>
  <c r="N108" i="36"/>
  <c r="M189" i="36" l="1"/>
  <c r="M198" i="36"/>
  <c r="N130" i="36"/>
  <c r="N133" i="36" s="1"/>
  <c r="N104" i="36"/>
  <c r="N178" i="36"/>
  <c r="N177" i="36" l="1"/>
  <c r="N106" i="36"/>
  <c r="O103" i="36" s="1"/>
  <c r="N136" i="36"/>
  <c r="N135" i="36"/>
  <c r="N180" i="36" l="1"/>
  <c r="N188" i="36"/>
  <c r="N138" i="36"/>
  <c r="N139" i="36" s="1"/>
  <c r="N140" i="36" s="1"/>
  <c r="N168" i="36" s="1"/>
  <c r="N137" i="36"/>
  <c r="O134" i="36" s="1"/>
  <c r="O108" i="36"/>
  <c r="N189" i="36" l="1"/>
  <c r="N198" i="36"/>
  <c r="O178" i="36"/>
  <c r="O130" i="36"/>
  <c r="O133" i="36" s="1"/>
  <c r="O104" i="36"/>
  <c r="O177" i="36" l="1"/>
  <c r="O106" i="36"/>
  <c r="P103" i="36" s="1"/>
  <c r="O135" i="36"/>
  <c r="O136" i="36"/>
  <c r="O180" i="36" l="1"/>
  <c r="O188" i="36"/>
  <c r="O138" i="36"/>
  <c r="O139" i="36" s="1"/>
  <c r="O140" i="36" s="1"/>
  <c r="O168" i="36" s="1"/>
  <c r="O137" i="36"/>
  <c r="P134" i="36" s="1"/>
  <c r="P108" i="36"/>
  <c r="O189" i="36" l="1"/>
  <c r="O198" i="36"/>
  <c r="P178" i="36"/>
  <c r="P130" i="36"/>
  <c r="P133" i="36" s="1"/>
  <c r="P104" i="36"/>
  <c r="P177" i="36" l="1"/>
  <c r="P106" i="36"/>
  <c r="Q103" i="36" s="1"/>
  <c r="P135" i="36"/>
  <c r="P136" i="36"/>
  <c r="P180" i="36" l="1"/>
  <c r="P188" i="36"/>
  <c r="P138" i="36"/>
  <c r="P139" i="36" s="1"/>
  <c r="P140" i="36" s="1"/>
  <c r="P168" i="36" s="1"/>
  <c r="P137" i="36"/>
  <c r="Q134" i="36" s="1"/>
  <c r="Q108" i="36"/>
  <c r="P189" i="36" l="1"/>
  <c r="P198" i="36"/>
  <c r="Q130" i="36"/>
  <c r="Q133" i="36" s="1"/>
  <c r="Q104" i="36"/>
  <c r="Q178" i="36"/>
  <c r="Q177" i="36" l="1"/>
  <c r="Q106" i="36"/>
  <c r="R103" i="36" s="1"/>
  <c r="Q135" i="36"/>
  <c r="Q136" i="36"/>
  <c r="Q180" i="36" l="1"/>
  <c r="Q188" i="36"/>
  <c r="Q138" i="36"/>
  <c r="Q139" i="36" s="1"/>
  <c r="Q140" i="36" s="1"/>
  <c r="Q168" i="36" s="1"/>
  <c r="Q137" i="36"/>
  <c r="R134" i="36" s="1"/>
  <c r="R108" i="36"/>
  <c r="Q189" i="36" l="1"/>
  <c r="Q198" i="36"/>
  <c r="R130" i="36"/>
  <c r="R133" i="36" s="1"/>
  <c r="R178" i="36"/>
  <c r="R104" i="36"/>
  <c r="R177" i="36" l="1"/>
  <c r="R106" i="36"/>
  <c r="S103" i="36" s="1"/>
  <c r="R136" i="36"/>
  <c r="R135" i="36"/>
  <c r="R180" i="36" l="1"/>
  <c r="R188" i="36"/>
  <c r="R138" i="36"/>
  <c r="R139" i="36" s="1"/>
  <c r="R140" i="36" s="1"/>
  <c r="R168" i="36" s="1"/>
  <c r="R137" i="36"/>
  <c r="S134" i="36" s="1"/>
  <c r="S108" i="36"/>
  <c r="R189" i="36" l="1"/>
  <c r="R198" i="36"/>
  <c r="S178" i="36"/>
  <c r="S130" i="36"/>
  <c r="S133" i="36" s="1"/>
  <c r="S104" i="36"/>
  <c r="S177" i="36" l="1"/>
  <c r="S106" i="36"/>
  <c r="T103" i="36" s="1"/>
  <c r="S135" i="36"/>
  <c r="S136" i="36"/>
  <c r="S180" i="36" l="1"/>
  <c r="S188" i="36"/>
  <c r="S138" i="36"/>
  <c r="S139" i="36" s="1"/>
  <c r="S140" i="36" s="1"/>
  <c r="S168" i="36" s="1"/>
  <c r="S137" i="36"/>
  <c r="T134" i="36" s="1"/>
  <c r="T108" i="36"/>
  <c r="S189" i="36" l="1"/>
  <c r="S198" i="36"/>
  <c r="T104" i="36"/>
  <c r="T178" i="36"/>
  <c r="T130" i="36"/>
  <c r="T133" i="36" s="1"/>
  <c r="T135" i="36" l="1"/>
  <c r="T136" i="36"/>
  <c r="T177" i="36"/>
  <c r="T106" i="36"/>
  <c r="U103" i="36" s="1"/>
  <c r="T180" i="36" l="1"/>
  <c r="T188" i="36"/>
  <c r="U108" i="36"/>
  <c r="T138" i="36"/>
  <c r="T139" i="36" s="1"/>
  <c r="T140" i="36" s="1"/>
  <c r="T168" i="36" s="1"/>
  <c r="T137" i="36"/>
  <c r="U134" i="36" s="1"/>
  <c r="T189" i="36" l="1"/>
  <c r="T198" i="36"/>
  <c r="U104" i="36"/>
  <c r="U178" i="36"/>
  <c r="U130" i="36"/>
  <c r="U133" i="36" s="1"/>
  <c r="U136" i="36" l="1"/>
  <c r="U135" i="36"/>
  <c r="U177" i="36"/>
  <c r="U106" i="36"/>
  <c r="V103" i="36" s="1"/>
  <c r="U180" i="36" l="1"/>
  <c r="U188" i="36"/>
  <c r="V108" i="36"/>
  <c r="U138" i="36"/>
  <c r="U139" i="36" s="1"/>
  <c r="U140" i="36" s="1"/>
  <c r="U168" i="36" s="1"/>
  <c r="U137" i="36"/>
  <c r="V134" i="36" s="1"/>
  <c r="U189" i="36" l="1"/>
  <c r="U198" i="36"/>
  <c r="V130" i="36"/>
  <c r="V133" i="36" s="1"/>
  <c r="V104" i="36"/>
  <c r="V178" i="36"/>
  <c r="V177" i="36" l="1"/>
  <c r="V106" i="36"/>
  <c r="W103" i="36" s="1"/>
  <c r="V135" i="36"/>
  <c r="V136" i="36"/>
  <c r="V180" i="36" l="1"/>
  <c r="V188" i="36"/>
  <c r="V138" i="36"/>
  <c r="V139" i="36" s="1"/>
  <c r="V140" i="36" s="1"/>
  <c r="V168" i="36" s="1"/>
  <c r="V137" i="36"/>
  <c r="W134" i="36" s="1"/>
  <c r="W108" i="36"/>
  <c r="V189" i="36" l="1"/>
  <c r="V198" i="36"/>
  <c r="W130" i="36"/>
  <c r="W133" i="36" s="1"/>
  <c r="W178" i="36"/>
  <c r="W104" i="36"/>
  <c r="W177" i="36" l="1"/>
  <c r="W106" i="36"/>
  <c r="X103" i="36" s="1"/>
  <c r="W136" i="36"/>
  <c r="W135" i="36"/>
  <c r="W180" i="36" l="1"/>
  <c r="W188" i="36"/>
  <c r="W138" i="36"/>
  <c r="W139" i="36" s="1"/>
  <c r="W140" i="36" s="1"/>
  <c r="W168" i="36" s="1"/>
  <c r="W137" i="36"/>
  <c r="X134" i="36" s="1"/>
  <c r="X108" i="36"/>
  <c r="W189" i="36" l="1"/>
  <c r="W198" i="36"/>
  <c r="X104" i="36"/>
  <c r="X130" i="36"/>
  <c r="X133" i="36" s="1"/>
  <c r="X178" i="36"/>
  <c r="X136" i="36" l="1"/>
  <c r="X135" i="36"/>
  <c r="X177" i="36"/>
  <c r="X106" i="36"/>
  <c r="Y103" i="36" s="1"/>
  <c r="X180" i="36" l="1"/>
  <c r="X188" i="36"/>
  <c r="Y108" i="36"/>
  <c r="X138" i="36"/>
  <c r="X139" i="36" s="1"/>
  <c r="X140" i="36" s="1"/>
  <c r="X168" i="36" s="1"/>
  <c r="X137" i="36"/>
  <c r="Y134" i="36" s="1"/>
  <c r="X189" i="36" l="1"/>
  <c r="X198" i="36"/>
  <c r="Y178" i="36"/>
  <c r="Y104" i="36"/>
  <c r="Y130" i="36"/>
  <c r="Y133" i="36" s="1"/>
  <c r="Y136" i="36" l="1"/>
  <c r="Y135" i="36"/>
  <c r="Y177" i="36"/>
  <c r="Y106" i="36"/>
  <c r="Z103" i="36" s="1"/>
  <c r="Y180" i="36" l="1"/>
  <c r="Y188" i="36"/>
  <c r="Z108" i="36"/>
  <c r="Y138" i="36"/>
  <c r="Y139" i="36" s="1"/>
  <c r="Y140" i="36" s="1"/>
  <c r="Y168" i="36" s="1"/>
  <c r="Y137" i="36"/>
  <c r="Z134" i="36" s="1"/>
  <c r="Y189" i="36" l="1"/>
  <c r="Y198" i="36"/>
  <c r="Z178" i="36"/>
  <c r="Z104" i="36"/>
  <c r="Z130" i="36"/>
  <c r="Z133" i="36" s="1"/>
  <c r="Z136" i="36" l="1"/>
  <c r="Z135" i="36"/>
  <c r="Z177" i="36"/>
  <c r="Z106" i="36"/>
  <c r="AA103" i="36" s="1"/>
  <c r="Z180" i="36" l="1"/>
  <c r="Z188" i="36"/>
  <c r="AA108" i="36"/>
  <c r="Z138" i="36"/>
  <c r="Z139" i="36" s="1"/>
  <c r="Z140" i="36" s="1"/>
  <c r="Z168" i="36" s="1"/>
  <c r="Z137" i="36"/>
  <c r="AA134" i="36" s="1"/>
  <c r="Z189" i="36" l="1"/>
  <c r="Z198" i="36"/>
  <c r="AA178" i="36"/>
  <c r="AA130" i="36"/>
  <c r="AA133" i="36" s="1"/>
  <c r="AA104" i="36"/>
  <c r="AA177" i="36" l="1"/>
  <c r="AA106" i="36"/>
  <c r="AB103" i="36" s="1"/>
  <c r="AA136" i="36"/>
  <c r="AA135" i="36"/>
  <c r="AA180" i="36" l="1"/>
  <c r="AA188" i="36"/>
  <c r="AA138" i="36"/>
  <c r="AA139" i="36" s="1"/>
  <c r="AA140" i="36" s="1"/>
  <c r="AA168" i="36" s="1"/>
  <c r="AA137" i="36"/>
  <c r="AB134" i="36" s="1"/>
  <c r="AB108" i="36"/>
  <c r="AA189" i="36" l="1"/>
  <c r="AA198" i="36"/>
  <c r="AB178" i="36"/>
  <c r="AB104" i="36"/>
  <c r="AB130" i="36"/>
  <c r="AB133" i="36" s="1"/>
  <c r="AB136" i="36" l="1"/>
  <c r="AB135" i="36"/>
  <c r="AB177" i="36"/>
  <c r="AB106" i="36"/>
  <c r="AC103" i="36" s="1"/>
  <c r="AB180" i="36" l="1"/>
  <c r="AB188" i="36"/>
  <c r="AC108" i="36"/>
  <c r="AB138" i="36"/>
  <c r="AB139" i="36" s="1"/>
  <c r="AB140" i="36" s="1"/>
  <c r="AB168" i="36" s="1"/>
  <c r="AB137" i="36"/>
  <c r="AC134" i="36" s="1"/>
  <c r="AB189" i="36" l="1"/>
  <c r="AB198" i="36"/>
  <c r="AC178" i="36"/>
  <c r="AC130" i="36"/>
  <c r="AC133" i="36" s="1"/>
  <c r="AC104" i="36"/>
  <c r="AC177" i="36" l="1"/>
  <c r="AC106" i="36"/>
  <c r="AD103" i="36" s="1"/>
  <c r="AC135" i="36"/>
  <c r="AC136" i="36"/>
  <c r="AC180" i="36" l="1"/>
  <c r="AC188" i="36"/>
  <c r="AC138" i="36"/>
  <c r="AC139" i="36" s="1"/>
  <c r="AC140" i="36" s="1"/>
  <c r="AC168" i="36" s="1"/>
  <c r="AC137" i="36"/>
  <c r="AD134" i="36" s="1"/>
  <c r="AD108" i="36"/>
  <c r="AC189" i="36" l="1"/>
  <c r="AC198" i="36"/>
  <c r="AD178" i="36"/>
  <c r="AD104" i="36"/>
  <c r="AD130" i="36"/>
  <c r="AD133" i="36" s="1"/>
  <c r="AD177" i="36" l="1"/>
  <c r="AD106" i="36"/>
  <c r="AE103" i="36" s="1"/>
  <c r="AD135" i="36"/>
  <c r="AD136" i="36"/>
  <c r="AD180" i="36" l="1"/>
  <c r="AD188" i="36"/>
  <c r="AD138" i="36"/>
  <c r="AD139" i="36" s="1"/>
  <c r="AD140" i="36" s="1"/>
  <c r="AD168" i="36" s="1"/>
  <c r="AD137" i="36"/>
  <c r="AE134" i="36" s="1"/>
  <c r="AE108" i="36"/>
  <c r="AD189" i="36" l="1"/>
  <c r="AD198" i="36"/>
  <c r="AE178" i="36"/>
  <c r="AE104" i="36"/>
  <c r="AE130" i="36"/>
  <c r="AE133" i="36" s="1"/>
  <c r="AE136" i="36" l="1"/>
  <c r="AE135" i="36"/>
  <c r="AE177" i="36"/>
  <c r="AE106" i="36"/>
  <c r="AF103" i="36" s="1"/>
  <c r="AE180" i="36" l="1"/>
  <c r="AE188" i="36"/>
  <c r="AF108" i="36"/>
  <c r="AE138" i="36"/>
  <c r="AE139" i="36" s="1"/>
  <c r="AE140" i="36" s="1"/>
  <c r="AE168" i="36" s="1"/>
  <c r="AE137" i="36"/>
  <c r="AF134" i="36" s="1"/>
  <c r="AE189" i="36" l="1"/>
  <c r="AE198" i="36"/>
  <c r="AF178" i="36"/>
  <c r="AF130" i="36"/>
  <c r="AF133" i="36" s="1"/>
  <c r="AF104" i="36"/>
  <c r="AF177" i="36" l="1"/>
  <c r="AF106" i="36"/>
  <c r="AG103" i="36" s="1"/>
  <c r="AF136" i="36"/>
  <c r="AF135" i="36"/>
  <c r="AF180" i="36" l="1"/>
  <c r="AF188" i="36"/>
  <c r="AF138" i="36"/>
  <c r="AF139" i="36" s="1"/>
  <c r="AF140" i="36" s="1"/>
  <c r="AF168" i="36" s="1"/>
  <c r="AF137" i="36"/>
  <c r="AG134" i="36" s="1"/>
  <c r="AG108" i="36"/>
  <c r="AF189" i="36" l="1"/>
  <c r="AF198" i="36"/>
  <c r="AG130" i="36"/>
  <c r="AG133" i="36" s="1"/>
  <c r="AG178" i="36"/>
  <c r="AG104" i="36"/>
  <c r="AG177" i="36" l="1"/>
  <c r="AG106" i="36"/>
  <c r="AH103" i="36" s="1"/>
  <c r="AG135" i="36"/>
  <c r="AG136" i="36"/>
  <c r="AG180" i="36" l="1"/>
  <c r="AG188" i="36"/>
  <c r="AG138" i="36"/>
  <c r="AG139" i="36" s="1"/>
  <c r="AG140" i="36" s="1"/>
  <c r="AG168" i="36" s="1"/>
  <c r="AG137" i="36"/>
  <c r="AH134" i="36" s="1"/>
  <c r="AH108" i="36"/>
  <c r="AG189" i="36" l="1"/>
  <c r="AG198" i="36"/>
  <c r="AH104" i="36"/>
  <c r="AH178" i="36"/>
  <c r="AH130" i="36"/>
  <c r="AH133" i="36" s="1"/>
  <c r="AH136" i="36" l="1"/>
  <c r="AH135" i="36"/>
  <c r="AH177" i="36"/>
  <c r="AH106" i="36"/>
  <c r="AI103" i="36" s="1"/>
  <c r="AH180" i="36" l="1"/>
  <c r="AH188" i="36"/>
  <c r="AI108" i="36"/>
  <c r="AH138" i="36"/>
  <c r="AH139" i="36" s="1"/>
  <c r="AH140" i="36" s="1"/>
  <c r="AH168" i="36" s="1"/>
  <c r="AH137" i="36"/>
  <c r="AI134" i="36" s="1"/>
  <c r="AH189" i="36" l="1"/>
  <c r="AH198" i="36"/>
  <c r="AI178" i="36"/>
  <c r="AI104" i="36"/>
  <c r="AI130" i="36"/>
  <c r="AI133" i="36" s="1"/>
  <c r="AI136" i="36" l="1"/>
  <c r="AI135" i="36"/>
  <c r="AI177" i="36"/>
  <c r="AI106" i="36"/>
  <c r="AJ103" i="36" s="1"/>
  <c r="AI180" i="36" l="1"/>
  <c r="AI188" i="36"/>
  <c r="AJ108" i="36"/>
  <c r="AI138" i="36"/>
  <c r="AI139" i="36" s="1"/>
  <c r="AI140" i="36" s="1"/>
  <c r="AI168" i="36" s="1"/>
  <c r="AI137" i="36"/>
  <c r="AJ134" i="36" s="1"/>
  <c r="AI189" i="36" l="1"/>
  <c r="AI198" i="36"/>
  <c r="AJ104" i="36"/>
  <c r="AJ178" i="36"/>
  <c r="AJ130" i="36"/>
  <c r="AJ133" i="36" s="1"/>
  <c r="AJ136" i="36" l="1"/>
  <c r="AJ135" i="36"/>
  <c r="AJ177" i="36"/>
  <c r="AJ106" i="36"/>
  <c r="AK103" i="36" s="1"/>
  <c r="AJ180" i="36" l="1"/>
  <c r="AJ188" i="36"/>
  <c r="AK108" i="36"/>
  <c r="AJ138" i="36"/>
  <c r="AJ139" i="36" s="1"/>
  <c r="AJ140" i="36" s="1"/>
  <c r="AJ168" i="36" s="1"/>
  <c r="AJ137" i="36"/>
  <c r="AK134" i="36" s="1"/>
  <c r="AJ189" i="36" l="1"/>
  <c r="AJ198" i="36"/>
  <c r="AK178" i="36"/>
  <c r="AK104" i="36"/>
  <c r="AK130" i="36"/>
  <c r="AK133" i="36" s="1"/>
  <c r="AK136" i="36" l="1"/>
  <c r="AK135" i="36"/>
  <c r="AK177" i="36"/>
  <c r="AK106" i="36"/>
  <c r="AL103" i="36" s="1"/>
  <c r="AK180" i="36" l="1"/>
  <c r="AK188" i="36"/>
  <c r="AL108" i="36"/>
  <c r="AK138" i="36"/>
  <c r="AK139" i="36" s="1"/>
  <c r="AK140" i="36" s="1"/>
  <c r="AK168" i="36" s="1"/>
  <c r="AK137" i="36"/>
  <c r="AL134" i="36" s="1"/>
  <c r="AK189" i="36" l="1"/>
  <c r="AK198" i="36"/>
  <c r="AL178" i="36"/>
  <c r="AL104" i="36"/>
  <c r="AL130" i="36"/>
  <c r="AL133" i="36" s="1"/>
  <c r="AL136" i="36" l="1"/>
  <c r="AL135" i="36"/>
  <c r="AL177" i="36"/>
  <c r="AL106" i="36"/>
  <c r="AM103" i="36" s="1"/>
  <c r="AL180" i="36" l="1"/>
  <c r="AL188" i="36"/>
  <c r="AM108" i="36"/>
  <c r="AL138" i="36"/>
  <c r="AL139" i="36" s="1"/>
  <c r="AL140" i="36" s="1"/>
  <c r="AL168" i="36" s="1"/>
  <c r="AL137" i="36"/>
  <c r="AM134" i="36" s="1"/>
  <c r="AL189" i="36" l="1"/>
  <c r="AL198" i="36"/>
  <c r="AM178" i="36"/>
  <c r="AM130" i="36"/>
  <c r="AM133" i="36" s="1"/>
  <c r="AM104" i="36"/>
  <c r="AM177" i="36" l="1"/>
  <c r="AM106" i="36"/>
  <c r="AN103" i="36" s="1"/>
  <c r="AM135" i="36"/>
  <c r="AM136" i="36"/>
  <c r="AM180" i="36" l="1"/>
  <c r="AM188" i="36"/>
  <c r="AM138" i="36"/>
  <c r="AM139" i="36" s="1"/>
  <c r="AM140" i="36" s="1"/>
  <c r="AM168" i="36" s="1"/>
  <c r="AM137" i="36"/>
  <c r="AN134" i="36" s="1"/>
  <c r="AN108" i="36"/>
  <c r="AM189" i="36" l="1"/>
  <c r="AM198" i="36"/>
  <c r="AN178" i="36"/>
  <c r="AN130" i="36"/>
  <c r="AN133" i="36" s="1"/>
  <c r="AN104" i="36"/>
  <c r="AN177" i="36" l="1"/>
  <c r="AN106" i="36"/>
  <c r="AO103" i="36" s="1"/>
  <c r="AN135" i="36"/>
  <c r="AN136" i="36"/>
  <c r="AN180" i="36" l="1"/>
  <c r="AN188" i="36"/>
  <c r="AN138" i="36"/>
  <c r="AN139" i="36" s="1"/>
  <c r="AN140" i="36" s="1"/>
  <c r="AN168" i="36" s="1"/>
  <c r="AN137" i="36"/>
  <c r="AO134" i="36" s="1"/>
  <c r="AO108" i="36"/>
  <c r="AN189" i="36" l="1"/>
  <c r="AN198" i="36"/>
  <c r="AO178" i="36"/>
  <c r="AO104" i="36"/>
  <c r="AO130" i="36"/>
  <c r="AO133" i="36" s="1"/>
  <c r="AO135" i="36" l="1"/>
  <c r="AO136" i="36"/>
  <c r="AO177" i="36"/>
  <c r="AO106" i="36"/>
  <c r="AP103" i="36" s="1"/>
  <c r="AO180" i="36" l="1"/>
  <c r="AO188" i="36"/>
  <c r="AP108" i="36"/>
  <c r="AO138" i="36"/>
  <c r="AO139" i="36" s="1"/>
  <c r="AO140" i="36" s="1"/>
  <c r="AO168" i="36" s="1"/>
  <c r="AO137" i="36"/>
  <c r="AP134" i="36" s="1"/>
  <c r="AO189" i="36" l="1"/>
  <c r="AO198" i="36"/>
  <c r="AP178" i="36"/>
  <c r="AP130" i="36"/>
  <c r="AP133" i="36" s="1"/>
  <c r="AP104" i="36"/>
  <c r="AP177" i="36" l="1"/>
  <c r="AP106" i="36"/>
  <c r="AQ103" i="36" s="1"/>
  <c r="AP136" i="36"/>
  <c r="AP135" i="36"/>
  <c r="AP180" i="36" l="1"/>
  <c r="AP188" i="36"/>
  <c r="AP138" i="36"/>
  <c r="AP139" i="36" s="1"/>
  <c r="AP140" i="36" s="1"/>
  <c r="AP168" i="36" s="1"/>
  <c r="AP137" i="36"/>
  <c r="AQ134" i="36" s="1"/>
  <c r="AQ108" i="36"/>
  <c r="AP189" i="36" l="1"/>
  <c r="AP198" i="36"/>
  <c r="AQ178" i="36"/>
  <c r="AQ130" i="36"/>
  <c r="AQ133" i="36" s="1"/>
  <c r="AQ104" i="36"/>
  <c r="AQ136" i="36" l="1"/>
  <c r="AQ135" i="36"/>
  <c r="AQ177" i="36"/>
  <c r="AQ106" i="36"/>
  <c r="AR103" i="36" s="1"/>
  <c r="AQ180" i="36" l="1"/>
  <c r="AQ188" i="36"/>
  <c r="AR108" i="36"/>
  <c r="AQ138" i="36"/>
  <c r="AQ139" i="36" s="1"/>
  <c r="AQ140" i="36" s="1"/>
  <c r="AQ168" i="36" s="1"/>
  <c r="AQ137" i="36"/>
  <c r="AR134" i="36" s="1"/>
  <c r="AQ189" i="36" l="1"/>
  <c r="AQ198" i="36"/>
  <c r="AR178" i="36"/>
  <c r="AR130" i="36"/>
  <c r="AR133" i="36" s="1"/>
  <c r="AR104" i="36"/>
  <c r="AR177" i="36" l="1"/>
  <c r="AR106" i="36"/>
  <c r="AR135" i="36"/>
  <c r="AR136" i="36"/>
  <c r="AR180" i="36" l="1"/>
  <c r="AR188" i="36"/>
  <c r="AR138" i="36"/>
  <c r="AR139" i="36" s="1"/>
  <c r="AR140" i="36" s="1"/>
  <c r="AR168" i="36" s="1"/>
  <c r="AR137" i="36"/>
  <c r="AS134" i="36" s="1"/>
  <c r="AS103" i="36"/>
  <c r="AR189" i="36" l="1"/>
  <c r="AR198" i="36"/>
  <c r="AS108" i="36"/>
  <c r="AS178" i="36" l="1"/>
  <c r="AS104" i="36"/>
  <c r="AS130" i="36"/>
  <c r="AS133" i="36" s="1"/>
  <c r="AS177" i="36" l="1"/>
  <c r="AS106" i="36"/>
  <c r="AT103" i="36" s="1"/>
  <c r="AS136" i="36"/>
  <c r="AS135" i="36"/>
  <c r="AS180" i="36" l="1"/>
  <c r="AS188" i="36"/>
  <c r="AS138" i="36"/>
  <c r="AS139" i="36" s="1"/>
  <c r="AS140" i="36" s="1"/>
  <c r="AS168" i="36" s="1"/>
  <c r="AS137" i="36"/>
  <c r="AT134" i="36" s="1"/>
  <c r="AT108" i="36"/>
  <c r="AS189" i="36" l="1"/>
  <c r="AS198" i="36"/>
  <c r="AT130" i="36"/>
  <c r="AT133" i="36" s="1"/>
  <c r="AT104" i="36"/>
  <c r="AT178" i="36"/>
  <c r="AT177" i="36" l="1"/>
  <c r="AT106" i="36"/>
  <c r="AU103" i="36" s="1"/>
  <c r="AT136" i="36"/>
  <c r="AT135" i="36"/>
  <c r="AT180" i="36" l="1"/>
  <c r="AT188" i="36"/>
  <c r="AT138" i="36"/>
  <c r="AT139" i="36" s="1"/>
  <c r="AT140" i="36" s="1"/>
  <c r="AT168" i="36" s="1"/>
  <c r="AT137" i="36"/>
  <c r="AU134" i="36" s="1"/>
  <c r="AU108" i="36"/>
  <c r="AT189" i="36" l="1"/>
  <c r="AT198" i="36"/>
  <c r="AU178" i="36"/>
  <c r="AU130" i="36"/>
  <c r="AU133" i="36" s="1"/>
  <c r="AU104" i="36"/>
  <c r="AU136" i="36" l="1"/>
  <c r="AU135" i="36"/>
  <c r="AU177" i="36"/>
  <c r="AU106" i="36"/>
  <c r="AV103" i="36" s="1"/>
  <c r="AU180" i="36" l="1"/>
  <c r="AU188" i="36"/>
  <c r="AV108" i="36"/>
  <c r="AU138" i="36"/>
  <c r="AU139" i="36" s="1"/>
  <c r="AU140" i="36" s="1"/>
  <c r="AU168" i="36" s="1"/>
  <c r="AU137" i="36"/>
  <c r="AV134" i="36" s="1"/>
  <c r="AU189" i="36" l="1"/>
  <c r="AU198" i="36"/>
  <c r="AV178" i="36"/>
  <c r="AV130" i="36"/>
  <c r="AV133" i="36" s="1"/>
  <c r="AV104" i="36"/>
  <c r="AV177" i="36" l="1"/>
  <c r="AV106" i="36"/>
  <c r="AW103" i="36" s="1"/>
  <c r="AV135" i="36"/>
  <c r="AV136" i="36"/>
  <c r="AV180" i="36" l="1"/>
  <c r="AV188" i="36"/>
  <c r="AV138" i="36"/>
  <c r="AV139" i="36" s="1"/>
  <c r="AV140" i="36" s="1"/>
  <c r="AV168" i="36" s="1"/>
  <c r="AV137" i="36"/>
  <c r="AW134" i="36" s="1"/>
  <c r="AW108" i="36"/>
  <c r="AV189" i="36" l="1"/>
  <c r="AV198" i="36"/>
  <c r="AW104" i="36"/>
  <c r="AW178" i="36"/>
  <c r="AW130" i="36"/>
  <c r="AW133" i="36" s="1"/>
  <c r="AW136" i="36" l="1"/>
  <c r="AW135" i="36"/>
  <c r="AW177" i="36"/>
  <c r="AW106" i="36"/>
  <c r="AX103" i="36" s="1"/>
  <c r="AW180" i="36" l="1"/>
  <c r="AW188" i="36"/>
  <c r="AX108" i="36"/>
  <c r="AW138" i="36"/>
  <c r="AW139" i="36" s="1"/>
  <c r="AW140" i="36" s="1"/>
  <c r="AW168" i="36" s="1"/>
  <c r="AW137" i="36"/>
  <c r="AX134" i="36" s="1"/>
  <c r="AW189" i="36" l="1"/>
  <c r="AW198" i="36"/>
  <c r="AX178" i="36"/>
  <c r="AX130" i="36"/>
  <c r="AX133" i="36" s="1"/>
  <c r="AX104" i="36"/>
  <c r="AX177" i="36" l="1"/>
  <c r="AX106" i="36"/>
  <c r="AY103" i="36" s="1"/>
  <c r="AX135" i="36"/>
  <c r="AX136" i="36"/>
  <c r="AX180" i="36" l="1"/>
  <c r="AX188" i="36"/>
  <c r="AX138" i="36"/>
  <c r="AX139" i="36" s="1"/>
  <c r="AX140" i="36" s="1"/>
  <c r="AX168" i="36" s="1"/>
  <c r="AX137" i="36"/>
  <c r="AY134" i="36" s="1"/>
  <c r="AY108" i="36"/>
  <c r="AX189" i="36" l="1"/>
  <c r="AX198" i="36"/>
  <c r="AY178" i="36"/>
  <c r="AY130" i="36"/>
  <c r="AY133" i="36" s="1"/>
  <c r="AY104" i="36"/>
  <c r="AY177" i="36" l="1"/>
  <c r="AY106" i="36"/>
  <c r="AZ103" i="36" s="1"/>
  <c r="AY136" i="36"/>
  <c r="AY135" i="36"/>
  <c r="AY180" i="36" l="1"/>
  <c r="AY188" i="36"/>
  <c r="AY138" i="36"/>
  <c r="AY139" i="36" s="1"/>
  <c r="AY140" i="36" s="1"/>
  <c r="AY168" i="36" s="1"/>
  <c r="AY137" i="36"/>
  <c r="AZ134" i="36" s="1"/>
  <c r="AZ108" i="36"/>
  <c r="AY189" i="36" l="1"/>
  <c r="AY198" i="36"/>
  <c r="AZ130" i="36"/>
  <c r="AZ133" i="36" s="1"/>
  <c r="AZ104" i="36"/>
  <c r="AZ178" i="36"/>
  <c r="AZ136" i="36" l="1"/>
  <c r="AZ135" i="36"/>
  <c r="AZ177" i="36"/>
  <c r="AZ106" i="36"/>
  <c r="BA103" i="36" l="1"/>
  <c r="BA108" i="36" s="1"/>
  <c r="AZ180" i="36"/>
  <c r="AZ188" i="36"/>
  <c r="AZ138" i="36"/>
  <c r="AZ139" i="36" s="1"/>
  <c r="AZ140" i="36" s="1"/>
  <c r="AZ168" i="36" s="1"/>
  <c r="AZ137" i="36"/>
  <c r="BA134" i="36" s="1"/>
  <c r="AZ189" i="36" l="1"/>
  <c r="AZ198" i="36"/>
  <c r="BA130" i="36"/>
  <c r="BA133" i="36" s="1"/>
  <c r="BA178" i="36"/>
  <c r="BA104" i="36"/>
  <c r="BA177" i="36" l="1"/>
  <c r="BA106" i="36"/>
  <c r="BB103" i="36" s="1"/>
  <c r="BA135" i="36"/>
  <c r="BA136" i="36"/>
  <c r="BA180" i="36" l="1"/>
  <c r="BA188" i="36"/>
  <c r="BA138" i="36"/>
  <c r="BA139" i="36" s="1"/>
  <c r="BA140" i="36" s="1"/>
  <c r="BA168" i="36" s="1"/>
  <c r="BA137" i="36"/>
  <c r="BB134" i="36" s="1"/>
  <c r="BB108" i="36"/>
  <c r="BA189" i="36" l="1"/>
  <c r="BA198" i="36"/>
  <c r="BB104" i="36"/>
  <c r="BB178" i="36"/>
  <c r="BB130" i="36"/>
  <c r="BB133" i="36" s="1"/>
  <c r="BB136" i="36" l="1"/>
  <c r="BB135" i="36"/>
  <c r="BB177" i="36"/>
  <c r="BB106" i="36"/>
  <c r="BC103" i="36" s="1"/>
  <c r="BB180" i="36" l="1"/>
  <c r="BB188" i="36"/>
  <c r="BC108" i="36"/>
  <c r="BB138" i="36"/>
  <c r="BB139" i="36" s="1"/>
  <c r="BB140" i="36" s="1"/>
  <c r="BB168" i="36" s="1"/>
  <c r="BB137" i="36"/>
  <c r="BC134" i="36" s="1"/>
  <c r="BB189" i="36" l="1"/>
  <c r="BB198" i="36"/>
  <c r="BC178" i="36"/>
  <c r="BC104" i="36"/>
  <c r="BC130" i="36"/>
  <c r="BC133" i="36" s="1"/>
  <c r="BC136" i="36" l="1"/>
  <c r="BC135" i="36"/>
  <c r="BC177" i="36"/>
  <c r="BC106" i="36"/>
  <c r="BD103" i="36" s="1"/>
  <c r="BC180" i="36" l="1"/>
  <c r="BC188" i="36"/>
  <c r="BD108" i="36"/>
  <c r="BC138" i="36"/>
  <c r="BC139" i="36" s="1"/>
  <c r="BC140" i="36" s="1"/>
  <c r="BC168" i="36" s="1"/>
  <c r="BC137" i="36"/>
  <c r="BD134" i="36" s="1"/>
  <c r="BC189" i="36" l="1"/>
  <c r="BC198" i="36"/>
  <c r="BD178" i="36"/>
  <c r="BD130" i="36"/>
  <c r="BD133" i="36" s="1"/>
  <c r="BD104" i="36"/>
  <c r="BD177" i="36" l="1"/>
  <c r="BD106" i="36"/>
  <c r="BE103" i="36" s="1"/>
  <c r="BD136" i="36"/>
  <c r="BD135" i="36"/>
  <c r="BD180" i="36" l="1"/>
  <c r="BD188" i="36"/>
  <c r="BD138" i="36"/>
  <c r="BD139" i="36" s="1"/>
  <c r="BD140" i="36" s="1"/>
  <c r="BD168" i="36" s="1"/>
  <c r="BD137" i="36"/>
  <c r="BE134" i="36" s="1"/>
  <c r="BE108" i="36"/>
  <c r="BD189" i="36" l="1"/>
  <c r="BD198" i="36"/>
  <c r="BE104" i="36"/>
  <c r="BE178" i="36"/>
  <c r="BE130" i="36"/>
  <c r="BE133" i="36" s="1"/>
  <c r="BE135" i="36" l="1"/>
  <c r="BE136" i="36"/>
  <c r="BE177" i="36"/>
  <c r="BE106" i="36"/>
  <c r="BF103" i="36" s="1"/>
  <c r="BE180" i="36" l="1"/>
  <c r="BE188" i="36"/>
  <c r="BF108" i="36"/>
  <c r="BE138" i="36"/>
  <c r="BE139" i="36" s="1"/>
  <c r="BE140" i="36" s="1"/>
  <c r="BE168" i="36" s="1"/>
  <c r="BE137" i="36"/>
  <c r="BF134" i="36" s="1"/>
  <c r="BE189" i="36" l="1"/>
  <c r="BE198" i="36"/>
  <c r="BF178" i="36"/>
  <c r="BF104" i="36"/>
  <c r="BF130" i="36"/>
  <c r="BF133" i="36" s="1"/>
  <c r="BF136" i="36" l="1"/>
  <c r="BF135" i="36"/>
  <c r="BF177" i="36"/>
  <c r="BF106" i="36"/>
  <c r="BG103" i="36" s="1"/>
  <c r="BF180" i="36" l="1"/>
  <c r="BF188" i="36"/>
  <c r="BF138" i="36"/>
  <c r="BF139" i="36" s="1"/>
  <c r="BF140" i="36" s="1"/>
  <c r="BF168" i="36" s="1"/>
  <c r="BF137" i="36"/>
  <c r="BG134" i="36" s="1"/>
  <c r="BG108" i="36"/>
  <c r="BF189" i="36" l="1"/>
  <c r="BF198" i="36"/>
  <c r="BG178" i="36"/>
  <c r="BG130" i="36"/>
  <c r="BG133" i="36" s="1"/>
  <c r="BG104" i="36"/>
  <c r="BG136" i="36" l="1"/>
  <c r="BG135" i="36"/>
  <c r="BG177" i="36"/>
  <c r="BG106" i="36"/>
  <c r="BH103" i="36" s="1"/>
  <c r="BG180" i="36" l="1"/>
  <c r="BG188" i="36"/>
  <c r="BH108" i="36"/>
  <c r="BG138" i="36"/>
  <c r="BG139" i="36" s="1"/>
  <c r="BG140" i="36" s="1"/>
  <c r="BG168" i="36" s="1"/>
  <c r="BG137" i="36"/>
  <c r="BH134" i="36" s="1"/>
  <c r="BG189" i="36" l="1"/>
  <c r="BG198" i="36"/>
  <c r="BH178" i="36"/>
  <c r="BH104" i="36"/>
  <c r="BH130" i="36"/>
  <c r="BH133" i="36" s="1"/>
  <c r="BH136" i="36" l="1"/>
  <c r="BH135" i="36"/>
  <c r="BH177" i="36"/>
  <c r="BH106" i="36"/>
  <c r="BI103" i="36" s="1"/>
  <c r="BH180" i="36" l="1"/>
  <c r="BH188" i="36"/>
  <c r="BI108" i="36"/>
  <c r="BH138" i="36"/>
  <c r="BH139" i="36" s="1"/>
  <c r="BH140" i="36" s="1"/>
  <c r="BH168" i="36" s="1"/>
  <c r="BH137" i="36"/>
  <c r="BI134" i="36" s="1"/>
  <c r="BH189" i="36" l="1"/>
  <c r="BH198" i="36"/>
  <c r="BI104" i="36"/>
  <c r="BI178" i="36"/>
  <c r="BI130" i="36"/>
  <c r="BI133" i="36" s="1"/>
  <c r="BI135" i="36" l="1"/>
  <c r="BI136" i="36"/>
  <c r="BI177" i="36"/>
  <c r="BI106" i="36"/>
  <c r="BJ103" i="36" s="1"/>
  <c r="BI180" i="36" l="1"/>
  <c r="BI188" i="36"/>
  <c r="BJ108" i="36"/>
  <c r="BI138" i="36"/>
  <c r="BI139" i="36" s="1"/>
  <c r="BI140" i="36" s="1"/>
  <c r="BI168" i="36" s="1"/>
  <c r="BI137" i="36"/>
  <c r="BJ134" i="36" s="1"/>
  <c r="BI189" i="36" l="1"/>
  <c r="BI198" i="36"/>
  <c r="BJ130" i="36"/>
  <c r="BJ133" i="36" s="1"/>
  <c r="BJ104" i="36"/>
  <c r="BJ178" i="36"/>
  <c r="BJ136" i="36" l="1"/>
  <c r="BJ135" i="36"/>
  <c r="BJ177" i="36"/>
  <c r="BJ106" i="36"/>
  <c r="BK103" i="36" s="1"/>
  <c r="BJ180" i="36" l="1"/>
  <c r="BJ188" i="36"/>
  <c r="BK108" i="36"/>
  <c r="BJ138" i="36"/>
  <c r="BJ139" i="36" s="1"/>
  <c r="BJ140" i="36" s="1"/>
  <c r="BJ168" i="36" s="1"/>
  <c r="BJ137" i="36"/>
  <c r="BK134" i="36" s="1"/>
  <c r="BJ189" i="36" l="1"/>
  <c r="BJ198" i="36"/>
  <c r="BK178" i="36"/>
  <c r="BK104" i="36"/>
  <c r="BK130" i="36"/>
  <c r="BK133" i="36" s="1"/>
  <c r="BK136" i="36" l="1"/>
  <c r="BK135" i="36"/>
  <c r="BK177" i="36"/>
  <c r="BK106" i="36"/>
  <c r="BL103" i="36" s="1"/>
  <c r="BK180" i="36" l="1"/>
  <c r="BK188" i="36"/>
  <c r="BL108" i="36"/>
  <c r="D110" i="36"/>
  <c r="H17" i="36" s="1"/>
  <c r="BK138" i="36"/>
  <c r="BK139" i="36" s="1"/>
  <c r="BK140" i="36" s="1"/>
  <c r="BK168" i="36" s="1"/>
  <c r="BK137" i="36"/>
  <c r="BL134" i="36" s="1"/>
  <c r="BK189" i="36" l="1"/>
  <c r="BK198" i="36"/>
  <c r="BL130" i="36"/>
  <c r="BL133" i="36" s="1"/>
  <c r="BL104" i="36"/>
  <c r="BL178" i="36"/>
  <c r="BL136" i="36" l="1"/>
  <c r="BL135" i="36"/>
  <c r="BL177" i="36"/>
  <c r="BL106" i="36"/>
  <c r="D111" i="36" s="1"/>
  <c r="H16" i="36" s="1"/>
  <c r="BL180" i="36" l="1"/>
  <c r="BL188" i="36"/>
  <c r="BL138" i="36"/>
  <c r="BL139" i="36" s="1"/>
  <c r="BL140" i="36" s="1"/>
  <c r="BL168" i="36" s="1"/>
  <c r="BL137" i="36"/>
  <c r="D181" i="36" l="1"/>
  <c r="H21" i="36" s="1"/>
  <c r="BL189" i="36"/>
  <c r="D190" i="36" s="1"/>
  <c r="H19" i="36" s="1"/>
  <c r="BL198" i="36"/>
  <c r="D199" i="36" s="1"/>
  <c r="H24" i="36" s="1"/>
  <c r="D191" i="36" l="1"/>
  <c r="H20" i="3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Monika Lewenski</author>
  </authors>
  <commentList>
    <comment ref="A2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Monika Lewenski:</t>
        </r>
        <r>
          <rPr>
            <sz val="9"/>
            <color indexed="81"/>
            <rFont val="Tahoma"/>
            <family val="2"/>
          </rPr>
          <t xml:space="preserve">
This works through examples with sculpting analysis where with different interest rates and debt structures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Monika Lewenski</author>
  </authors>
  <commentList>
    <comment ref="A2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Monika Lewenski:</t>
        </r>
        <r>
          <rPr>
            <sz val="9"/>
            <color indexed="81"/>
            <rFont val="Tahoma"/>
            <family val="2"/>
          </rPr>
          <t xml:space="preserve">
This works through examples with sculpting analysis where with different interest rates and debt structures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Monika Lewenski</author>
  </authors>
  <commentList>
    <comment ref="A36" authorId="0" shapeId="0" xr:uid="{00000000-0006-0000-1100-000001000000}">
      <text>
        <r>
          <rPr>
            <b/>
            <sz val="9"/>
            <color indexed="81"/>
            <rFont val="Tahoma"/>
            <family val="2"/>
          </rPr>
          <t>Monika Lewenski: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Monika Lewenski</author>
  </authors>
  <commentList>
    <comment ref="A32" authorId="0" shapeId="0" xr:uid="{00000000-0006-0000-1200-000001000000}">
      <text>
        <r>
          <rPr>
            <b/>
            <sz val="9"/>
            <color indexed="81"/>
            <rFont val="Tahoma"/>
            <family val="2"/>
          </rPr>
          <t>Monika Lewenski: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Monika Lewenski</author>
  </authors>
  <commentList>
    <comment ref="A42" authorId="0" shapeId="0" xr:uid="{00000000-0006-0000-1700-000001000000}">
      <text>
        <r>
          <rPr>
            <b/>
            <sz val="9"/>
            <color indexed="81"/>
            <rFont val="Tahoma"/>
            <family val="2"/>
          </rPr>
          <t>Monika Lewenski: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Monika Lewenski</author>
  </authors>
  <commentList>
    <comment ref="A47" authorId="0" shapeId="0" xr:uid="{00000000-0006-0000-1900-000001000000}">
      <text>
        <r>
          <rPr>
            <b/>
            <sz val="9"/>
            <color indexed="81"/>
            <rFont val="Tahoma"/>
            <family val="2"/>
          </rPr>
          <t>Monika Lewenski: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Monika Lewenski</author>
  </authors>
  <commentList>
    <comment ref="A53" authorId="0" shapeId="0" xr:uid="{00000000-0006-0000-1A00-000001000000}">
      <text>
        <r>
          <rPr>
            <b/>
            <sz val="9"/>
            <color indexed="81"/>
            <rFont val="Tahoma"/>
            <family val="2"/>
          </rPr>
          <t>Monika Lewenski: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Monika Lewenski</author>
  </authors>
  <commentList>
    <comment ref="A53" authorId="0" shapeId="0" xr:uid="{00000000-0006-0000-1B00-000001000000}">
      <text>
        <r>
          <rPr>
            <b/>
            <sz val="9"/>
            <color indexed="81"/>
            <rFont val="Tahoma"/>
            <family val="2"/>
          </rPr>
          <t>Monika Lewenski: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Monika Lewenski</author>
  </authors>
  <commentList>
    <comment ref="A56" authorId="0" shapeId="0" xr:uid="{00000000-0006-0000-1E00-000001000000}">
      <text>
        <r>
          <rPr>
            <b/>
            <sz val="9"/>
            <color indexed="81"/>
            <rFont val="Tahoma"/>
            <family val="2"/>
          </rPr>
          <t>Monika Lewenski: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Monika Lewenski</author>
  </authors>
  <commentList>
    <comment ref="A53" authorId="0" shapeId="0" xr:uid="{00000000-0006-0000-1F00-000001000000}">
      <text>
        <r>
          <rPr>
            <b/>
            <sz val="9"/>
            <color indexed="81"/>
            <rFont val="Tahoma"/>
            <family val="2"/>
          </rPr>
          <t>Monika Lewenski: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<sst xmlns="http://schemas.openxmlformats.org/spreadsheetml/2006/main" count="2090" uniqueCount="590">
  <si>
    <t>Case 1: Basic</t>
  </si>
  <si>
    <t>Target DSCR</t>
  </si>
  <si>
    <t>CFADS</t>
  </si>
  <si>
    <t>Target Debt Service</t>
  </si>
  <si>
    <t>Intrest Rate</t>
  </si>
  <si>
    <t>Opening Balance</t>
  </si>
  <si>
    <t>Repayments</t>
  </si>
  <si>
    <t>Closing Balance</t>
  </si>
  <si>
    <t>Interest</t>
  </si>
  <si>
    <t>DSCR</t>
  </si>
  <si>
    <t>LLCR</t>
  </si>
  <si>
    <t>Case 2: With Debt Sizing Test using LLCR</t>
  </si>
  <si>
    <t>Project Cost</t>
  </si>
  <si>
    <t>Max. Debt to Capital</t>
  </si>
  <si>
    <t>Max. Debt</t>
  </si>
  <si>
    <t>PV of CFADS</t>
  </si>
  <si>
    <t>Debt Issue 1</t>
  </si>
  <si>
    <t>Debt Issue 2</t>
  </si>
  <si>
    <t>Less Repayments</t>
  </si>
  <si>
    <t>Debt Service</t>
  </si>
  <si>
    <t>Annual versus Monthly versus Semi-Annual</t>
  </si>
  <si>
    <t>Annual</t>
  </si>
  <si>
    <t>Cashflows</t>
  </si>
  <si>
    <t>Target DS</t>
  </si>
  <si>
    <t>Interest Rate</t>
  </si>
  <si>
    <t>Intrest Rate Index</t>
  </si>
  <si>
    <t>NPV</t>
  </si>
  <si>
    <t>Check</t>
  </si>
  <si>
    <t>Repayment</t>
  </si>
  <si>
    <t>Period in Year</t>
  </si>
  <si>
    <t>Year</t>
  </si>
  <si>
    <t>Month</t>
  </si>
  <si>
    <t>Debt Service Acount</t>
  </si>
  <si>
    <t>Add Cashflows</t>
  </si>
  <si>
    <t>Use formula: DS=CF/DSCR and PV(DS) = Debt</t>
  </si>
  <si>
    <t>Use LLCR with MAX function as the target: DS=CF/LLCR</t>
  </si>
  <si>
    <t>Tenor</t>
  </si>
  <si>
    <t>Growth Year</t>
  </si>
  <si>
    <t>Growth Rate</t>
  </si>
  <si>
    <t>Debt Amount from PV</t>
  </si>
  <si>
    <t>CFADS over Loan Life</t>
  </si>
  <si>
    <t>DSCR = CF/(Other DS+last DS); Other DS + last DS = CF/DSCR; Last DS = CF/DSCR - Other DS</t>
  </si>
  <si>
    <t>Amount</t>
  </si>
  <si>
    <t>Rate</t>
  </si>
  <si>
    <t>Semi Annual: Rate for Discounting = (1+Annual Rate/2)^(1/6)-1</t>
  </si>
  <si>
    <t>Starting CFADS</t>
  </si>
  <si>
    <t>Debt Period Switch</t>
  </si>
  <si>
    <t>Test</t>
  </si>
  <si>
    <t>Debt Switch</t>
  </si>
  <si>
    <t>Debt from DSCR</t>
  </si>
  <si>
    <t>LLCR using Project Cost and Debt/Cap</t>
  </si>
  <si>
    <t>DSCR with Debt to Cap Constraint</t>
  </si>
  <si>
    <t>Debt to Cap with DSCR Constraint</t>
  </si>
  <si>
    <t>Constraint Applied</t>
  </si>
  <si>
    <t>NPV of Target Debt Service</t>
  </si>
  <si>
    <t>Debt Issue 1 Balance</t>
  </si>
  <si>
    <t>Debt Issue 2 Balance</t>
  </si>
  <si>
    <t>Sculpting Debt Issue</t>
  </si>
  <si>
    <t>Debt to Cap Max</t>
  </si>
  <si>
    <t>Max Debt</t>
  </si>
  <si>
    <t>Debt Service on Other Debt</t>
  </si>
  <si>
    <t>LLCR from Max Debt Service</t>
  </si>
  <si>
    <t>NPV of Target DS</t>
  </si>
  <si>
    <t>Debt Cash Flow</t>
  </si>
  <si>
    <t>Debt IRR</t>
  </si>
  <si>
    <t>Period</t>
  </si>
  <si>
    <t>Cash Flow</t>
  </si>
  <si>
    <t>Less: Cash Flow Used to Pay Debt Service</t>
  </si>
  <si>
    <t>Debt Balance</t>
  </si>
  <si>
    <t>Months included in Year in Model</t>
  </si>
  <si>
    <t>Payment Period in Year</t>
  </si>
  <si>
    <t>Periods for Discounting</t>
  </si>
  <si>
    <t>Periodic Interest Rate</t>
  </si>
  <si>
    <t>Remaining Requirement to Meet Debt Service</t>
  </si>
  <si>
    <t>Less: Repayment</t>
  </si>
  <si>
    <t>Tenor of Debt in Years</t>
  </si>
  <si>
    <t>Tenor of Debt in Months</t>
  </si>
  <si>
    <t>Circular Reference and Interest Income</t>
  </si>
  <si>
    <t>DSRA Months</t>
  </si>
  <si>
    <t>Interest Income Rate</t>
  </si>
  <si>
    <t>Debt Period</t>
  </si>
  <si>
    <t xml:space="preserve">Target Debt Service  </t>
  </si>
  <si>
    <t>DSRA Periods</t>
  </si>
  <si>
    <t>DSRA</t>
  </si>
  <si>
    <t>DSCR Target</t>
  </si>
  <si>
    <t>Debt Tenor</t>
  </si>
  <si>
    <t>Maximum Debt to Capital</t>
  </si>
  <si>
    <t>DSRA affect total cost --&gt; debt to capital --&gt; debt to capital affect sculpting --&gt; sculpting drives cost</t>
  </si>
  <si>
    <t xml:space="preserve">DSRA affects interest income --&gt; interest income part of CFADS --&gt; CFADS affects sculpting </t>
  </si>
  <si>
    <t>Interest Rate index</t>
  </si>
  <si>
    <t>PV of Debt Service from Sculpting</t>
  </si>
  <si>
    <t>Opening Debt</t>
  </si>
  <si>
    <t>Closing Debt Balance</t>
  </si>
  <si>
    <t xml:space="preserve">Maximum Debt  </t>
  </si>
  <si>
    <t>CFADS over Debt Tenor</t>
  </si>
  <si>
    <t>Add: DSRA</t>
  </si>
  <si>
    <t>Difference</t>
  </si>
  <si>
    <t>DSRA Function</t>
  </si>
  <si>
    <t>Sixth Exercise: Bullet and Sculpting</t>
  </si>
  <si>
    <t>Use of DSRA for a bullet repayment and computing bullet repayment together with sculpting</t>
  </si>
  <si>
    <t>IRR</t>
  </si>
  <si>
    <t>Equity Cash Flow</t>
  </si>
  <si>
    <t>Debt to Cap</t>
  </si>
  <si>
    <t>DSRA Cash Flow</t>
  </si>
  <si>
    <t>Operating Cash Flow</t>
  </si>
  <si>
    <t>Add: Interest Income</t>
  </si>
  <si>
    <t>Periodic Interest Income Rate</t>
  </si>
  <si>
    <t>Computed Interest Income</t>
  </si>
  <si>
    <t>Debt</t>
  </si>
  <si>
    <t>Adjust the Target Debt Service Line</t>
  </si>
  <si>
    <t>Interest Rate - Simple LOOKUP Divided by 12</t>
  </si>
  <si>
    <t>NPV with Simple Interest Rate</t>
  </si>
  <si>
    <t>Note that Interest Rate for Sculpting NPV is different from Interest Expense Interest Rate</t>
  </si>
  <si>
    <t>Interest Rate for Compounding in Sculpting</t>
  </si>
  <si>
    <t>Try with different periods for debt payment</t>
  </si>
  <si>
    <t>Note the final debt balance is zero</t>
  </si>
  <si>
    <t>DSRA with Offset Function</t>
  </si>
  <si>
    <t>Steps:</t>
  </si>
  <si>
    <t>1. Make Model with Copy and Paste Function</t>
  </si>
  <si>
    <t>2. Replicate Entire Model with Function and put DSRA data in array</t>
  </si>
  <si>
    <t>3. Make a separate loop for the DSRA and offset function</t>
  </si>
  <si>
    <t>4. Put the iteration around both looks</t>
  </si>
  <si>
    <t>CFADS for Debt Tenor</t>
  </si>
  <si>
    <t>LLCR from Debt to Cap</t>
  </si>
  <si>
    <t>Apply LLCR</t>
  </si>
  <si>
    <t>Debt Used in Analysis</t>
  </si>
  <si>
    <t>2. Compute Project Cost and Debt to Capital</t>
  </si>
  <si>
    <t>3. Compute LLCR</t>
  </si>
  <si>
    <t>4. Test LLCR and DSCR with MAX</t>
  </si>
  <si>
    <t>1. Compute CFADS pretending that know interest income</t>
  </si>
  <si>
    <t>5. Compute DSRA in separate loop given array for debt service</t>
  </si>
  <si>
    <t>6. Find Initial DSRA</t>
  </si>
  <si>
    <t>Two Circular References:</t>
  </si>
  <si>
    <t>1. Intiaial DSRA</t>
  </si>
  <si>
    <t>2. Interest Income and Sculpting</t>
  </si>
  <si>
    <t>Pasted DSRA</t>
  </si>
  <si>
    <t>Pasted Interest Income</t>
  </si>
  <si>
    <t>7. Compute Interest Income from Forward DSRA</t>
  </si>
  <si>
    <t>diff dsra</t>
  </si>
  <si>
    <t>pasted dsra</t>
  </si>
  <si>
    <t>Tricks:</t>
  </si>
  <si>
    <t>1. keep int inc in array</t>
  </si>
  <si>
    <t>2. keep debt service in array for DSRA calculation</t>
  </si>
  <si>
    <t>3. double loop for offset function</t>
  </si>
  <si>
    <t>Operating Switch</t>
  </si>
  <si>
    <t>Total difference</t>
  </si>
  <si>
    <t>tot_diff</t>
  </si>
  <si>
    <t>Target Debt Service Coverage (Max)</t>
  </si>
  <si>
    <t>Interest Income</t>
  </si>
  <si>
    <t>DS on Last Facility = CF/DSCR - Other DS</t>
  </si>
  <si>
    <t xml:space="preserve">LLCR for Max Debt to Capital ==&gt; NPV(CFADS)/Max Debt </t>
  </si>
  <si>
    <t>DSCR Applied = MAX(Target DSCR,LLCR with Max Debt)</t>
  </si>
  <si>
    <t>Use formulas: DS=CF/DSCR and PV(DS) = Debt</t>
  </si>
  <si>
    <t>Monthly: Rate for Discounting = (1+Monthly/12)^(1/12)-1</t>
  </si>
  <si>
    <t>Monthly Model with Monthly Payments - Easy; Just Use the Monthly Interest Rate in Discounting</t>
  </si>
  <si>
    <t>12 is monthly</t>
  </si>
  <si>
    <t>Interest Factor from above Factor</t>
  </si>
  <si>
    <t>DSCR with Debt to Cap Constraint (Max)</t>
  </si>
  <si>
    <t>LLCR with Applied Debt Service</t>
  </si>
  <si>
    <t>Flat Fees</t>
  </si>
  <si>
    <t>CF</t>
  </si>
  <si>
    <t>Fees</t>
  </si>
  <si>
    <t>OB</t>
  </si>
  <si>
    <t>Repay</t>
  </si>
  <si>
    <t>CB</t>
  </si>
  <si>
    <t>Adjusted DS</t>
  </si>
  <si>
    <t>DSCR = CFADS/(Int + Repay + Fees)</t>
  </si>
  <si>
    <t>Int + Repay + Fees = CFADS/DSCR</t>
  </si>
  <si>
    <t>Repayment = CFADS/DSCR - Int - Fees</t>
  </si>
  <si>
    <t>Debt = NPV(rate?,Debt Service)</t>
  </si>
  <si>
    <t>DSRA Years</t>
  </si>
  <si>
    <t>LC Fees</t>
  </si>
  <si>
    <t>Debt Term</t>
  </si>
  <si>
    <t>Total Debt Service</t>
  </si>
  <si>
    <t>LC Balance</t>
  </si>
  <si>
    <t>Function Fees</t>
  </si>
  <si>
    <t>Fixed Fees</t>
  </si>
  <si>
    <t>Adjusted DS - Minus Fees</t>
  </si>
  <si>
    <t>Debt = NPV(rate,Debt Service-fees)</t>
  </si>
  <si>
    <t>Assumptions</t>
  </si>
  <si>
    <t>Function to resolve circularity</t>
  </si>
  <si>
    <t>Define Function with SHIFT F3</t>
  </si>
  <si>
    <t>Tax Rate</t>
  </si>
  <si>
    <t>EBITDA</t>
  </si>
  <si>
    <t>Debt Size</t>
  </si>
  <si>
    <t>CFADS with Taxes</t>
  </si>
  <si>
    <t>NPV Debt Service</t>
  </si>
  <si>
    <t>Opening Balance Debt</t>
  </si>
  <si>
    <t>Less Repayment</t>
  </si>
  <si>
    <t>Fixed NPV</t>
  </si>
  <si>
    <t>&lt;--------- Fixed if use copy and paste macro</t>
  </si>
  <si>
    <t>Computed NPV</t>
  </si>
  <si>
    <t>&lt;-------- Copy from computed to fixed</t>
  </si>
  <si>
    <t>&lt;-------- Do this until the difference is zero</t>
  </si>
  <si>
    <t>Function Instructions:</t>
  </si>
  <si>
    <t>1. Begin with the end -- Define the debt size</t>
  </si>
  <si>
    <t>2. Work backwards and add the required inputs to the function</t>
  </si>
  <si>
    <t>3. Make a loop around the debt repayment period</t>
  </si>
  <si>
    <t>Less Interest</t>
  </si>
  <si>
    <t>4. Define interest first because deducted for taxes</t>
  </si>
  <si>
    <t>EBT</t>
  </si>
  <si>
    <t>Taxes</t>
  </si>
  <si>
    <t>DSCR Check</t>
  </si>
  <si>
    <t>DSRA, Interest Income and Sculpting</t>
  </si>
  <si>
    <t>Sculpting in Monthly with Semi-annual payment</t>
  </si>
  <si>
    <t>Sculpting and Multiple Issues</t>
  </si>
  <si>
    <t>Sculpting and Debt to Cap Constraint</t>
  </si>
  <si>
    <t>Basic Sculpting Formulas</t>
  </si>
  <si>
    <t>Sculpting and Fees</t>
  </si>
  <si>
    <t>Sculpting Function -- (DSRA function) -- Array Function</t>
  </si>
  <si>
    <t>Cash Flow with Interest Income</t>
  </si>
  <si>
    <t>Second: Make second loop and comput fees</t>
  </si>
  <si>
    <t>Function: First work through equations and loop of debt periods assuming fees are given</t>
  </si>
  <si>
    <t>Third: Put both equations and debt and calculation in iteration loop</t>
  </si>
  <si>
    <t>Compute LC in the same manner as DSRA</t>
  </si>
  <si>
    <t>Fees on LC are part of debt service and debt service is in sculpting calculation</t>
  </si>
  <si>
    <t>Copy and paste LC fee entire line</t>
  </si>
  <si>
    <t>LC Fees and Sculpting</t>
  </si>
  <si>
    <t>NPV of Adjusted Debt Service</t>
  </si>
  <si>
    <t>Function: Include taxes in CFADS, but taxes are function of interest</t>
  </si>
  <si>
    <t>Make sure interest is computed before taxes</t>
  </si>
  <si>
    <t>Taxes and Sculpting</t>
  </si>
  <si>
    <t>LC for DSRA</t>
  </si>
  <si>
    <t>Make Function Debt Size 1</t>
  </si>
  <si>
    <t>Fees on LC are part of debt service and debt service is in sculpting calculation: Repay = Target DS - Interest - Fees incl LC Fees</t>
  </si>
  <si>
    <t>Next Period DS</t>
  </si>
  <si>
    <t>Copy and paste LC fee entire line: Adjusted DS = Target DS - Fee including LC Fees</t>
  </si>
  <si>
    <t>LC COMP</t>
  </si>
  <si>
    <t>LC FIXED</t>
  </si>
  <si>
    <t>DSRA Funded with Cash</t>
  </si>
  <si>
    <t>make the function npv_taxes</t>
  </si>
  <si>
    <t>Third: Put both loops and debt and calculation in iteration loop</t>
  </si>
  <si>
    <t>1. Initial DSRA</t>
  </si>
  <si>
    <t>4. Put the iteration around both loops</t>
  </si>
  <si>
    <t>Function dsra_function(debt_switch, cash_flow, dsra_periods, input_dscr, base_cost, interest_rate, _</t>
  </si>
  <si>
    <t xml:space="preserve">                       max_debt_cap, int_inc_rate) As Variant          ' Function is variant so that goes to array</t>
  </si>
  <si>
    <t xml:space="preserve">    Dim output(4, 1000) As Variant         ' for output as array -- 4 rows and multiple columns</t>
  </si>
  <si>
    <t xml:space="preserve">    Dim target_ds(1000) As Single          ' defined variables</t>
  </si>
  <si>
    <t xml:space="preserve">    Dim interest_index(1000) As Single     ' need to look backward</t>
  </si>
  <si>
    <t xml:space="preserve">    Dim int_inc(1000) As Single            ' need to save in separate loop</t>
  </si>
  <si>
    <t>'</t>
  </si>
  <si>
    <t>'  Find the start column from the debt switch, go around 1000 numbers, could use any switch</t>
  </si>
  <si>
    <t xml:space="preserve">    </t>
  </si>
  <si>
    <t xml:space="preserve">    tot_num = 100                        'section for allowing entire range -- this can take time</t>
  </si>
  <si>
    <t xml:space="preserve">    For i = 1 To tot_num</t>
  </si>
  <si>
    <t xml:space="preserve">        If debt_switch(i) = True Then    ' go accross blanks until find true</t>
  </si>
  <si>
    <t xml:space="preserve">            start_debt = i               ' when find a TRUE, then get out of the loop</t>
  </si>
  <si>
    <t xml:space="preserve">            Exit For</t>
  </si>
  <si>
    <t xml:space="preserve">        End If</t>
  </si>
  <si>
    <t xml:space="preserve">    Next i</t>
  </si>
  <si>
    <t>' Redo the loop and find the end column  - make sure include the entire range</t>
  </si>
  <si>
    <t xml:space="preserve">    For i = start_debt To tot_num                                        ' begin at the last place found the start</t>
  </si>
  <si>
    <t xml:space="preserve">        If debt_switch(i - 1) = True And debt_switch(i) &lt;&gt; False Then    ' stop when changes to false</t>
  </si>
  <si>
    <t xml:space="preserve">            end_debt = i                                                 ' this is the ending column of the debt</t>
  </si>
  <si>
    <t xml:space="preserve">            </t>
  </si>
  <si>
    <t xml:space="preserve">    For iter = 1 To 10                              ' this could be fancier where look for convergence of DSRA</t>
  </si>
  <si>
    <t xml:space="preserve">        project_cost = base_cost + start_dsra       ' dsra is found below</t>
  </si>
  <si>
    <t xml:space="preserve">                   </t>
  </si>
  <si>
    <t xml:space="preserve">        interest_index(start_debt - 1) = 1          ' in arrays make sure to start at the correct column</t>
  </si>
  <si>
    <t xml:space="preserve">        npv_cash_flow = 0</t>
  </si>
  <si>
    <t xml:space="preserve">        pv_debt_service = 0</t>
  </si>
  <si>
    <t xml:space="preserve">        </t>
  </si>
  <si>
    <t xml:space="preserve">        For i = start_debt To end_debt              ' does not start at 1, starts at column of debt</t>
  </si>
  <si>
    <t xml:space="preserve">            cfads = cash_flow(i) + int_inc(i)                                        ' interest income from later on</t>
  </si>
  <si>
    <t xml:space="preserve">            interest_index(i) = interest_index(i - 1) * (1 + interest_rate(i))       ' normal interest index beginning before loop</t>
  </si>
  <si>
    <t xml:space="preserve">            npv_cash_flow = npv_cash_flow + cfads / interest_index(i)                ' need for the temp LLCR calc</t>
  </si>
  <si>
    <t xml:space="preserve">        Next i</t>
  </si>
  <si>
    <t xml:space="preserve">        debt_from_project_cost = project_cost * max_debt_cap                         ' after look compute the cost</t>
  </si>
  <si>
    <t xml:space="preserve">        If debt_from_project_cost &lt;&gt; 0 Then</t>
  </si>
  <si>
    <t xml:space="preserve">            debt_to_cap_llcr = npv_cash_flow / debt_from_project_cost                ' get the llcr after the first loop</t>
  </si>
  <si>
    <t xml:space="preserve">                </t>
  </si>
  <si>
    <t xml:space="preserve">        target_dscr = WorksheetFunction.Max(input_dscr, debt_to_cap_llcr)            ' compute the applied dscr/llcr</t>
  </si>
  <si>
    <t xml:space="preserve">                                                                                                                                                                </t>
  </si>
  <si>
    <t xml:space="preserve">        For i = start_debt To end_debt                                               ' second loop to compute the debt service using dscr</t>
  </si>
  <si>
    <t xml:space="preserve">            cfads = cash_flow(i) + int_inc(i)                                        ' interest income from below</t>
  </si>
  <si>
    <t xml:space="preserve">            If target_dscr &lt;&gt; 0 Then target_ds(i) = cfads / target_dscr              ' get the target ds from the applied dscr</t>
  </si>
  <si>
    <t xml:space="preserve">            pv_debt_service = pv_debt_service + target_ds(i) / interest_index(i)     ' to compute the debt amount</t>
  </si>
  <si>
    <t>' Third loop for the dsra</t>
  </si>
  <si>
    <t xml:space="preserve">                                </t>
  </si>
  <si>
    <t xml:space="preserve">        dsra = 0</t>
  </si>
  <si>
    <t xml:space="preserve">        For i = start_debt - 1 To end_debt                                           ' start in year zero, the column prior to the debt</t>
  </si>
  <si>
    <t xml:space="preserve">                                                                                                                                                                      </t>
  </si>
  <si>
    <t xml:space="preserve">            int_inc(i) = dsra_balance * int_inc_rate(i)                              ' last year balance because DSRA not incremented</t>
  </si>
  <si>
    <t xml:space="preserve">            dsra_balance = 0                                                         ' this is replicating the offset function</t>
  </si>
  <si>
    <t xml:space="preserve">            For j = i + 1 To i + dsra_periods</t>
  </si>
  <si>
    <t xml:space="preserve">                dsra_balance = dsra_balance + target_ds(j)                           ' add the debt service and accumulate</t>
  </si>
  <si>
    <t xml:space="preserve">            Next j</t>
  </si>
  <si>
    <t xml:space="preserve">            If i = start_debt - 1 Then start_dsra = dsra_balance</t>
  </si>
  <si>
    <t xml:space="preserve">    Next iter</t>
  </si>
  <si>
    <t>' Output data</t>
  </si>
  <si>
    <t xml:space="preserve">    Count = 1</t>
  </si>
  <si>
    <t xml:space="preserve">    For i = start_debt To end_debt                                                  ' Be careful only to increment the correct columns</t>
  </si>
  <si>
    <t xml:space="preserve">        output(1, Count) = start_dsra</t>
  </si>
  <si>
    <t xml:space="preserve">        output(2, Count) = int_inc(i)</t>
  </si>
  <si>
    <t xml:space="preserve">        output(3, Count) = target_ds(i)</t>
  </si>
  <si>
    <t xml:space="preserve">        Count = Count + 1</t>
  </si>
  <si>
    <t>' final output to array</t>
  </si>
  <si>
    <t xml:space="preserve">    dsra_function = output</t>
  </si>
  <si>
    <t>End Function</t>
  </si>
  <si>
    <t>Second: Make second loop and compute LC fees - Fees are subtracted from debt repayment and adjuted DS from NPV</t>
  </si>
  <si>
    <t>DSCR Min</t>
  </si>
  <si>
    <t>DSCR Ave</t>
  </si>
  <si>
    <t>Opening Balance after Maturity</t>
  </si>
  <si>
    <t>Closing balance at Maturity</t>
  </si>
  <si>
    <t>Closing</t>
  </si>
  <si>
    <t>Opening</t>
  </si>
  <si>
    <t>Debt to Capital</t>
  </si>
  <si>
    <t>Debt Applied</t>
  </si>
  <si>
    <t>Capital</t>
  </si>
  <si>
    <t>Equity IRR</t>
  </si>
  <si>
    <t>Interest Expense</t>
  </si>
  <si>
    <t>CFADS - Cash + Int Income</t>
  </si>
  <si>
    <t>Interest, Repayment and Fees</t>
  </si>
  <si>
    <t xml:space="preserve">DSCR  </t>
  </si>
  <si>
    <t>DSCR Average</t>
  </si>
  <si>
    <t>Debt/Cap</t>
  </si>
  <si>
    <t>Apply LLCR Constraint</t>
  </si>
  <si>
    <t>Target Debt Service Coverage (MAX)</t>
  </si>
  <si>
    <t>Target Debt Service without Fees</t>
  </si>
  <si>
    <t>Less: LC Fees</t>
  </si>
  <si>
    <t>Tests/Outputs</t>
  </si>
  <si>
    <t xml:space="preserve">Debt  </t>
  </si>
  <si>
    <t>Cost and Cash Flow</t>
  </si>
  <si>
    <t>Cost</t>
  </si>
  <si>
    <t>Pre-tax Cash Flow</t>
  </si>
  <si>
    <t>NPV of CFADS</t>
  </si>
  <si>
    <t>Debt Service w/o Fees</t>
  </si>
  <si>
    <t>NPV of Fees</t>
  </si>
  <si>
    <t>PV of LC Fees</t>
  </si>
  <si>
    <t>Maximum Debt w/o LC Fees</t>
  </si>
  <si>
    <t>Maximum Debt from Debt/Cap</t>
  </si>
  <si>
    <t>Final Debt to Cap</t>
  </si>
  <si>
    <t>Debt to Cap Adjusted</t>
  </si>
  <si>
    <t>PV of Fees</t>
  </si>
  <si>
    <t>NPV of DS w/o Fees</t>
  </si>
  <si>
    <t>Debt Size Function</t>
  </si>
  <si>
    <t>Work with PV of fees to back into the LLCR</t>
  </si>
  <si>
    <t>DSCR = CF/DS</t>
  </si>
  <si>
    <t>DSCR 1 = CF/(DS + fees)</t>
  </si>
  <si>
    <t>LLCR = PV(CF)/(PV(DS)</t>
  </si>
  <si>
    <t>LLCR 1 = PV(CF)/[(PV(DS) + PV(fees)]</t>
  </si>
  <si>
    <t>LLCR 1 x [PV(DS) + PV(fees)] = PV(CF)</t>
  </si>
  <si>
    <t>PV(DS) = PV(CF)/LLCR1 - PV(fees)</t>
  </si>
  <si>
    <t>PV(DS) = LLCR / PV(CF)</t>
  </si>
  <si>
    <t>Debt = LLCR / PV(CF)</t>
  </si>
  <si>
    <t>LLCR 1 = PV(CF)/[(debt + PV(fees)]</t>
  </si>
  <si>
    <t>Basic LLCR</t>
  </si>
  <si>
    <t>Target Debt</t>
  </si>
  <si>
    <t>Unadjusted LLCR</t>
  </si>
  <si>
    <t>Debt to Cap LLCR</t>
  </si>
  <si>
    <t>PV LC Fees</t>
  </si>
  <si>
    <t>Debt Service from Max DSCR</t>
  </si>
  <si>
    <t>Debt from Target DSCR</t>
  </si>
  <si>
    <t>First Exercise -- Use DSCR and NPV formulas to Derive Debt</t>
  </si>
  <si>
    <t>Determine the LLCR with Fees for Adjusted LLCR and Debt Size</t>
  </si>
  <si>
    <t>First: Compute PV of Fees using Interest Rate</t>
  </si>
  <si>
    <t>Adjusted LLCR for Fees</t>
  </si>
  <si>
    <t>DSCR Target using Adjusted LLCR</t>
  </si>
  <si>
    <t>PV of Debt Service - No Fee Adjustments</t>
  </si>
  <si>
    <t>Repayment - Adjust for LC Fees</t>
  </si>
  <si>
    <t>Total DS Including Fees</t>
  </si>
  <si>
    <t>Function sculpt_function(debt_switch, cash_flow, dsra_periods, input_dscr, base_cost, interest_rate, _</t>
  </si>
  <si>
    <t xml:space="preserve">                       max_debt_cap, int_inc_rate, LC_Switch, lc_fee_pct) As Variant        ' Function is variant so that goes to array</t>
  </si>
  <si>
    <t xml:space="preserve">    Dim output(6, 1000) As Variant         ' for output as array -- 4 rows and multiple columns</t>
  </si>
  <si>
    <t xml:space="preserve">    Dim lc_fees(1000) As Single</t>
  </si>
  <si>
    <t>'  Begin financial loop with iterations</t>
  </si>
  <si>
    <t xml:space="preserve">    For iter = 1 To 20                              ' this could be fancier where look for convergence of DSRA</t>
  </si>
  <si>
    <t xml:space="preserve">        npv_cash_flow = 0                           ' reset accumulated npv of cash flow</t>
  </si>
  <si>
    <t xml:space="preserve">        pv_debt_service = 0                         ' reset accumulated pv of debt service</t>
  </si>
  <si>
    <t xml:space="preserve">        pv_lc_fees = 0                              ' reset accumulated pv fees</t>
  </si>
  <si>
    <t xml:space="preserve">        debt_input_dscr = 0</t>
  </si>
  <si>
    <t>' FIRST loop for LLCR and max debt to capital test</t>
  </si>
  <si>
    <t xml:space="preserve">            input_ds = cfads / input_dscr</t>
  </si>
  <si>
    <t xml:space="preserve">            npv_cash_flow = npv_cash_flow + (cfads) / interest_index(i)  ' need for the temp LLCR calc</t>
  </si>
  <si>
    <t xml:space="preserve">            pv_lc_fees = pv_lc_fees + lc_fees(i) / interest_index(i)           ' need pv of lc fees to compute the debt amount</t>
  </si>
  <si>
    <t xml:space="preserve">            debt_input_dscr = debt_input_dscr + input_ds / interest_index(i)           ' need pv of lc fees to compute the debt amount</t>
  </si>
  <si>
    <t xml:space="preserve">        debt_from_project_cost = project_cost * max_debt_cap     ' after look compute the cost</t>
  </si>
  <si>
    <t xml:space="preserve">        debt_input_dscr = debt_input_dscr - pv_lc_fees</t>
  </si>
  <si>
    <t xml:space="preserve">        If debt_from_project_cost &lt;&gt; 0 Then                      ' Adjust for LC fees</t>
  </si>
  <si>
    <t xml:space="preserve">            debt_to_cap_llcr = npv_cash_flow / (debt_from_project_cost + pv_lc_fees)                ' get the llcr after the first loop</t>
  </si>
  <si>
    <t>' find correct dscr to use with the MAX function given the debt to cap constrait</t>
  </si>
  <si>
    <t xml:space="preserve">        If debt_from_project_cost &lt; debt_input_dscr Then              ' Test for which produces more debt</t>
  </si>
  <si>
    <t xml:space="preserve">            target_dscr = debt_to_cap_llcr</t>
  </si>
  <si>
    <t xml:space="preserve">        Else</t>
  </si>
  <si>
    <t xml:space="preserve">            target_dscr = input_dscr</t>
  </si>
  <si>
    <t xml:space="preserve">                                                                                                       </t>
  </si>
  <si>
    <t>' SECOND to find debt service</t>
  </si>
  <si>
    <t xml:space="preserve">            pv_debt_service = pv_debt_service + (target_ds(i) - lc_fees(i)) / interest_index(i)     ' to compute the debt amount</t>
  </si>
  <si>
    <t>' THIRD loop for the dsra</t>
  </si>
  <si>
    <t xml:space="preserve">            If (LC_Switch = False) Then</t>
  </si>
  <si>
    <t xml:space="preserve">                int_inc(i) = dsra_balance * int_inc_rate(i)                              ' last year balance because DSRA not incremented</t>
  </si>
  <si>
    <t xml:space="preserve">                lc_fees(i) = 0</t>
  </si>
  <si>
    <t xml:space="preserve">            End If</t>
  </si>
  <si>
    <t xml:space="preserve">            If (LC_Switch = True) Then</t>
  </si>
  <si>
    <t xml:space="preserve">                int_inc(i) = 0                              ' last year balance because DSRA not incremented</t>
  </si>
  <si>
    <t xml:space="preserve">                lc_fees(i) = dsra_balance * lc_fee_pct</t>
  </si>
  <si>
    <t xml:space="preserve">                        </t>
  </si>
  <si>
    <t xml:space="preserve">            If i = start_debt - 1 And LC_Switch = False Then start_dsra = dsra_balance</t>
  </si>
  <si>
    <t xml:space="preserve">            If LC_Switch = True Then start_dsra = 0</t>
  </si>
  <si>
    <t>'            pv_lc_fees = pv_lc_fees + lc_fees(i) / interest_index(i)           ' need pv of lc fees to compute the debt amount</t>
  </si>
  <si>
    <t xml:space="preserve">    Next iter   ' Iteration Loop for circular problems</t>
  </si>
  <si>
    <t xml:space="preserve">        output(4, Count) = lc_fees(i)</t>
  </si>
  <si>
    <t xml:space="preserve">        output(5, Count) = pv_lc_fees</t>
  </si>
  <si>
    <t xml:space="preserve">        output(6, Count) = debt_to_cap_llcr</t>
  </si>
  <si>
    <t xml:space="preserve">    sculpt_function = output</t>
  </si>
  <si>
    <t>Second: Make third loop and compute LC fees or interest income from DSRA with test</t>
  </si>
  <si>
    <t>Function: Work through equations and loop of debt periods assuming fees are given -- First loop for LLCR test and second loop to compute debt service given LLCR</t>
  </si>
  <si>
    <t>Less: Taxes</t>
  </si>
  <si>
    <t>Profit and Loss for Taxes</t>
  </si>
  <si>
    <t>Less: Interest Expense</t>
  </si>
  <si>
    <t>Less: Fees on LC</t>
  </si>
  <si>
    <t>Depreciation Expense</t>
  </si>
  <si>
    <t>Earnings Before Tax</t>
  </si>
  <si>
    <t>Taxes Paid</t>
  </si>
  <si>
    <t>Sclpt_taxes -- First work through the model (not the function) with taxes</t>
  </si>
  <si>
    <t>Operating Cash Flow (EBITDA)</t>
  </si>
  <si>
    <t>Interest Income Test</t>
  </si>
  <si>
    <t>Debt Service Test</t>
  </si>
  <si>
    <t>LC Fees Test</t>
  </si>
  <si>
    <t>Taxes Test</t>
  </si>
  <si>
    <t>This file includes basic and advanced exercises related to sculpting</t>
  </si>
  <si>
    <t>Compute Periodic Interest Payments and Repayments with Different Timing</t>
  </si>
  <si>
    <t>Monthly Model with Periodic Payment Meaning that the Debt Payments are not at each period</t>
  </si>
  <si>
    <t>Flat Fees per period</t>
  </si>
  <si>
    <t>Sculpting with Multiple Debt Issues</t>
  </si>
  <si>
    <t>Sculpting Exercise with Multiple Debt Issues</t>
  </si>
  <si>
    <t>Intrest Rate Index for Semi-annual</t>
  </si>
  <si>
    <t>Check with Debt Balance</t>
  </si>
  <si>
    <t>Check - Closing Balance Zero</t>
  </si>
  <si>
    <t>Payment Period with MOD function</t>
  </si>
  <si>
    <t>Year - ROUNDUP</t>
  </si>
  <si>
    <t>Interest Factor with Periodic Compounding</t>
  </si>
  <si>
    <t>Repayment = (CFADS/DSCR) - Int - Fees -- From formula DSCR = CFADS/(Debt Service + fees)</t>
  </si>
  <si>
    <t>Debt = NPV(rate,Debt Service-fees) = NPV(rate, Debt Service) - NPV(rate, Fees)</t>
  </si>
  <si>
    <t>Tests</t>
  </si>
  <si>
    <t>Exercise: Enter Debt Switch; Target Debt Service ; Compute Debt Balance where repayments = target DS - Interest; test the Debt Service</t>
  </si>
  <si>
    <t>Exercise: Compute the PV of CADS and the LLCR from Debt to Capital; Compute Applied DSCR, Target DS and Debt Balance</t>
  </si>
  <si>
    <t>Total Debt Service for All Issues</t>
  </si>
  <si>
    <t>Target Debt Service for All Issues</t>
  </si>
  <si>
    <t>Exercise: Compute the Debt Balance for Num 2 (level); Target DS for Last Debt Issue; Total Debt Service for All Issues</t>
  </si>
  <si>
    <t>Function period_of_year(period, timing)</t>
  </si>
  <si>
    <t>period_of_year = period Mod timing</t>
  </si>
  <si>
    <t>If period_of_year = 0 Then period_of_year = timing</t>
  </si>
  <si>
    <t>Period in Year with MOD function</t>
  </si>
  <si>
    <t>Year (ROUNDUP Function)</t>
  </si>
  <si>
    <t>Cashflows (LOOKUP Function)</t>
  </si>
  <si>
    <t>DSCR (LOOKUP Function)</t>
  </si>
  <si>
    <t>Interest Rate - Given: Divide by 2 (LOOKUP)</t>
  </si>
  <si>
    <t>NPV - Just Use Periodic Interest Rate (SUMPRODUCT)</t>
  </si>
  <si>
    <t>Put in test</t>
  </si>
  <si>
    <t xml:space="preserve">Interest  </t>
  </si>
  <si>
    <t>Debt Amount</t>
  </si>
  <si>
    <t>DSCR Applied</t>
  </si>
  <si>
    <t>DSCR Verification</t>
  </si>
  <si>
    <t>Interest Income Rate p.a.</t>
  </si>
  <si>
    <t>Second: Put interest expense, debt balance and taxes in first loop and make dimension for taxes</t>
  </si>
  <si>
    <t>1. keep int inc, lc fees and taxes in array</t>
  </si>
  <si>
    <t>3. triple loop for offset function</t>
  </si>
  <si>
    <t>Exercise: Compute Debt Balance with Fees; PV of Debt Service with subtracting fees and macro with copy and paste for fees</t>
  </si>
  <si>
    <t>Basic Interest Rate for Interest Expense - Different</t>
  </si>
  <si>
    <t>Each Exercise and Each Page has an Accompanying Video -- The Link is Included in the Spreadsheet</t>
  </si>
  <si>
    <t>Adjusted Interest Rate/Discount Rate for Sculpting</t>
  </si>
  <si>
    <t>Annual Interest Rate from Lookup</t>
  </si>
  <si>
    <t>Payments per Year</t>
  </si>
  <si>
    <t>Periodic Interest Rate when Pay</t>
  </si>
  <si>
    <t>Periods (e.g. months) until pay debt service</t>
  </si>
  <si>
    <t>Semi Annual: Rate for Discounting in Monthly Model = (1+Annual Rate/2)^(1/6)-1</t>
  </si>
  <si>
    <t>Simple Proof in Annual Case</t>
  </si>
  <si>
    <t>Proof in Semi-Annual Case</t>
  </si>
  <si>
    <t>Period  (EIS - 10 periods)</t>
  </si>
  <si>
    <t>Cashflows - Lookup Function</t>
  </si>
  <si>
    <t>DSCR - Lookup Function</t>
  </si>
  <si>
    <t>Interest Rate Index from monthly interest rte</t>
  </si>
  <si>
    <t>NPV with SUMPRODUCT</t>
  </si>
  <si>
    <t>Period (Conditional Formatting)</t>
  </si>
  <si>
    <t>Target Debt Service in Payment Period</t>
  </si>
  <si>
    <t>Exercise: Compute Semi-annual case,  timing in monthly case, discount rate in monthly with payments every 6 months</t>
  </si>
  <si>
    <t>Next Payment Debt Service</t>
  </si>
  <si>
    <t>NPV with Sumproduct</t>
  </si>
  <si>
    <t>Debt Fees</t>
  </si>
  <si>
    <t>Less: Repayment (DS - Interest - Fees)</t>
  </si>
  <si>
    <t>Adjusted DS - Subtract Fees from DS</t>
  </si>
  <si>
    <t xml:space="preserve">Exercise: Compute Target DS, Repayment with Fee Adjustment, DSCR Check; PV of Debt Service - Fees </t>
  </si>
  <si>
    <t>Debt = NPV(rate,Debt Service-fees) - Less Debt to Pay off the fees</t>
  </si>
  <si>
    <t>Fixed Fees from Maccro</t>
  </si>
  <si>
    <t>Copy and paste macro</t>
  </si>
  <si>
    <t>Determine the LLCR with Fees for Adjusted DSCR Target</t>
  </si>
  <si>
    <t>DSRA Given</t>
  </si>
  <si>
    <t>Second LLCR is PV of CFADS divided by Debt plus PV of Fees and Use for Debt Size and Target DS</t>
  </si>
  <si>
    <t>Exercise: Compute Adjustment to LLCR from Fees - Compute PV of CFADS and subtract PV of fees from denominator</t>
  </si>
  <si>
    <t>Depreciation Rate</t>
  </si>
  <si>
    <t>IDC as Percent of Debt</t>
  </si>
  <si>
    <t>Less: Depreciation Expense</t>
  </si>
  <si>
    <t>Earnings Before Tax and NOL</t>
  </si>
  <si>
    <t>NOL Balance</t>
  </si>
  <si>
    <t>Add: NOL Taken from Negative Income</t>
  </si>
  <si>
    <t>Less: NOL Used when Income Positive and NOL Bal</t>
  </si>
  <si>
    <t>NOL Closing Balance</t>
  </si>
  <si>
    <t>NOL Adjustments</t>
  </si>
  <si>
    <t>Adjsuted EBT</t>
  </si>
  <si>
    <t>Add: IDC</t>
  </si>
  <si>
    <t>Total</t>
  </si>
  <si>
    <t>IDC in Project Cost</t>
  </si>
  <si>
    <t>Total_taxes -- First adjust the model (not the function) with taxes</t>
  </si>
  <si>
    <t>Second: Put NOL and the IDC in first loop of the function and make dimension for taxes</t>
  </si>
  <si>
    <t>Third: Add IDC Output to Function and verify calculation in iteration loop</t>
  </si>
  <si>
    <t>The exercise is shown with a (2) after the sheet name and has Yellow Tab</t>
  </si>
  <si>
    <t>Economics of DSRA used for Final Maturity</t>
  </si>
  <si>
    <t>Months of Debt Service in DSRA</t>
  </si>
  <si>
    <t>First Year Debt Service</t>
  </si>
  <si>
    <t>DSRA Re-imbursment Period</t>
  </si>
  <si>
    <t>DSRA Portion of Loan</t>
  </si>
  <si>
    <t>NPV of DSRA</t>
  </si>
  <si>
    <t>Total Cost</t>
  </si>
  <si>
    <t>Project Cash Flow</t>
  </si>
  <si>
    <t>Project IRR</t>
  </si>
  <si>
    <t>DSRA in Maturity</t>
  </si>
  <si>
    <t>DSRA Repayment</t>
  </si>
  <si>
    <t>Include DSRA Balance in Repayment</t>
  </si>
  <si>
    <t>Debt Balance is NPV of Debt Service + NPV of DSRA</t>
  </si>
  <si>
    <t>Include DSRA in Repayment</t>
  </si>
  <si>
    <t>A completed exercise is shown first and then a similar file is presented with blanks to fill in (in yellow)</t>
  </si>
  <si>
    <t>Formulas for Each Exercise that you are supposed to fill in are in Yellow</t>
  </si>
  <si>
    <t>Function: To Model Interest Income on DSRA, use Two Loops</t>
  </si>
  <si>
    <t>Compute DSRA in the Same function as Interest Income</t>
  </si>
  <si>
    <t>Change in DSRA</t>
  </si>
  <si>
    <t>Use DSRA as Maturity Payment</t>
  </si>
  <si>
    <t>Total Project Cost</t>
  </si>
  <si>
    <t>DSRA Change</t>
  </si>
  <si>
    <t>DSRA Level</t>
  </si>
  <si>
    <t>CFADS with DSRA Change</t>
  </si>
  <si>
    <t>Debt Balance is NPV of Debt Service + NPV of DSRA/DSCR</t>
  </si>
  <si>
    <t>Repayment = Normal Repayment + DSRA Change/DSCR</t>
  </si>
  <si>
    <t>Cicular Reference Resolution</t>
  </si>
  <si>
    <t>Target Debt Service (from Below)</t>
  </si>
  <si>
    <t>DSRA Adjustments</t>
  </si>
  <si>
    <t>Change in DSRA/DSCR</t>
  </si>
  <si>
    <t>Present Value of DSRA/DSCR</t>
  </si>
  <si>
    <t>Total Denominator of LLCR Including Fees</t>
  </si>
  <si>
    <t>Apply LLCR Constraint (Higher LLCR than DSCR)</t>
  </si>
  <si>
    <t>CFADS over Debt Period from Above</t>
  </si>
  <si>
    <t>Less: Repayment without DSRA Effect</t>
  </si>
  <si>
    <t>Less (Add): DSRA Change Adjustment</t>
  </si>
  <si>
    <t>Net Cash Flow</t>
  </si>
  <si>
    <t>Total Adjusted PV of CFADS</t>
  </si>
  <si>
    <t>Period by Period Target Debt Service</t>
  </si>
  <si>
    <t>PV of Target Debt Service Adjusted for Fees</t>
  </si>
  <si>
    <t>Less: PV of LC Fees</t>
  </si>
  <si>
    <t>Debt Balance at COD for Analysis</t>
  </si>
  <si>
    <t>PV of Debt Service from Raw Sculpting</t>
  </si>
  <si>
    <t>NPV of Target Debt Service without DSRA Adjustment</t>
  </si>
  <si>
    <t>Add: DSRA Adjustment</t>
  </si>
  <si>
    <t>Add: PV of DSRA Change/DSCR</t>
  </si>
  <si>
    <t>DSRA and LC Balance</t>
  </si>
  <si>
    <t>Add: Changes in DSRA</t>
  </si>
  <si>
    <t>Use LC Guaranteed by Parent</t>
  </si>
  <si>
    <t>CFADS over Debt Tenor without DSRA Adjustment</t>
  </si>
  <si>
    <t>Adjusted CFADS</t>
  </si>
  <si>
    <t>Final Debt to Capital</t>
  </si>
  <si>
    <t>Closing Debt Balance at COD</t>
  </si>
  <si>
    <t>DSRA Cash Flow not Included in CFADS</t>
  </si>
  <si>
    <t>Target DSCR Applied</t>
  </si>
  <si>
    <t>Add: PV of LC Fees</t>
  </si>
  <si>
    <t>Debt from Sculpting Before Adjustments</t>
  </si>
  <si>
    <t>Less: Adjustment for LC Fees</t>
  </si>
  <si>
    <t>Debt from Target DSCR for Test</t>
  </si>
  <si>
    <t>Add: PV of DSCR Change Adjustment</t>
  </si>
  <si>
    <t>Test for Debt Constraint: DSCR Applied when True</t>
  </si>
  <si>
    <t>PV of DSRA Change</t>
  </si>
  <si>
    <t>Second: Include DSRA Change/DSCR in Repayment</t>
  </si>
  <si>
    <t>DSRA_Moves  -- First Compute PV of DSRA Changes/DSCR</t>
  </si>
  <si>
    <t>Closing Test</t>
  </si>
  <si>
    <t>Opening Test</t>
  </si>
  <si>
    <t>DSRA Requirement with Offset Function</t>
  </si>
  <si>
    <t>Debt Balance Test</t>
  </si>
  <si>
    <t>Modelled</t>
  </si>
  <si>
    <t>Target Debt Service for Interest and Repayment</t>
  </si>
  <si>
    <t>Third: Add PV of DSRA Change to the Debt Balance and Adjust the LLCR and DSCR Tests</t>
  </si>
  <si>
    <t>1. Intial DSRA</t>
  </si>
  <si>
    <t>Target Debt Service without Fees and Without Change DSRA</t>
  </si>
  <si>
    <t>First: Compute PV of Fees using Interest Rate: LLCR = PV(CFADS)/(Debt + PV Fees)</t>
  </si>
  <si>
    <t>Switch for DSRA in CFADS</t>
  </si>
  <si>
    <t>DSRA CFADS Switch</t>
  </si>
  <si>
    <t>CFADS over Debt Period from Below</t>
  </si>
  <si>
    <t>LLCR is NPV of CFADS/(Debt - PV of DSRA/DSCR)</t>
  </si>
  <si>
    <t>Compute NPV without Adjustment to CFADS</t>
  </si>
  <si>
    <t>Note DS in the above formula means debt service without fees and debt is reduced by PV of fees</t>
  </si>
  <si>
    <t>Target Debt Service w/o Fees</t>
  </si>
  <si>
    <t>NPV of Debt Service</t>
  </si>
  <si>
    <t>Net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</si>
</sst>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8" formatCode="&quot;$&quot;#,##0.00_);[Red]\(&quot;$&quot;#,##0.00\)"/>
    <numFmt numFmtId="43" formatCode="_(* #,##0.00_);_(* \(#,##0.00\);_(* &quot;-&quot;??_);_(@_)"/>
    <numFmt numFmtId="164" formatCode="#,##0.00\ &quot;€&quot;;[Red]\-#,##0.00\ &quot;€&quot;"/>
    <numFmt numFmtId="165" formatCode="_-* #,##0.00\ _€_-;\-* #,##0.00\ _€_-;_-* &quot;-&quot;??\ _€_-;_-@_-"/>
    <numFmt numFmtId="166" formatCode="_(* #,##0_);_(* \(#,##0\);_(* &quot;-&quot;??_);_(@_)"/>
    <numFmt numFmtId="167" formatCode="0.000000%"/>
    <numFmt numFmtId="168" formatCode="#,##0.0000"/>
    <numFmt numFmtId="169" formatCode="0.0"/>
    <numFmt numFmtId="170" formatCode="#,##0.000"/>
    <numFmt numFmtId="171" formatCode="#,##0.000000"/>
  </numFmts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0000FF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name val="Calibri"/>
      <family val="2"/>
      <scheme val="minor"/>
    </font>
    <font>
      <sz val="11"/>
      <name val="Calibri"/>
      <family val="2"/>
    </font>
    <font>
      <sz val="11"/>
      <color rgb="FF0000FF"/>
      <name val="Calibri"/>
      <family val="2"/>
    </font>
    <font>
      <b/>
      <sz val="11"/>
      <color theme="1"/>
      <name val="Calibri"/>
      <family val="2"/>
      <scheme val="minor"/>
    </font>
    <font>
      <b/>
      <sz val="20"/>
      <name val="Calibri"/>
      <family val="2"/>
    </font>
    <font>
      <b/>
      <sz val="12"/>
      <name val="Calibri"/>
      <family val="2"/>
      <scheme val="minor"/>
    </font>
    <font>
      <sz val="8"/>
      <color rgb="FF000000"/>
      <name val="Segoe UI"/>
      <family val="2"/>
    </font>
    <font>
      <sz val="10"/>
      <color theme="1"/>
      <name val="Courier New"/>
      <family val="3"/>
    </font>
    <font>
      <b/>
      <sz val="10"/>
      <color theme="1"/>
      <name val="Courier New"/>
      <family val="3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sz val="8"/>
      <color theme="1"/>
      <name val="Courier New"/>
      <family val="3"/>
    </font>
    <font>
      <sz val="11"/>
      <color rgb="FF000000"/>
      <name val="Calibri"/>
      <family val="2"/>
      <scheme val="minor"/>
    </font>
    <font>
      <b/>
      <sz val="11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indexed="56"/>
        <bgColor indexed="56"/>
      </patternFill>
    </fill>
    <fill>
      <patternFill patternType="solid">
        <fgColor rgb="FFCC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854FA"/>
        <bgColor indexed="64"/>
      </patternFill>
    </fill>
    <fill>
      <patternFill patternType="solid">
        <fgColor rgb="FF09DD3B"/>
        <bgColor indexed="64"/>
      </patternFill>
    </fill>
    <fill>
      <patternFill patternType="solid">
        <fgColor rgb="FFFEFAA8"/>
        <bgColor indexed="64"/>
      </patternFill>
    </fill>
  </fills>
  <borders count="18">
    <border>
      <left/>
      <right/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43" fontId="2" fillId="0" borderId="0" applyFont="0" applyFill="0" applyBorder="0" applyAlignment="0" applyProtection="0"/>
    <xf numFmtId="0" fontId="1" fillId="0" borderId="0"/>
    <xf numFmtId="165" fontId="2" fillId="0" borderId="0" applyFont="0" applyFill="0" applyBorder="0" applyAlignment="0" applyProtection="0"/>
  </cellStyleXfs>
  <cellXfs count="182">
    <xf numFmtId="0" fontId="0" fillId="0" borderId="0" xfId="0"/>
    <xf numFmtId="0" fontId="5" fillId="0" borderId="0" xfId="0" applyFont="1" applyFill="1"/>
    <xf numFmtId="0" fontId="6" fillId="0" borderId="0" xfId="0" applyFont="1" applyFill="1"/>
    <xf numFmtId="9" fontId="6" fillId="0" borderId="0" xfId="0" applyNumberFormat="1" applyFont="1" applyFill="1"/>
    <xf numFmtId="4" fontId="6" fillId="0" borderId="0" xfId="0" applyNumberFormat="1" applyFont="1" applyFill="1"/>
    <xf numFmtId="8" fontId="6" fillId="0" borderId="0" xfId="0" applyNumberFormat="1" applyFont="1" applyFill="1"/>
    <xf numFmtId="166" fontId="6" fillId="0" borderId="0" xfId="1" applyNumberFormat="1" applyFont="1" applyFill="1"/>
    <xf numFmtId="166" fontId="6" fillId="0" borderId="0" xfId="0" applyNumberFormat="1" applyFont="1" applyFill="1"/>
    <xf numFmtId="4" fontId="5" fillId="0" borderId="0" xfId="0" applyNumberFormat="1" applyFont="1" applyFill="1"/>
    <xf numFmtId="0" fontId="6" fillId="0" borderId="0" xfId="0" applyFont="1" applyFill="1" applyAlignment="1">
      <alignment horizontal="center"/>
    </xf>
    <xf numFmtId="0" fontId="6" fillId="0" borderId="0" xfId="0" applyFont="1" applyFill="1" applyBorder="1"/>
    <xf numFmtId="43" fontId="6" fillId="0" borderId="0" xfId="1" applyFont="1" applyFill="1"/>
    <xf numFmtId="10" fontId="6" fillId="0" borderId="0" xfId="0" applyNumberFormat="1" applyFont="1" applyFill="1"/>
    <xf numFmtId="0" fontId="7" fillId="2" borderId="0" xfId="0" applyFont="1" applyFill="1"/>
    <xf numFmtId="9" fontId="7" fillId="2" borderId="0" xfId="0" applyNumberFormat="1" applyFont="1" applyFill="1"/>
    <xf numFmtId="4" fontId="7" fillId="2" borderId="0" xfId="0" applyNumberFormat="1" applyFont="1" applyFill="1"/>
    <xf numFmtId="43" fontId="6" fillId="0" borderId="0" xfId="1" applyNumberFormat="1" applyFont="1" applyFill="1"/>
    <xf numFmtId="10" fontId="6" fillId="0" borderId="0" xfId="1" applyNumberFormat="1" applyFont="1" applyFill="1"/>
    <xf numFmtId="10" fontId="6" fillId="0" borderId="0" xfId="1" applyNumberFormat="1" applyFont="1" applyFill="1" applyAlignment="1">
      <alignment horizontal="center"/>
    </xf>
    <xf numFmtId="43" fontId="6" fillId="0" borderId="0" xfId="0" applyNumberFormat="1" applyFont="1" applyFill="1"/>
    <xf numFmtId="10" fontId="5" fillId="0" borderId="0" xfId="0" applyNumberFormat="1" applyFont="1" applyFill="1"/>
    <xf numFmtId="167" fontId="6" fillId="0" borderId="0" xfId="0" applyNumberFormat="1" applyFont="1" applyFill="1"/>
    <xf numFmtId="0" fontId="5" fillId="0" borderId="0" xfId="0" applyFont="1" applyFill="1" applyBorder="1"/>
    <xf numFmtId="0" fontId="0" fillId="0" borderId="0" xfId="0" applyFont="1"/>
    <xf numFmtId="0" fontId="6" fillId="0" borderId="1" xfId="0" applyFont="1" applyFill="1" applyBorder="1"/>
    <xf numFmtId="4" fontId="6" fillId="0" borderId="1" xfId="0" applyNumberFormat="1" applyFont="1" applyFill="1" applyBorder="1"/>
    <xf numFmtId="168" fontId="6" fillId="0" borderId="0" xfId="0" applyNumberFormat="1" applyFont="1" applyFill="1"/>
    <xf numFmtId="0" fontId="5" fillId="0" borderId="3" xfId="0" applyFont="1" applyFill="1" applyBorder="1"/>
    <xf numFmtId="4" fontId="5" fillId="0" borderId="4" xfId="0" applyNumberFormat="1" applyFont="1" applyFill="1" applyBorder="1"/>
    <xf numFmtId="4" fontId="5" fillId="0" borderId="3" xfId="0" applyNumberFormat="1" applyFont="1" applyFill="1" applyBorder="1"/>
    <xf numFmtId="4" fontId="5" fillId="0" borderId="5" xfId="0" applyNumberFormat="1" applyFont="1" applyFill="1" applyBorder="1"/>
    <xf numFmtId="168" fontId="5" fillId="0" borderId="3" xfId="0" applyNumberFormat="1" applyFont="1" applyFill="1" applyBorder="1"/>
    <xf numFmtId="0" fontId="6" fillId="0" borderId="0" xfId="0" applyFont="1" applyFill="1" applyAlignment="1">
      <alignment horizontal="right"/>
    </xf>
    <xf numFmtId="4" fontId="5" fillId="0" borderId="6" xfId="0" applyNumberFormat="1" applyFont="1" applyFill="1" applyBorder="1"/>
    <xf numFmtId="0" fontId="6" fillId="0" borderId="3" xfId="0" applyFont="1" applyFill="1" applyBorder="1"/>
    <xf numFmtId="43" fontId="5" fillId="0" borderId="4" xfId="1" applyFont="1" applyFill="1" applyBorder="1"/>
    <xf numFmtId="0" fontId="7" fillId="0" borderId="0" xfId="0" applyFont="1" applyFill="1" applyBorder="1"/>
    <xf numFmtId="10" fontId="7" fillId="0" borderId="0" xfId="0" applyNumberFormat="1" applyFont="1" applyFill="1"/>
    <xf numFmtId="4" fontId="7" fillId="0" borderId="0" xfId="0" applyNumberFormat="1" applyFont="1" applyFill="1"/>
    <xf numFmtId="0" fontId="7" fillId="0" borderId="0" xfId="0" applyFont="1" applyFill="1"/>
    <xf numFmtId="0" fontId="9" fillId="3" borderId="0" xfId="0" applyFont="1" applyFill="1"/>
    <xf numFmtId="10" fontId="9" fillId="3" borderId="0" xfId="0" applyNumberFormat="1" applyFont="1" applyFill="1"/>
    <xf numFmtId="167" fontId="5" fillId="0" borderId="4" xfId="0" applyNumberFormat="1" applyFont="1" applyFill="1" applyBorder="1"/>
    <xf numFmtId="4" fontId="7" fillId="0" borderId="5" xfId="0" applyNumberFormat="1" applyFont="1" applyFill="1" applyBorder="1"/>
    <xf numFmtId="0" fontId="5" fillId="0" borderId="4" xfId="0" applyFont="1" applyFill="1" applyBorder="1" applyAlignment="1">
      <alignment horizontal="left" indent="2"/>
    </xf>
    <xf numFmtId="4" fontId="5" fillId="0" borderId="2" xfId="0" applyNumberFormat="1" applyFont="1" applyFill="1" applyBorder="1"/>
    <xf numFmtId="4" fontId="6" fillId="0" borderId="0" xfId="0" applyNumberFormat="1" applyFont="1" applyFill="1" applyBorder="1"/>
    <xf numFmtId="4" fontId="6" fillId="0" borderId="4" xfId="0" applyNumberFormat="1" applyFont="1" applyFill="1" applyBorder="1"/>
    <xf numFmtId="0" fontId="10" fillId="0" borderId="0" xfId="0" applyFont="1"/>
    <xf numFmtId="0" fontId="11" fillId="0" borderId="0" xfId="0" applyFont="1" applyFill="1"/>
    <xf numFmtId="10" fontId="7" fillId="4" borderId="0" xfId="0" applyNumberFormat="1" applyFont="1" applyFill="1"/>
    <xf numFmtId="0" fontId="7" fillId="4" borderId="0" xfId="0" applyFont="1" applyFill="1"/>
    <xf numFmtId="4" fontId="7" fillId="4" borderId="0" xfId="0" applyNumberFormat="1" applyFont="1" applyFill="1"/>
    <xf numFmtId="9" fontId="7" fillId="4" borderId="0" xfId="0" applyNumberFormat="1" applyFont="1" applyFill="1"/>
    <xf numFmtId="166" fontId="7" fillId="4" borderId="0" xfId="1" applyNumberFormat="1" applyFont="1" applyFill="1"/>
    <xf numFmtId="0" fontId="8" fillId="4" borderId="0" xfId="0" applyFont="1" applyFill="1"/>
    <xf numFmtId="0" fontId="11" fillId="0" borderId="3" xfId="0" applyFont="1" applyFill="1" applyBorder="1"/>
    <xf numFmtId="0" fontId="6" fillId="0" borderId="5" xfId="0" applyFont="1" applyFill="1" applyBorder="1"/>
    <xf numFmtId="0" fontId="6" fillId="0" borderId="4" xfId="0" applyFont="1" applyFill="1" applyBorder="1"/>
    <xf numFmtId="0" fontId="11" fillId="0" borderId="0" xfId="0" applyFont="1" applyFill="1" applyBorder="1"/>
    <xf numFmtId="0" fontId="6" fillId="5" borderId="0" xfId="0" applyFont="1" applyFill="1"/>
    <xf numFmtId="4" fontId="6" fillId="5" borderId="0" xfId="0" applyNumberFormat="1" applyFont="1" applyFill="1"/>
    <xf numFmtId="166" fontId="6" fillId="5" borderId="0" xfId="1" applyNumberFormat="1" applyFont="1" applyFill="1"/>
    <xf numFmtId="10" fontId="6" fillId="5" borderId="0" xfId="1" applyNumberFormat="1" applyFont="1" applyFill="1"/>
    <xf numFmtId="43" fontId="6" fillId="5" borderId="0" xfId="1" applyNumberFormat="1" applyFont="1" applyFill="1"/>
    <xf numFmtId="43" fontId="6" fillId="5" borderId="0" xfId="0" applyNumberFormat="1" applyFont="1" applyFill="1"/>
    <xf numFmtId="0" fontId="12" fillId="0" borderId="0" xfId="2" applyFont="1" applyFill="1"/>
    <xf numFmtId="9" fontId="13" fillId="2" borderId="0" xfId="2" applyNumberFormat="1" applyFont="1" applyFill="1"/>
    <xf numFmtId="0" fontId="13" fillId="2" borderId="0" xfId="2" applyFont="1" applyFill="1"/>
    <xf numFmtId="10" fontId="13" fillId="2" borderId="0" xfId="2" applyNumberFormat="1" applyFont="1" applyFill="1"/>
    <xf numFmtId="4" fontId="13" fillId="2" borderId="0" xfId="2" applyNumberFormat="1" applyFont="1" applyFill="1"/>
    <xf numFmtId="4" fontId="12" fillId="0" borderId="0" xfId="2" applyNumberFormat="1" applyFont="1" applyFill="1"/>
    <xf numFmtId="4" fontId="12" fillId="0" borderId="2" xfId="2" applyNumberFormat="1" applyFont="1" applyFill="1" applyBorder="1"/>
    <xf numFmtId="8" fontId="12" fillId="0" borderId="0" xfId="2" applyNumberFormat="1" applyFont="1" applyFill="1"/>
    <xf numFmtId="9" fontId="13" fillId="4" borderId="0" xfId="2" applyNumberFormat="1" applyFont="1" applyFill="1"/>
    <xf numFmtId="0" fontId="13" fillId="4" borderId="0" xfId="2" applyFont="1" applyFill="1"/>
    <xf numFmtId="4" fontId="13" fillId="4" borderId="0" xfId="2" applyNumberFormat="1" applyFont="1" applyFill="1"/>
    <xf numFmtId="10" fontId="13" fillId="4" borderId="0" xfId="2" applyNumberFormat="1" applyFont="1" applyFill="1"/>
    <xf numFmtId="4" fontId="5" fillId="5" borderId="5" xfId="0" applyNumberFormat="1" applyFont="1" applyFill="1" applyBorder="1"/>
    <xf numFmtId="4" fontId="5" fillId="5" borderId="4" xfId="0" applyNumberFormat="1" applyFont="1" applyFill="1" applyBorder="1"/>
    <xf numFmtId="0" fontId="6" fillId="0" borderId="0" xfId="0" applyNumberFormat="1" applyFont="1" applyFill="1"/>
    <xf numFmtId="169" fontId="6" fillId="0" borderId="0" xfId="0" applyNumberFormat="1" applyFont="1" applyFill="1"/>
    <xf numFmtId="164" fontId="6" fillId="0" borderId="0" xfId="0" applyNumberFormat="1" applyFont="1" applyFill="1"/>
    <xf numFmtId="164" fontId="5" fillId="5" borderId="4" xfId="0" applyNumberFormat="1" applyFont="1" applyFill="1" applyBorder="1"/>
    <xf numFmtId="164" fontId="6" fillId="0" borderId="2" xfId="0" applyNumberFormat="1" applyFont="1" applyFill="1" applyBorder="1"/>
    <xf numFmtId="0" fontId="6" fillId="0" borderId="0" xfId="0" quotePrefix="1" applyFont="1" applyFill="1"/>
    <xf numFmtId="4" fontId="6" fillId="0" borderId="0" xfId="3" applyNumberFormat="1" applyFont="1" applyFill="1"/>
    <xf numFmtId="165" fontId="6" fillId="0" borderId="0" xfId="3" applyFont="1" applyFill="1"/>
    <xf numFmtId="0" fontId="14" fillId="0" borderId="0" xfId="0" applyFont="1"/>
    <xf numFmtId="0" fontId="15" fillId="0" borderId="0" xfId="2" applyFont="1" applyFill="1"/>
    <xf numFmtId="4" fontId="12" fillId="5" borderId="0" xfId="2" applyNumberFormat="1" applyFont="1" applyFill="1"/>
    <xf numFmtId="0" fontId="12" fillId="0" borderId="1" xfId="2" applyFont="1" applyFill="1" applyBorder="1"/>
    <xf numFmtId="4" fontId="12" fillId="0" borderId="1" xfId="2" applyNumberFormat="1" applyFont="1" applyFill="1" applyBorder="1"/>
    <xf numFmtId="4" fontId="12" fillId="5" borderId="1" xfId="2" applyNumberFormat="1" applyFont="1" applyFill="1" applyBorder="1"/>
    <xf numFmtId="0" fontId="16" fillId="0" borderId="0" xfId="0" applyFont="1" applyFill="1"/>
    <xf numFmtId="4" fontId="12" fillId="5" borderId="2" xfId="2" applyNumberFormat="1" applyFont="1" applyFill="1" applyBorder="1"/>
    <xf numFmtId="170" fontId="12" fillId="0" borderId="0" xfId="2" applyNumberFormat="1" applyFont="1" applyFill="1"/>
    <xf numFmtId="0" fontId="12" fillId="5" borderId="0" xfId="2" applyFont="1" applyFill="1"/>
    <xf numFmtId="0" fontId="9" fillId="3" borderId="0" xfId="0" applyFont="1" applyFill="1" applyBorder="1"/>
    <xf numFmtId="164" fontId="5" fillId="0" borderId="4" xfId="0" applyNumberFormat="1" applyFont="1" applyFill="1" applyBorder="1"/>
    <xf numFmtId="0" fontId="18" fillId="0" borderId="0" xfId="0" applyFont="1"/>
    <xf numFmtId="0" fontId="19" fillId="5" borderId="0" xfId="0" applyFont="1" applyFill="1"/>
    <xf numFmtId="0" fontId="14" fillId="5" borderId="0" xfId="0" applyFont="1" applyFill="1"/>
    <xf numFmtId="0" fontId="18" fillId="5" borderId="0" xfId="0" applyFont="1" applyFill="1"/>
    <xf numFmtId="0" fontId="0" fillId="5" borderId="0" xfId="0" applyFill="1"/>
    <xf numFmtId="4" fontId="5" fillId="0" borderId="0" xfId="0" applyNumberFormat="1" applyFont="1" applyFill="1" applyBorder="1"/>
    <xf numFmtId="0" fontId="20" fillId="6" borderId="0" xfId="0" applyFont="1" applyFill="1"/>
    <xf numFmtId="0" fontId="22" fillId="0" borderId="0" xfId="0" applyFont="1"/>
    <xf numFmtId="0" fontId="6" fillId="0" borderId="7" xfId="0" applyFont="1" applyFill="1" applyBorder="1"/>
    <xf numFmtId="0" fontId="11" fillId="0" borderId="8" xfId="0" applyFont="1" applyFill="1" applyBorder="1"/>
    <xf numFmtId="0" fontId="6" fillId="0" borderId="9" xfId="0" applyFont="1" applyFill="1" applyBorder="1"/>
    <xf numFmtId="0" fontId="11" fillId="0" borderId="10" xfId="0" applyFont="1" applyFill="1" applyBorder="1"/>
    <xf numFmtId="0" fontId="6" fillId="0" borderId="11" xfId="0" applyFont="1" applyFill="1" applyBorder="1"/>
    <xf numFmtId="0" fontId="6" fillId="0" borderId="12" xfId="0" applyFont="1" applyFill="1" applyBorder="1"/>
    <xf numFmtId="43" fontId="6" fillId="0" borderId="2" xfId="1" applyFont="1" applyFill="1" applyBorder="1"/>
    <xf numFmtId="0" fontId="6" fillId="0" borderId="8" xfId="0" applyFont="1" applyFill="1" applyBorder="1"/>
    <xf numFmtId="4" fontId="6" fillId="0" borderId="9" xfId="0" applyNumberFormat="1" applyFont="1" applyFill="1" applyBorder="1"/>
    <xf numFmtId="0" fontId="6" fillId="0" borderId="13" xfId="0" applyFont="1" applyFill="1" applyBorder="1"/>
    <xf numFmtId="4" fontId="6" fillId="0" borderId="14" xfId="0" applyNumberFormat="1" applyFont="1" applyFill="1" applyBorder="1"/>
    <xf numFmtId="10" fontId="6" fillId="0" borderId="14" xfId="0" applyNumberFormat="1" applyFont="1" applyFill="1" applyBorder="1"/>
    <xf numFmtId="0" fontId="6" fillId="0" borderId="10" xfId="0" applyFont="1" applyFill="1" applyBorder="1"/>
    <xf numFmtId="4" fontId="6" fillId="0" borderId="12" xfId="0" applyNumberFormat="1" applyFont="1" applyFill="1" applyBorder="1"/>
    <xf numFmtId="0" fontId="10" fillId="5" borderId="0" xfId="0" applyFont="1" applyFill="1"/>
    <xf numFmtId="0" fontId="5" fillId="5" borderId="0" xfId="0" applyFont="1" applyFill="1"/>
    <xf numFmtId="0" fontId="11" fillId="5" borderId="0" xfId="0" applyFont="1" applyFill="1" applyBorder="1"/>
    <xf numFmtId="0" fontId="6" fillId="5" borderId="0" xfId="0" applyFont="1" applyFill="1" applyBorder="1"/>
    <xf numFmtId="0" fontId="5" fillId="7" borderId="0" xfId="0" applyFont="1" applyFill="1"/>
    <xf numFmtId="0" fontId="5" fillId="7" borderId="0" xfId="0" applyFont="1" applyFill="1" applyBorder="1"/>
    <xf numFmtId="0" fontId="23" fillId="8" borderId="0" xfId="0" applyFont="1" applyFill="1"/>
    <xf numFmtId="10" fontId="23" fillId="8" borderId="0" xfId="0" applyNumberFormat="1" applyFont="1" applyFill="1"/>
    <xf numFmtId="4" fontId="23" fillId="8" borderId="0" xfId="0" applyNumberFormat="1" applyFont="1" applyFill="1"/>
    <xf numFmtId="9" fontId="23" fillId="8" borderId="0" xfId="0" applyNumberFormat="1" applyFont="1" applyFill="1"/>
    <xf numFmtId="0" fontId="15" fillId="5" borderId="0" xfId="2" applyFont="1" applyFill="1"/>
    <xf numFmtId="4" fontId="6" fillId="0" borderId="5" xfId="0" applyNumberFormat="1" applyFont="1" applyFill="1" applyBorder="1"/>
    <xf numFmtId="167" fontId="6" fillId="0" borderId="5" xfId="0" applyNumberFormat="1" applyFont="1" applyFill="1" applyBorder="1"/>
    <xf numFmtId="167" fontId="6" fillId="0" borderId="4" xfId="0" applyNumberFormat="1" applyFont="1" applyFill="1" applyBorder="1"/>
    <xf numFmtId="4" fontId="10" fillId="0" borderId="0" xfId="0" applyNumberFormat="1" applyFont="1"/>
    <xf numFmtId="0" fontId="7" fillId="5" borderId="0" xfId="0" applyFont="1" applyFill="1"/>
    <xf numFmtId="10" fontId="6" fillId="5" borderId="0" xfId="0" applyNumberFormat="1" applyFont="1" applyFill="1"/>
    <xf numFmtId="167" fontId="6" fillId="5" borderId="0" xfId="0" applyNumberFormat="1" applyFont="1" applyFill="1"/>
    <xf numFmtId="167" fontId="6" fillId="5" borderId="5" xfId="0" applyNumberFormat="1" applyFont="1" applyFill="1" applyBorder="1"/>
    <xf numFmtId="167" fontId="6" fillId="5" borderId="4" xfId="0" applyNumberFormat="1" applyFont="1" applyFill="1" applyBorder="1"/>
    <xf numFmtId="43" fontId="6" fillId="5" borderId="0" xfId="1" applyFont="1" applyFill="1"/>
    <xf numFmtId="4" fontId="6" fillId="5" borderId="2" xfId="0" applyNumberFormat="1" applyFont="1" applyFill="1" applyBorder="1"/>
    <xf numFmtId="0" fontId="12" fillId="0" borderId="3" xfId="2" applyFont="1" applyFill="1" applyBorder="1"/>
    <xf numFmtId="0" fontId="12" fillId="0" borderId="5" xfId="2" applyFont="1" applyFill="1" applyBorder="1"/>
    <xf numFmtId="4" fontId="12" fillId="0" borderId="5" xfId="2" applyNumberFormat="1" applyFont="1" applyFill="1" applyBorder="1"/>
    <xf numFmtId="4" fontId="24" fillId="0" borderId="2" xfId="2" applyNumberFormat="1" applyFont="1" applyFill="1" applyBorder="1"/>
    <xf numFmtId="0" fontId="24" fillId="0" borderId="3" xfId="2" applyFont="1" applyFill="1" applyBorder="1"/>
    <xf numFmtId="0" fontId="24" fillId="0" borderId="5" xfId="2" applyFont="1" applyFill="1" applyBorder="1"/>
    <xf numFmtId="4" fontId="24" fillId="5" borderId="5" xfId="2" applyNumberFormat="1" applyFont="1" applyFill="1" applyBorder="1"/>
    <xf numFmtId="4" fontId="24" fillId="5" borderId="4" xfId="2" applyNumberFormat="1" applyFont="1" applyFill="1" applyBorder="1"/>
    <xf numFmtId="4" fontId="12" fillId="0" borderId="4" xfId="2" applyNumberFormat="1" applyFont="1" applyFill="1" applyBorder="1"/>
    <xf numFmtId="0" fontId="5" fillId="0" borderId="15" xfId="0" applyFont="1" applyFill="1" applyBorder="1"/>
    <xf numFmtId="0" fontId="5" fillId="0" borderId="16" xfId="0" applyFont="1" applyFill="1" applyBorder="1"/>
    <xf numFmtId="4" fontId="5" fillId="0" borderId="16" xfId="0" applyNumberFormat="1" applyFont="1" applyFill="1" applyBorder="1"/>
    <xf numFmtId="0" fontId="5" fillId="0" borderId="17" xfId="0" applyFont="1" applyFill="1" applyBorder="1"/>
    <xf numFmtId="10" fontId="7" fillId="2" borderId="0" xfId="0" applyNumberFormat="1" applyFont="1" applyFill="1"/>
    <xf numFmtId="0" fontId="5" fillId="0" borderId="8" xfId="0" applyFont="1" applyFill="1" applyBorder="1"/>
    <xf numFmtId="0" fontId="5" fillId="0" borderId="7" xfId="0" applyFont="1" applyFill="1" applyBorder="1"/>
    <xf numFmtId="0" fontId="5" fillId="0" borderId="10" xfId="0" applyFont="1" applyFill="1" applyBorder="1"/>
    <xf numFmtId="0" fontId="5" fillId="0" borderId="11" xfId="0" applyFont="1" applyFill="1" applyBorder="1"/>
    <xf numFmtId="4" fontId="6" fillId="5" borderId="0" xfId="0" applyNumberFormat="1" applyFont="1" applyFill="1" applyBorder="1"/>
    <xf numFmtId="10" fontId="5" fillId="0" borderId="9" xfId="0" applyNumberFormat="1" applyFont="1" applyFill="1" applyBorder="1"/>
    <xf numFmtId="10" fontId="8" fillId="2" borderId="12" xfId="0" applyNumberFormat="1" applyFont="1" applyFill="1" applyBorder="1"/>
    <xf numFmtId="168" fontId="5" fillId="0" borderId="0" xfId="0" applyNumberFormat="1" applyFont="1" applyFill="1" applyBorder="1"/>
    <xf numFmtId="166" fontId="7" fillId="2" borderId="0" xfId="1" applyNumberFormat="1" applyFont="1" applyFill="1"/>
    <xf numFmtId="4" fontId="6" fillId="0" borderId="0" xfId="1" applyNumberFormat="1" applyFont="1" applyFill="1"/>
    <xf numFmtId="10" fontId="5" fillId="0" borderId="4" xfId="0" applyNumberFormat="1" applyFont="1" applyFill="1" applyBorder="1"/>
    <xf numFmtId="0" fontId="8" fillId="2" borderId="0" xfId="0" applyFont="1" applyFill="1"/>
    <xf numFmtId="4" fontId="6" fillId="5" borderId="0" xfId="1" applyNumberFormat="1" applyFont="1" applyFill="1"/>
    <xf numFmtId="10" fontId="6" fillId="0" borderId="4" xfId="0" applyNumberFormat="1" applyFont="1" applyFill="1" applyBorder="1"/>
    <xf numFmtId="0" fontId="6" fillId="0" borderId="0" xfId="0" applyFont="1" applyFill="1" applyAlignment="1">
      <alignment horizontal="left"/>
    </xf>
    <xf numFmtId="4" fontId="5" fillId="0" borderId="1" xfId="0" applyNumberFormat="1" applyFont="1" applyFill="1" applyBorder="1"/>
    <xf numFmtId="10" fontId="6" fillId="0" borderId="1" xfId="0" applyNumberFormat="1" applyFont="1" applyFill="1" applyBorder="1"/>
    <xf numFmtId="4" fontId="9" fillId="3" borderId="0" xfId="0" applyNumberFormat="1" applyFont="1" applyFill="1"/>
    <xf numFmtId="0" fontId="6" fillId="0" borderId="8" xfId="0" applyFont="1" applyFill="1" applyBorder="1" applyAlignment="1">
      <alignment horizontal="right"/>
    </xf>
    <xf numFmtId="0" fontId="6" fillId="0" borderId="13" xfId="0" applyFont="1" applyFill="1" applyBorder="1" applyAlignment="1">
      <alignment horizontal="right"/>
    </xf>
    <xf numFmtId="0" fontId="6" fillId="0" borderId="10" xfId="0" applyFont="1" applyFill="1" applyBorder="1" applyAlignment="1">
      <alignment horizontal="right"/>
    </xf>
    <xf numFmtId="171" fontId="6" fillId="0" borderId="0" xfId="0" applyNumberFormat="1" applyFont="1" applyFill="1"/>
    <xf numFmtId="0" fontId="5" fillId="0" borderId="3" xfId="0" applyFont="1" applyFill="1" applyBorder="1" applyAlignment="1">
      <alignment horizontal="right"/>
    </xf>
    <xf numFmtId="9" fontId="12" fillId="0" borderId="0" xfId="2" applyNumberFormat="1" applyFont="1" applyFill="1"/>
  </cellXfs>
  <cellStyles count="4">
    <cellStyle name="Comma" xfId="1" builtinId="3"/>
    <cellStyle name="Comma 2" xfId="3" xr:uid="{00000000-0005-0000-0000-000001000000}"/>
    <cellStyle name="Normal" xfId="0" builtinId="0"/>
    <cellStyle name="Normal 2" xfId="2" xr:uid="{00000000-0005-0000-0000-000003000000}"/>
  </cellStyles>
  <dxfs count="6">
    <dxf>
      <fill>
        <patternFill>
          <bgColor theme="9" tint="0.79998168889431442"/>
        </patternFill>
      </fill>
    </dxf>
    <dxf>
      <font>
        <color rgb="FF3333CC"/>
      </font>
    </dxf>
    <dxf>
      <font>
        <color rgb="FFFF0000"/>
      </font>
    </dxf>
    <dxf>
      <fill>
        <patternFill>
          <bgColor theme="9" tint="0.79998168889431442"/>
        </patternFill>
      </fill>
    </dxf>
    <dxf>
      <font>
        <color rgb="FF3333CC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'DSRA Movement'!$C$187:$D$187</c:f>
              <c:strCache>
                <c:ptCount val="2"/>
                <c:pt idx="0">
                  <c:v>CFADS - Cash + Int Income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'DSRA Movement'!$E$186:$BL$186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'DSRA Movement'!$E$187:$BL$187</c:f>
              <c:numCache>
                <c:formatCode>#,##0.00</c:formatCode>
                <c:ptCount val="60"/>
                <c:pt idx="0">
                  <c:v>151.47856998443604</c:v>
                </c:pt>
                <c:pt idx="1">
                  <c:v>151.2614278793335</c:v>
                </c:pt>
                <c:pt idx="2">
                  <c:v>151.04159450531006</c:v>
                </c:pt>
                <c:pt idx="3">
                  <c:v>150.81905174255371</c:v>
                </c:pt>
                <c:pt idx="4">
                  <c:v>150.59375667572021</c:v>
                </c:pt>
                <c:pt idx="5">
                  <c:v>149.5535192489624</c:v>
                </c:pt>
                <c:pt idx="6">
                  <c:v>150.45881702423097</c:v>
                </c:pt>
                <c:pt idx="7">
                  <c:v>151.36962523002626</c:v>
                </c:pt>
                <c:pt idx="8">
                  <c:v>152.2859599677582</c:v>
                </c:pt>
                <c:pt idx="9">
                  <c:v>154.89808782505375</c:v>
                </c:pt>
                <c:pt idx="10">
                  <c:v>153.44395609459986</c:v>
                </c:pt>
                <c:pt idx="11">
                  <c:v>152.00178727034819</c:v>
                </c:pt>
                <c:pt idx="12">
                  <c:v>150.57141626635047</c:v>
                </c:pt>
                <c:pt idx="13">
                  <c:v>147.5290662208325</c:v>
                </c:pt>
                <c:pt idx="14">
                  <c:v>148.40956280039924</c:v>
                </c:pt>
                <c:pt idx="15">
                  <c:v>149.29527691385397</c:v>
                </c:pt>
                <c:pt idx="16">
                  <c:v>150.18620886618953</c:v>
                </c:pt>
                <c:pt idx="17">
                  <c:v>152.77194712119513</c:v>
                </c:pt>
                <c:pt idx="18">
                  <c:v>151.29274550658107</c:v>
                </c:pt>
                <c:pt idx="19">
                  <c:v>149.82518194502416</c:v>
                </c:pt>
                <c:pt idx="20">
                  <c:v>148.36908736071948</c:v>
                </c:pt>
                <c:pt idx="21">
                  <c:v>146.92431619345689</c:v>
                </c:pt>
                <c:pt idx="22">
                  <c:v>145.49073160085825</c:v>
                </c:pt>
                <c:pt idx="23">
                  <c:v>144.06815728217174</c:v>
                </c:pt>
                <c:pt idx="24">
                  <c:v>142.65645232620946</c:v>
                </c:pt>
                <c:pt idx="25">
                  <c:v>141.25545874391875</c:v>
                </c:pt>
                <c:pt idx="26">
                  <c:v>139.86504389170142</c:v>
                </c:pt>
                <c:pt idx="27">
                  <c:v>138.48504371275601</c:v>
                </c:pt>
                <c:pt idx="28">
                  <c:v>137.11532137316263</c:v>
                </c:pt>
                <c:pt idx="29">
                  <c:v>135.75572147077895</c:v>
                </c:pt>
                <c:pt idx="30">
                  <c:v>134.40610816762359</c:v>
                </c:pt>
                <c:pt idx="31">
                  <c:v>133.06632893580849</c:v>
                </c:pt>
                <c:pt idx="32">
                  <c:v>131.73624172295797</c:v>
                </c:pt>
                <c:pt idx="33">
                  <c:v>130.41570444763514</c:v>
                </c:pt>
                <c:pt idx="34">
                  <c:v>129.10458261472189</c:v>
                </c:pt>
                <c:pt idx="35">
                  <c:v>127.80272116815232</c:v>
                </c:pt>
                <c:pt idx="36">
                  <c:v>126.50999597559004</c:v>
                </c:pt>
                <c:pt idx="37">
                  <c:v>125.22625277967387</c:v>
                </c:pt>
                <c:pt idx="38">
                  <c:v>123.95136106715424</c:v>
                </c:pt>
                <c:pt idx="39">
                  <c:v>122.68518353798751</c:v>
                </c:pt>
                <c:pt idx="40">
                  <c:v>121.42757609214163</c:v>
                </c:pt>
                <c:pt idx="41">
                  <c:v>120.17841070471722</c:v>
                </c:pt>
                <c:pt idx="42">
                  <c:v>118.93755252483221</c:v>
                </c:pt>
                <c:pt idx="43">
                  <c:v>199.91683496047563</c:v>
                </c:pt>
                <c:pt idx="44">
                  <c:v>120.53290138641407</c:v>
                </c:pt>
                <c:pt idx="45">
                  <c:v>119.32757237254992</c:v>
                </c:pt>
                <c:pt idx="46">
                  <c:v>118.13429664882442</c:v>
                </c:pt>
                <c:pt idx="47">
                  <c:v>116.95295368233617</c:v>
                </c:pt>
                <c:pt idx="48">
                  <c:v>115.78342414551281</c:v>
                </c:pt>
                <c:pt idx="49">
                  <c:v>114.62558990405768</c:v>
                </c:pt>
                <c:pt idx="50">
                  <c:v>113.47933400501709</c:v>
                </c:pt>
                <c:pt idx="51">
                  <c:v>112.34454066496693</c:v>
                </c:pt>
                <c:pt idx="52">
                  <c:v>111.22109525831726</c:v>
                </c:pt>
                <c:pt idx="53">
                  <c:v>110.10888430573409</c:v>
                </c:pt>
                <c:pt idx="54">
                  <c:v>109.00779546267675</c:v>
                </c:pt>
                <c:pt idx="55">
                  <c:v>107.91771750804999</c:v>
                </c:pt>
                <c:pt idx="56">
                  <c:v>106.83854033296949</c:v>
                </c:pt>
                <c:pt idx="57">
                  <c:v>105.77015492963979</c:v>
                </c:pt>
                <c:pt idx="58">
                  <c:v>104.71245338034339</c:v>
                </c:pt>
                <c:pt idx="59">
                  <c:v>103.66532884653995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78-4305-9712-E681BB036060}"/>
            </c:ext>
          </c:extLst>
        </c:ser>
        <c:ser>
          <c:idx val="1"/>
          <c:order val="1"/>
          <c:tx>
            <c:strRef>
              <c:f>'DSRA Movement'!$C$188:$D$188</c:f>
              <c:strCache>
                <c:ptCount val="2"/>
                <c:pt idx="0">
                  <c:v>Interest, Repayment and Fees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'DSRA Movement'!$E$186:$BL$186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'DSRA Movement'!$E$188:$BL$188</c:f>
              <c:numCache>
                <c:formatCode>#,##0.00</c:formatCode>
                <c:ptCount val="60"/>
                <c:pt idx="0">
                  <c:v>107.71034603227196</c:v>
                </c:pt>
                <c:pt idx="1">
                  <c:v>107.55594497553388</c:v>
                </c:pt>
                <c:pt idx="2">
                  <c:v>107.39963026522244</c:v>
                </c:pt>
                <c:pt idx="3">
                  <c:v>107.24138901706486</c:v>
                </c:pt>
                <c:pt idx="4">
                  <c:v>107.0811907156781</c:v>
                </c:pt>
                <c:pt idx="5">
                  <c:v>106.34151953180495</c:v>
                </c:pt>
                <c:pt idx="6">
                  <c:v>106.98524053238239</c:v>
                </c:pt>
                <c:pt idx="7">
                  <c:v>107.63287977947405</c:v>
                </c:pt>
                <c:pt idx="8">
                  <c:v>108.28444872214787</c:v>
                </c:pt>
                <c:pt idx="9">
                  <c:v>110.141828253911</c:v>
                </c:pt>
                <c:pt idx="10">
                  <c:v>109.10785340268427</c:v>
                </c:pt>
                <c:pt idx="11">
                  <c:v>108.08238489507252</c:v>
                </c:pt>
                <c:pt idx="12">
                  <c:v>107.06530534506784</c:v>
                </c:pt>
                <c:pt idx="13">
                  <c:v>104.90201204102021</c:v>
                </c:pt>
                <c:pt idx="14">
                  <c:v>105.52809790435462</c:v>
                </c:pt>
                <c:pt idx="15">
                  <c:v>106.1578937471308</c:v>
                </c:pt>
                <c:pt idx="16">
                  <c:v>106.79139978621691</c:v>
                </c:pt>
                <c:pt idx="17">
                  <c:v>108.63001472841073</c:v>
                </c:pt>
                <c:pt idx="18">
                  <c:v>107.57821368633628</c:v>
                </c:pt>
                <c:pt idx="19">
                  <c:v>106.53468799781223</c:v>
                </c:pt>
                <c:pt idx="20">
                  <c:v>105.49931743980333</c:v>
                </c:pt>
                <c:pt idx="21">
                  <c:v>104.47199851027231</c:v>
                </c:pt>
                <c:pt idx="22">
                  <c:v>103.45263390608309</c:v>
                </c:pt>
                <c:pt idx="23">
                  <c:v>102.44109826683001</c:v>
                </c:pt>
                <c:pt idx="24">
                  <c:v>101.43729139620936</c:v>
                </c:pt>
                <c:pt idx="25">
                  <c:v>100.44110095453149</c:v>
                </c:pt>
                <c:pt idx="26">
                  <c:v>99.452432624244722</c:v>
                </c:pt>
                <c:pt idx="27">
                  <c:v>98.471169751126254</c:v>
                </c:pt>
                <c:pt idx="28">
                  <c:v>97.497215038054321</c:v>
                </c:pt>
                <c:pt idx="29">
                  <c:v>96.530457984787745</c:v>
                </c:pt>
                <c:pt idx="30">
                  <c:v>95.570802002376794</c:v>
                </c:pt>
                <c:pt idx="31">
                  <c:v>94.618138634347346</c:v>
                </c:pt>
                <c:pt idx="32">
                  <c:v>93.672366872942746</c:v>
                </c:pt>
                <c:pt idx="33">
                  <c:v>92.73338568974205</c:v>
                </c:pt>
                <c:pt idx="34">
                  <c:v>91.801099450651847</c:v>
                </c:pt>
                <c:pt idx="35">
                  <c:v>90.875397901511988</c:v>
                </c:pt>
                <c:pt idx="36">
                  <c:v>89.956192776788242</c:v>
                </c:pt>
                <c:pt idx="37">
                  <c:v>89.043374390247408</c:v>
                </c:pt>
                <c:pt idx="38">
                  <c:v>88.136849939143374</c:v>
                </c:pt>
                <c:pt idx="39">
                  <c:v>87.236521794912477</c:v>
                </c:pt>
                <c:pt idx="40">
                  <c:v>86.342287493791616</c:v>
                </c:pt>
                <c:pt idx="41">
                  <c:v>85.454056002400833</c:v>
                </c:pt>
                <c:pt idx="42">
                  <c:v>84.571731433677186</c:v>
                </c:pt>
                <c:pt idx="43">
                  <c:v>142.15285682642698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078-4305-9712-E681BB0360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07615824"/>
        <c:axId val="775480016"/>
      </c:barChart>
      <c:catAx>
        <c:axId val="1907615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5480016"/>
        <c:crosses val="autoZero"/>
        <c:auto val="1"/>
        <c:lblAlgn val="ctr"/>
        <c:lblOffset val="100"/>
        <c:noMultiLvlLbl val="0"/>
      </c:catAx>
      <c:valAx>
        <c:axId val="775480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7615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pin" dx="26" fmlaLink="'Basic Case - NPV Analysis'!$D$14" max="500" page="10" val="195"/>
</file>

<file path=xl/ctrlProps/ctrlProp2.xml><?xml version="1.0" encoding="utf-8"?>
<formControlPr xmlns="http://schemas.microsoft.com/office/spreadsheetml/2009/9/main" objectType="Spin" dx="26" fmlaLink="'Basic Case - NPV Analysis (2)'!$D$15" max="500" page="10" val="195"/>
</file>

<file path=xl/ctrlProps/ctrlProp3.xml><?xml version="1.0" encoding="utf-8"?>
<formControlPr xmlns="http://schemas.microsoft.com/office/spreadsheetml/2009/9/main" objectType="Spin" dx="26" fmlaLink="'Basic Case - NPV Analysis'!$D$14" max="500" page="10" val="195"/>
</file>

<file path=xl/ctrlProps/ctrlProp4.xml><?xml version="1.0" encoding="utf-8"?>
<formControlPr xmlns="http://schemas.microsoft.com/office/spreadsheetml/2009/9/main" objectType="Spin" dx="26" fmlaLink="'Basic Case - NPV Analysis'!$D$14" max="500" page="10" val="195"/>
</file>

<file path=xl/ctrlProps/ctrlProp5.xml><?xml version="1.0" encoding="utf-8"?>
<formControlPr xmlns="http://schemas.microsoft.com/office/spreadsheetml/2009/9/main" objectType="Spin" dx="26" fmlaLink="'Basic Case - NPV Analysis'!$D$14" max="500" page="10" val="195"/>
</file>

<file path=xl/ctrlProps/ctrlProp6.xml><?xml version="1.0" encoding="utf-8"?>
<formControlPr xmlns="http://schemas.microsoft.com/office/spreadsheetml/2009/9/main" objectType="Spin" dx="26" fmlaLink="'Basic Case - NPV Analysis'!$D$14" max="500" page="10" val="195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CheckBox" fmlaLink="'LC, DSRA and Interest Income'!$D$12" lockText="1" noThreeD="1"/>
</file>

<file path=xl/ctrlProps/ctrlProp17.xml><?xml version="1.0" encoding="utf-8"?>
<formControlPr xmlns="http://schemas.microsoft.com/office/spreadsheetml/2009/9/main" objectType="CheckBox" fmlaLink="'LC, DSRA and Interest Income'!$D$12" lockText="1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CheckBox" fmlaLink="'LC DSRA and Taxes'!$D$12" lockText="1" noThreeD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CheckBox" checked="Checked" fmlaLink="'Taxes and Dep'!$D$12" lockText="1" noThreeD="1"/>
</file>

<file path=xl/ctrlProps/ctrlProp22.xml><?xml version="1.0" encoding="utf-8"?>
<formControlPr xmlns="http://schemas.microsoft.com/office/spreadsheetml/2009/9/main" objectType="Spin" dx="22" fmlaLink="'Taxes and Dep'!$F$36" max="100" page="10" val="30"/>
</file>

<file path=xl/ctrlProps/ctrlProp23.xml><?xml version="1.0" encoding="utf-8"?>
<formControlPr xmlns="http://schemas.microsoft.com/office/spreadsheetml/2009/9/main" objectType="Spin" dx="22" fmlaLink="'Taxes and Dep'!$F$36" max="100" page="10" val="30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CheckBox" fmlaLink="'Taxes and Dep (2)'!$D$12" lockText="1" noThreeD="1"/>
</file>

<file path=xl/ctrlProps/ctrlProp26.xml><?xml version="1.0" encoding="utf-8"?>
<formControlPr xmlns="http://schemas.microsoft.com/office/spreadsheetml/2009/9/main" objectType="Spin" dx="22" fmlaLink="'Taxes and Dep (2)'!$F$36" max="100" page="10" val="30"/>
</file>

<file path=xl/ctrlProps/ctrlProp27.xml><?xml version="1.0" encoding="utf-8"?>
<formControlPr xmlns="http://schemas.microsoft.com/office/spreadsheetml/2009/9/main" objectType="Spin" dx="22" fmlaLink="'Taxes and Dep (2)'!$F$36" max="100" page="10" val="30"/>
</file>

<file path=xl/ctrlProps/ctrlProp28.xml><?xml version="1.0" encoding="utf-8"?>
<formControlPr xmlns="http://schemas.microsoft.com/office/spreadsheetml/2009/9/main" objectType="Spin" dx="26" fmlaLink="'DSRA as Maturity'!$D$26" max="500" page="10" val="226"/>
</file>

<file path=xl/ctrlProps/ctrlProp29.xml><?xml version="1.0" encoding="utf-8"?>
<formControlPr xmlns="http://schemas.microsoft.com/office/spreadsheetml/2009/9/main" objectType="Spin" dx="26" fmlaLink="'DSRA as Maturity (2)'!$D$26" max="500" page="10" val="31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CheckBox" fmlaLink="'DSRA Movement'!$D$16" lockText="1" noThreeD="1"/>
</file>

<file path=xl/ctrlProps/ctrlProp32.xml><?xml version="1.0" encoding="utf-8"?>
<formControlPr xmlns="http://schemas.microsoft.com/office/spreadsheetml/2009/9/main" objectType="Spin" dx="22" fmlaLink="'DSRA Movement'!$E$39" max="100" page="10" val="25"/>
</file>

<file path=xl/ctrlProps/ctrlProp33.xml><?xml version="1.0" encoding="utf-8"?>
<formControlPr xmlns="http://schemas.microsoft.com/office/spreadsheetml/2009/9/main" objectType="Spin" dx="22" fmlaLink="'DSRA Movement'!$E$39" max="100" page="10" val="25"/>
</file>

<file path=xl/ctrlProps/ctrlProp34.xml><?xml version="1.0" encoding="utf-8"?>
<formControlPr xmlns="http://schemas.microsoft.com/office/spreadsheetml/2009/9/main" objectType="Spin" dx="22" fmlaLink="'DSRA Movement'!$D$24" max="200" page="10" val="152"/>
</file>

<file path=xl/ctrlProps/ctrlProp35.xml><?xml version="1.0" encoding="utf-8"?>
<formControlPr xmlns="http://schemas.microsoft.com/office/spreadsheetml/2009/9/main" objectType="CheckBox" checked="Checked" fmlaLink="'DSRA Movement'!$D$15" lockText="1" noThreeD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CheckBox" checked="Checked" fmlaLink="'DSRA Movement (2)'!$D$12" lockText="1" noThreeD="1"/>
</file>

<file path=xl/ctrlProps/ctrlProp38.xml><?xml version="1.0" encoding="utf-8"?>
<formControlPr xmlns="http://schemas.microsoft.com/office/spreadsheetml/2009/9/main" objectType="Spin" dx="22" fmlaLink="'DSRA Movement (2)'!$F$36" max="100" page="10" val="28"/>
</file>

<file path=xl/ctrlProps/ctrlProp39.xml><?xml version="1.0" encoding="utf-8"?>
<formControlPr xmlns="http://schemas.microsoft.com/office/spreadsheetml/2009/9/main" objectType="Spin" dx="22" fmlaLink="'DSRA Movement (2)'!$F$36" max="100" page="10" val="28"/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13</xdr:row>
          <xdr:rowOff>0</xdr:rowOff>
        </xdr:from>
        <xdr:to>
          <xdr:col>4</xdr:col>
          <xdr:colOff>279400</xdr:colOff>
          <xdr:row>14</xdr:row>
          <xdr:rowOff>19050</xdr:rowOff>
        </xdr:to>
        <xdr:sp macro="" textlink="">
          <xdr:nvSpPr>
            <xdr:cNvPr id="10244" name="Spinner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2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14</xdr:row>
          <xdr:rowOff>0</xdr:rowOff>
        </xdr:from>
        <xdr:to>
          <xdr:col>4</xdr:col>
          <xdr:colOff>279400</xdr:colOff>
          <xdr:row>15</xdr:row>
          <xdr:rowOff>19050</xdr:rowOff>
        </xdr:to>
        <xdr:sp macro="" textlink="">
          <xdr:nvSpPr>
            <xdr:cNvPr id="22529" name="Spinner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3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488950</xdr:colOff>
          <xdr:row>9</xdr:row>
          <xdr:rowOff>165100</xdr:rowOff>
        </xdr:from>
        <xdr:to>
          <xdr:col>3</xdr:col>
          <xdr:colOff>723900</xdr:colOff>
          <xdr:row>10</xdr:row>
          <xdr:rowOff>171450</xdr:rowOff>
        </xdr:to>
        <xdr:sp macro="" textlink="">
          <xdr:nvSpPr>
            <xdr:cNvPr id="11265" name="Spinner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488950</xdr:colOff>
          <xdr:row>12</xdr:row>
          <xdr:rowOff>31750</xdr:rowOff>
        </xdr:from>
        <xdr:to>
          <xdr:col>3</xdr:col>
          <xdr:colOff>706438</xdr:colOff>
          <xdr:row>12</xdr:row>
          <xdr:rowOff>171450</xdr:rowOff>
        </xdr:to>
        <xdr:sp macro="" textlink="">
          <xdr:nvSpPr>
            <xdr:cNvPr id="23553" name="Spinner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5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342900</xdr:colOff>
          <xdr:row>27</xdr:row>
          <xdr:rowOff>146050</xdr:rowOff>
        </xdr:from>
        <xdr:to>
          <xdr:col>3</xdr:col>
          <xdr:colOff>584200</xdr:colOff>
          <xdr:row>28</xdr:row>
          <xdr:rowOff>171450</xdr:rowOff>
        </xdr:to>
        <xdr:sp macro="" textlink="">
          <xdr:nvSpPr>
            <xdr:cNvPr id="12289" name="Spinner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342900</xdr:colOff>
          <xdr:row>27</xdr:row>
          <xdr:rowOff>146050</xdr:rowOff>
        </xdr:from>
        <xdr:to>
          <xdr:col>3</xdr:col>
          <xdr:colOff>584200</xdr:colOff>
          <xdr:row>28</xdr:row>
          <xdr:rowOff>171450</xdr:rowOff>
        </xdr:to>
        <xdr:sp macro="" textlink="">
          <xdr:nvSpPr>
            <xdr:cNvPr id="28673" name="Spinner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7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381000</xdr:colOff>
      <xdr:row>75</xdr:row>
      <xdr:rowOff>166687</xdr:rowOff>
    </xdr:from>
    <xdr:to>
      <xdr:col>3</xdr:col>
      <xdr:colOff>809625</xdr:colOff>
      <xdr:row>78</xdr:row>
      <xdr:rowOff>83344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CxnSpPr/>
      </xdr:nvCxnSpPr>
      <xdr:spPr>
        <a:xfrm flipV="1">
          <a:off x="3845719" y="12358687"/>
          <a:ext cx="428625" cy="297657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381000</xdr:colOff>
      <xdr:row>75</xdr:row>
      <xdr:rowOff>166687</xdr:rowOff>
    </xdr:from>
    <xdr:to>
      <xdr:col>3</xdr:col>
      <xdr:colOff>809625</xdr:colOff>
      <xdr:row>78</xdr:row>
      <xdr:rowOff>83344</xdr:rowOff>
    </xdr:to>
    <xdr:cxnSp macro="">
      <xdr:nvCxnSpPr>
        <xdr:cNvPr id="2" name="Straight Arrow Connector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CxnSpPr/>
      </xdr:nvCxnSpPr>
      <xdr:spPr>
        <a:xfrm flipV="1">
          <a:off x="3848100" y="14882812"/>
          <a:ext cx="428625" cy="488157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5</xdr:row>
          <xdr:rowOff>171450</xdr:rowOff>
        </xdr:from>
        <xdr:to>
          <xdr:col>13</xdr:col>
          <xdr:colOff>431800</xdr:colOff>
          <xdr:row>8</xdr:row>
          <xdr:rowOff>88900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C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Cpaste  for LC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7</xdr:row>
      <xdr:rowOff>130969</xdr:rowOff>
    </xdr:from>
    <xdr:to>
      <xdr:col>24</xdr:col>
      <xdr:colOff>122895</xdr:colOff>
      <xdr:row>36</xdr:row>
      <xdr:rowOff>187421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131969" y="892969"/>
          <a:ext cx="7409520" cy="5580952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9526</xdr:colOff>
      <xdr:row>6</xdr:row>
      <xdr:rowOff>38100</xdr:rowOff>
    </xdr:from>
    <xdr:to>
      <xdr:col>15</xdr:col>
      <xdr:colOff>546630</xdr:colOff>
      <xdr:row>19</xdr:row>
      <xdr:rowOff>180975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05501" y="609600"/>
          <a:ext cx="3585104" cy="2619375"/>
        </a:xfrm>
        <a:prstGeom prst="rect">
          <a:avLst/>
        </a:prstGeom>
      </xdr:spPr>
    </xdr:pic>
    <xdr:clientData/>
  </xdr:twoCellAnchor>
  <xdr:twoCellAnchor editAs="oneCell">
    <xdr:from>
      <xdr:col>16</xdr:col>
      <xdr:colOff>19051</xdr:colOff>
      <xdr:row>7</xdr:row>
      <xdr:rowOff>142874</xdr:rowOff>
    </xdr:from>
    <xdr:to>
      <xdr:col>20</xdr:col>
      <xdr:colOff>187452</xdr:colOff>
      <xdr:row>16</xdr:row>
      <xdr:rowOff>75799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725026" y="904874"/>
          <a:ext cx="3216401" cy="1647425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107950</xdr:colOff>
          <xdr:row>10</xdr:row>
          <xdr:rowOff>50800</xdr:rowOff>
        </xdr:from>
        <xdr:to>
          <xdr:col>14</xdr:col>
          <xdr:colOff>431800</xdr:colOff>
          <xdr:row>12</xdr:row>
          <xdr:rowOff>107950</xdr:rowOff>
        </xdr:to>
        <xdr:sp macro="" textlink="">
          <xdr:nvSpPr>
            <xdr:cNvPr id="33890" name="Button 98" hidden="1">
              <a:extLst>
                <a:ext uri="{63B3BB69-23CF-44E3-9099-C40C66FF867C}">
                  <a14:compatExt spid="_x0000_s33890"/>
                </a:ext>
                <a:ext uri="{FF2B5EF4-FFF2-40B4-BE49-F238E27FC236}">
                  <a16:creationId xmlns:a16="http://schemas.microsoft.com/office/drawing/2014/main" id="{00000000-0008-0000-1000-00006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the Tax Function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438150</xdr:colOff>
      <xdr:row>20</xdr:row>
      <xdr:rowOff>66675</xdr:rowOff>
    </xdr:from>
    <xdr:to>
      <xdr:col>6</xdr:col>
      <xdr:colOff>466725</xdr:colOff>
      <xdr:row>52</xdr:row>
      <xdr:rowOff>142875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CxnSpPr/>
      </xdr:nvCxnSpPr>
      <xdr:spPr>
        <a:xfrm flipH="1">
          <a:off x="3200400" y="3114675"/>
          <a:ext cx="2324100" cy="3514725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19050</xdr:colOff>
      <xdr:row>19</xdr:row>
      <xdr:rowOff>57150</xdr:rowOff>
    </xdr:from>
    <xdr:to>
      <xdr:col>5</xdr:col>
      <xdr:colOff>523875</xdr:colOff>
      <xdr:row>19</xdr:row>
      <xdr:rowOff>76200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CxnSpPr/>
      </xdr:nvCxnSpPr>
      <xdr:spPr>
        <a:xfrm flipV="1">
          <a:off x="3629025" y="2914650"/>
          <a:ext cx="1228725" cy="190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50800</xdr:colOff>
          <xdr:row>73</xdr:row>
          <xdr:rowOff>88900</xdr:rowOff>
        </xdr:from>
        <xdr:to>
          <xdr:col>4</xdr:col>
          <xdr:colOff>114300</xdr:colOff>
          <xdr:row>74</xdr:row>
          <xdr:rowOff>171450</xdr:rowOff>
        </xdr:to>
        <xdr:sp macro="" textlink="">
          <xdr:nvSpPr>
            <xdr:cNvPr id="16394" name="Button 10" hidden="1">
              <a:extLst>
                <a:ext uri="{63B3BB69-23CF-44E3-9099-C40C66FF867C}">
                  <a14:compatExt spid="_x0000_s16394"/>
                </a:ext>
                <a:ext uri="{FF2B5EF4-FFF2-40B4-BE49-F238E27FC236}">
                  <a16:creationId xmlns:a16="http://schemas.microsoft.com/office/drawing/2014/main" id="{00000000-0008-0000-1100-00000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50800</xdr:colOff>
          <xdr:row>11</xdr:row>
          <xdr:rowOff>31750</xdr:rowOff>
        </xdr:from>
        <xdr:to>
          <xdr:col>6</xdr:col>
          <xdr:colOff>723900</xdr:colOff>
          <xdr:row>12</xdr:row>
          <xdr:rowOff>114300</xdr:rowOff>
        </xdr:to>
        <xdr:sp macro="" textlink="">
          <xdr:nvSpPr>
            <xdr:cNvPr id="16395" name="Button 11" hidden="1">
              <a:extLst>
                <a:ext uri="{63B3BB69-23CF-44E3-9099-C40C66FF867C}">
                  <a14:compatExt spid="_x0000_s16395"/>
                </a:ext>
                <a:ext uri="{FF2B5EF4-FFF2-40B4-BE49-F238E27FC236}">
                  <a16:creationId xmlns:a16="http://schemas.microsoft.com/office/drawing/2014/main" id="{00000000-0008-0000-1100-00000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50800</xdr:colOff>
          <xdr:row>8</xdr:row>
          <xdr:rowOff>31750</xdr:rowOff>
        </xdr:from>
        <xdr:to>
          <xdr:col>6</xdr:col>
          <xdr:colOff>723900</xdr:colOff>
          <xdr:row>9</xdr:row>
          <xdr:rowOff>114300</xdr:rowOff>
        </xdr:to>
        <xdr:sp macro="" textlink="">
          <xdr:nvSpPr>
            <xdr:cNvPr id="16396" name="Button 12" hidden="1">
              <a:extLst>
                <a:ext uri="{63B3BB69-23CF-44E3-9099-C40C66FF867C}">
                  <a14:compatExt spid="_x0000_s16396"/>
                </a:ext>
                <a:ext uri="{FF2B5EF4-FFF2-40B4-BE49-F238E27FC236}">
                  <a16:creationId xmlns:a16="http://schemas.microsoft.com/office/drawing/2014/main" id="{00000000-0008-0000-1100-00000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DSRA Function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438150</xdr:colOff>
      <xdr:row>16</xdr:row>
      <xdr:rowOff>66675</xdr:rowOff>
    </xdr:from>
    <xdr:to>
      <xdr:col>6</xdr:col>
      <xdr:colOff>466725</xdr:colOff>
      <xdr:row>48</xdr:row>
      <xdr:rowOff>142875</xdr:rowOff>
    </xdr:to>
    <xdr:cxnSp macro="">
      <xdr:nvCxnSpPr>
        <xdr:cNvPr id="2" name="Straight Arrow Connector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CxnSpPr/>
      </xdr:nvCxnSpPr>
      <xdr:spPr>
        <a:xfrm flipH="1">
          <a:off x="3200400" y="3114675"/>
          <a:ext cx="2324100" cy="6181725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19050</xdr:colOff>
      <xdr:row>15</xdr:row>
      <xdr:rowOff>57150</xdr:rowOff>
    </xdr:from>
    <xdr:to>
      <xdr:col>5</xdr:col>
      <xdr:colOff>523875</xdr:colOff>
      <xdr:row>15</xdr:row>
      <xdr:rowOff>76200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CxnSpPr/>
      </xdr:nvCxnSpPr>
      <xdr:spPr>
        <a:xfrm flipV="1">
          <a:off x="3629025" y="2914650"/>
          <a:ext cx="1228725" cy="190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171450</xdr:colOff>
          <xdr:row>72</xdr:row>
          <xdr:rowOff>57150</xdr:rowOff>
        </xdr:from>
        <xdr:to>
          <xdr:col>4</xdr:col>
          <xdr:colOff>241300</xdr:colOff>
          <xdr:row>73</xdr:row>
          <xdr:rowOff>146050</xdr:rowOff>
        </xdr:to>
        <xdr:sp macro="" textlink="">
          <xdr:nvSpPr>
            <xdr:cNvPr id="64513" name="Button 1" hidden="1">
              <a:extLst>
                <a:ext uri="{63B3BB69-23CF-44E3-9099-C40C66FF867C}">
                  <a14:compatExt spid="_x0000_s64513"/>
                </a:ext>
                <a:ext uri="{FF2B5EF4-FFF2-40B4-BE49-F238E27FC236}">
                  <a16:creationId xmlns:a16="http://schemas.microsoft.com/office/drawing/2014/main" id="{00000000-0008-0000-1200-000001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171450</xdr:colOff>
          <xdr:row>7</xdr:row>
          <xdr:rowOff>88900</xdr:rowOff>
        </xdr:from>
        <xdr:to>
          <xdr:col>7</xdr:col>
          <xdr:colOff>336550</xdr:colOff>
          <xdr:row>8</xdr:row>
          <xdr:rowOff>171450</xdr:rowOff>
        </xdr:to>
        <xdr:sp macro="" textlink="">
          <xdr:nvSpPr>
            <xdr:cNvPr id="64514" name="Button 2" hidden="1">
              <a:extLst>
                <a:ext uri="{63B3BB69-23CF-44E3-9099-C40C66FF867C}">
                  <a14:compatExt spid="_x0000_s64514"/>
                </a:ext>
                <a:ext uri="{FF2B5EF4-FFF2-40B4-BE49-F238E27FC236}">
                  <a16:creationId xmlns:a16="http://schemas.microsoft.com/office/drawing/2014/main" id="{00000000-0008-0000-1200-000002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171450</xdr:colOff>
          <xdr:row>4</xdr:row>
          <xdr:rowOff>88900</xdr:rowOff>
        </xdr:from>
        <xdr:to>
          <xdr:col>7</xdr:col>
          <xdr:colOff>336550</xdr:colOff>
          <xdr:row>5</xdr:row>
          <xdr:rowOff>171450</xdr:rowOff>
        </xdr:to>
        <xdr:sp macro="" textlink="">
          <xdr:nvSpPr>
            <xdr:cNvPr id="64515" name="Button 3" hidden="1">
              <a:extLst>
                <a:ext uri="{63B3BB69-23CF-44E3-9099-C40C66FF867C}">
                  <a14:compatExt spid="_x0000_s64515"/>
                </a:ext>
                <a:ext uri="{FF2B5EF4-FFF2-40B4-BE49-F238E27FC236}">
                  <a16:creationId xmlns:a16="http://schemas.microsoft.com/office/drawing/2014/main" id="{00000000-0008-0000-1200-000003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DSRA Function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0</xdr:row>
      <xdr:rowOff>124971</xdr:rowOff>
    </xdr:from>
    <xdr:to>
      <xdr:col>11</xdr:col>
      <xdr:colOff>342900</xdr:colOff>
      <xdr:row>21</xdr:row>
      <xdr:rowOff>56432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19125" y="124971"/>
          <a:ext cx="6429375" cy="3931961"/>
        </a:xfrm>
        <a:prstGeom prst="rect">
          <a:avLst/>
        </a:prstGeom>
      </xdr:spPr>
    </xdr:pic>
    <xdr:clientData/>
  </xdr:twoCellAnchor>
  <xdr:twoCellAnchor editAs="oneCell">
    <xdr:from>
      <xdr:col>0</xdr:col>
      <xdr:colOff>600076</xdr:colOff>
      <xdr:row>21</xdr:row>
      <xdr:rowOff>85725</xdr:rowOff>
    </xdr:from>
    <xdr:to>
      <xdr:col>11</xdr:col>
      <xdr:colOff>245524</xdr:colOff>
      <xdr:row>39</xdr:row>
      <xdr:rowOff>56437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0076" y="4086225"/>
          <a:ext cx="6351048" cy="3399712"/>
        </a:xfrm>
        <a:prstGeom prst="rect">
          <a:avLst/>
        </a:prstGeom>
      </xdr:spPr>
    </xdr:pic>
    <xdr:clientData/>
  </xdr:twoCellAnchor>
  <xdr:twoCellAnchor editAs="oneCell">
    <xdr:from>
      <xdr:col>0</xdr:col>
      <xdr:colOff>561975</xdr:colOff>
      <xdr:row>39</xdr:row>
      <xdr:rowOff>108268</xdr:rowOff>
    </xdr:from>
    <xdr:to>
      <xdr:col>11</xdr:col>
      <xdr:colOff>276225</xdr:colOff>
      <xdr:row>48</xdr:row>
      <xdr:rowOff>7192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61975" y="7537768"/>
          <a:ext cx="6419850" cy="161342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438150</xdr:colOff>
      <xdr:row>26</xdr:row>
      <xdr:rowOff>66675</xdr:rowOff>
    </xdr:from>
    <xdr:to>
      <xdr:col>6</xdr:col>
      <xdr:colOff>466725</xdr:colOff>
      <xdr:row>66</xdr:row>
      <xdr:rowOff>142875</xdr:rowOff>
    </xdr:to>
    <xdr:cxnSp macro="">
      <xdr:nvCxnSpPr>
        <xdr:cNvPr id="2" name="Straight Arrow Connector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CxnSpPr/>
      </xdr:nvCxnSpPr>
      <xdr:spPr>
        <a:xfrm flipH="1">
          <a:off x="3200400" y="3114675"/>
          <a:ext cx="2324100" cy="6181725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19050</xdr:colOff>
      <xdr:row>25</xdr:row>
      <xdr:rowOff>57150</xdr:rowOff>
    </xdr:from>
    <xdr:to>
      <xdr:col>5</xdr:col>
      <xdr:colOff>523875</xdr:colOff>
      <xdr:row>25</xdr:row>
      <xdr:rowOff>76200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CxnSpPr/>
      </xdr:nvCxnSpPr>
      <xdr:spPr>
        <a:xfrm flipV="1">
          <a:off x="3629025" y="2914650"/>
          <a:ext cx="1228725" cy="190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165100</xdr:colOff>
          <xdr:row>8</xdr:row>
          <xdr:rowOff>88900</xdr:rowOff>
        </xdr:from>
        <xdr:to>
          <xdr:col>7</xdr:col>
          <xdr:colOff>241300</xdr:colOff>
          <xdr:row>9</xdr:row>
          <xdr:rowOff>171450</xdr:rowOff>
        </xdr:to>
        <xdr:sp macro="" textlink="">
          <xdr:nvSpPr>
            <xdr:cNvPr id="31747" name="Button 3" hidden="1">
              <a:extLst>
                <a:ext uri="{63B3BB69-23CF-44E3-9099-C40C66FF867C}">
                  <a14:compatExt spid="_x0000_s31747"/>
                </a:ext>
                <a:ext uri="{FF2B5EF4-FFF2-40B4-BE49-F238E27FC236}">
                  <a16:creationId xmlns:a16="http://schemas.microsoft.com/office/drawing/2014/main" id="{00000000-0008-0000-1700-00000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Function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</xdr:row>
          <xdr:rowOff>12700</xdr:rowOff>
        </xdr:from>
        <xdr:to>
          <xdr:col>5</xdr:col>
          <xdr:colOff>222250</xdr:colOff>
          <xdr:row>12</xdr:row>
          <xdr:rowOff>38100</xdr:rowOff>
        </xdr:to>
        <xdr:sp macro="" textlink="">
          <xdr:nvSpPr>
            <xdr:cNvPr id="31749" name="Check Box 5" hidden="1">
              <a:extLst>
                <a:ext uri="{63B3BB69-23CF-44E3-9099-C40C66FF867C}">
                  <a14:compatExt spid="_x0000_s31749"/>
                </a:ext>
                <a:ext uri="{FF2B5EF4-FFF2-40B4-BE49-F238E27FC236}">
                  <a16:creationId xmlns:a16="http://schemas.microsoft.com/office/drawing/2014/main" id="{00000000-0008-0000-1700-000005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LC DSRA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</xdr:row>
          <xdr:rowOff>12700</xdr:rowOff>
        </xdr:from>
        <xdr:to>
          <xdr:col>13</xdr:col>
          <xdr:colOff>222250</xdr:colOff>
          <xdr:row>2</xdr:row>
          <xdr:rowOff>228600</xdr:rowOff>
        </xdr:to>
        <xdr:sp macro="" textlink="">
          <xdr:nvSpPr>
            <xdr:cNvPr id="31750" name="Check Box 6" hidden="1">
              <a:extLst>
                <a:ext uri="{63B3BB69-23CF-44E3-9099-C40C66FF867C}">
                  <a14:compatExt spid="_x0000_s31750"/>
                </a:ext>
                <a:ext uri="{FF2B5EF4-FFF2-40B4-BE49-F238E27FC236}">
                  <a16:creationId xmlns:a16="http://schemas.microsoft.com/office/drawing/2014/main" id="{00000000-0008-0000-1700-000006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LC DSRA</a:t>
              </a:r>
            </a:p>
          </xdr:txBody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25</xdr:row>
      <xdr:rowOff>57150</xdr:rowOff>
    </xdr:from>
    <xdr:to>
      <xdr:col>5</xdr:col>
      <xdr:colOff>523875</xdr:colOff>
      <xdr:row>25</xdr:row>
      <xdr:rowOff>76200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CxnSpPr/>
      </xdr:nvCxnSpPr>
      <xdr:spPr>
        <a:xfrm flipV="1">
          <a:off x="3629025" y="5248275"/>
          <a:ext cx="1228725" cy="190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495300</xdr:colOff>
          <xdr:row>2</xdr:row>
          <xdr:rowOff>38100</xdr:rowOff>
        </xdr:from>
        <xdr:to>
          <xdr:col>11</xdr:col>
          <xdr:colOff>514350</xdr:colOff>
          <xdr:row>3</xdr:row>
          <xdr:rowOff>19050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19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Function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12700</xdr:colOff>
          <xdr:row>11</xdr:row>
          <xdr:rowOff>12700</xdr:rowOff>
        </xdr:from>
        <xdr:to>
          <xdr:col>5</xdr:col>
          <xdr:colOff>228600</xdr:colOff>
          <xdr:row>12</xdr:row>
          <xdr:rowOff>38100</xdr:rowOff>
        </xdr:to>
        <xdr:sp macro="" textlink="">
          <xdr:nvSpPr>
            <xdr:cNvPr id="52226" name="Check Box 2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id="{00000000-0008-0000-1900-00000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LC DSRA</a:t>
              </a:r>
            </a:p>
          </xdr:txBody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28</xdr:row>
      <xdr:rowOff>57150</xdr:rowOff>
    </xdr:from>
    <xdr:to>
      <xdr:col>5</xdr:col>
      <xdr:colOff>523875</xdr:colOff>
      <xdr:row>28</xdr:row>
      <xdr:rowOff>76200</xdr:rowOff>
    </xdr:to>
    <xdr:cxnSp macro="">
      <xdr:nvCxnSpPr>
        <xdr:cNvPr id="2" name="Straight Arrow Connector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CxnSpPr/>
      </xdr:nvCxnSpPr>
      <xdr:spPr>
        <a:xfrm flipV="1">
          <a:off x="3629025" y="5248275"/>
          <a:ext cx="1228725" cy="190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127000</xdr:colOff>
          <xdr:row>1</xdr:row>
          <xdr:rowOff>171450</xdr:rowOff>
        </xdr:from>
        <xdr:to>
          <xdr:col>13</xdr:col>
          <xdr:colOff>603250</xdr:colOff>
          <xdr:row>2</xdr:row>
          <xdr:rowOff>152400</xdr:rowOff>
        </xdr:to>
        <xdr:sp macro="" textlink="">
          <xdr:nvSpPr>
            <xdr:cNvPr id="68609" name="Button 1" hidden="1">
              <a:extLst>
                <a:ext uri="{63B3BB69-23CF-44E3-9099-C40C66FF867C}">
                  <a14:compatExt spid="_x0000_s68609"/>
                </a:ext>
                <a:ext uri="{FF2B5EF4-FFF2-40B4-BE49-F238E27FC236}">
                  <a16:creationId xmlns:a16="http://schemas.microsoft.com/office/drawing/2014/main" id="{00000000-0008-0000-1A00-000001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Function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31750</xdr:colOff>
          <xdr:row>13</xdr:row>
          <xdr:rowOff>12700</xdr:rowOff>
        </xdr:from>
        <xdr:to>
          <xdr:col>5</xdr:col>
          <xdr:colOff>247650</xdr:colOff>
          <xdr:row>14</xdr:row>
          <xdr:rowOff>38100</xdr:rowOff>
        </xdr:to>
        <xdr:sp macro="" textlink="">
          <xdr:nvSpPr>
            <xdr:cNvPr id="68610" name="Check Box 2" hidden="1">
              <a:extLst>
                <a:ext uri="{63B3BB69-23CF-44E3-9099-C40C66FF867C}">
                  <a14:compatExt spid="_x0000_s68610"/>
                </a:ext>
                <a:ext uri="{FF2B5EF4-FFF2-40B4-BE49-F238E27FC236}">
                  <a16:creationId xmlns:a16="http://schemas.microsoft.com/office/drawing/2014/main" id="{00000000-0008-0000-1A00-000002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LC DSRA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107950</xdr:colOff>
          <xdr:row>36</xdr:row>
          <xdr:rowOff>184150</xdr:rowOff>
        </xdr:from>
        <xdr:to>
          <xdr:col>4</xdr:col>
          <xdr:colOff>412750</xdr:colOff>
          <xdr:row>38</xdr:row>
          <xdr:rowOff>12700</xdr:rowOff>
        </xdr:to>
        <xdr:sp macro="" textlink="">
          <xdr:nvSpPr>
            <xdr:cNvPr id="68702" name="Spinner 94" hidden="1">
              <a:extLst>
                <a:ext uri="{63B3BB69-23CF-44E3-9099-C40C66FF867C}">
                  <a14:compatExt spid="_x0000_s68702"/>
                </a:ext>
                <a:ext uri="{FF2B5EF4-FFF2-40B4-BE49-F238E27FC236}">
                  <a16:creationId xmlns:a16="http://schemas.microsoft.com/office/drawing/2014/main" id="{00000000-0008-0000-1A00-00005E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165100</xdr:colOff>
          <xdr:row>16</xdr:row>
          <xdr:rowOff>171450</xdr:rowOff>
        </xdr:from>
        <xdr:to>
          <xdr:col>11</xdr:col>
          <xdr:colOff>469900</xdr:colOff>
          <xdr:row>18</xdr:row>
          <xdr:rowOff>0</xdr:rowOff>
        </xdr:to>
        <xdr:sp macro="" textlink="">
          <xdr:nvSpPr>
            <xdr:cNvPr id="68703" name="Spinner 95" hidden="1">
              <a:extLst>
                <a:ext uri="{63B3BB69-23CF-44E3-9099-C40C66FF867C}">
                  <a14:compatExt spid="_x0000_s68703"/>
                </a:ext>
                <a:ext uri="{FF2B5EF4-FFF2-40B4-BE49-F238E27FC236}">
                  <a16:creationId xmlns:a16="http://schemas.microsoft.com/office/drawing/2014/main" id="{00000000-0008-0000-1A00-00005F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28</xdr:row>
      <xdr:rowOff>57150</xdr:rowOff>
    </xdr:from>
    <xdr:to>
      <xdr:col>5</xdr:col>
      <xdr:colOff>523875</xdr:colOff>
      <xdr:row>28</xdr:row>
      <xdr:rowOff>76200</xdr:rowOff>
    </xdr:to>
    <xdr:cxnSp macro="">
      <xdr:nvCxnSpPr>
        <xdr:cNvPr id="2" name="Straight Arrow Connector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CxnSpPr/>
      </xdr:nvCxnSpPr>
      <xdr:spPr>
        <a:xfrm flipV="1">
          <a:off x="3629025" y="5819775"/>
          <a:ext cx="1228725" cy="190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495300</xdr:colOff>
          <xdr:row>2</xdr:row>
          <xdr:rowOff>38100</xdr:rowOff>
        </xdr:from>
        <xdr:to>
          <xdr:col>11</xdr:col>
          <xdr:colOff>514350</xdr:colOff>
          <xdr:row>3</xdr:row>
          <xdr:rowOff>19050</xdr:rowOff>
        </xdr:to>
        <xdr:sp macro="" textlink="">
          <xdr:nvSpPr>
            <xdr:cNvPr id="91137" name="Button 1" hidden="1">
              <a:extLst>
                <a:ext uri="{63B3BB69-23CF-44E3-9099-C40C66FF867C}">
                  <a14:compatExt spid="_x0000_s91137"/>
                </a:ext>
                <a:ext uri="{FF2B5EF4-FFF2-40B4-BE49-F238E27FC236}">
                  <a16:creationId xmlns:a16="http://schemas.microsoft.com/office/drawing/2014/main" id="{00000000-0008-0000-1B00-000001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Function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12700</xdr:colOff>
          <xdr:row>11</xdr:row>
          <xdr:rowOff>12700</xdr:rowOff>
        </xdr:from>
        <xdr:to>
          <xdr:col>5</xdr:col>
          <xdr:colOff>228600</xdr:colOff>
          <xdr:row>12</xdr:row>
          <xdr:rowOff>38100</xdr:rowOff>
        </xdr:to>
        <xdr:sp macro="" textlink="">
          <xdr:nvSpPr>
            <xdr:cNvPr id="91138" name="Check Box 2" hidden="1">
              <a:extLst>
                <a:ext uri="{63B3BB69-23CF-44E3-9099-C40C66FF867C}">
                  <a14:compatExt spid="_x0000_s91138"/>
                </a:ext>
                <a:ext uri="{FF2B5EF4-FFF2-40B4-BE49-F238E27FC236}">
                  <a16:creationId xmlns:a16="http://schemas.microsoft.com/office/drawing/2014/main" id="{00000000-0008-0000-1B00-000002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LC DSRA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88900</xdr:colOff>
          <xdr:row>34</xdr:row>
          <xdr:rowOff>184150</xdr:rowOff>
        </xdr:from>
        <xdr:to>
          <xdr:col>4</xdr:col>
          <xdr:colOff>393700</xdr:colOff>
          <xdr:row>36</xdr:row>
          <xdr:rowOff>12700</xdr:rowOff>
        </xdr:to>
        <xdr:sp macro="" textlink="">
          <xdr:nvSpPr>
            <xdr:cNvPr id="91139" name="Spinner 3" hidden="1">
              <a:extLst>
                <a:ext uri="{63B3BB69-23CF-44E3-9099-C40C66FF867C}">
                  <a14:compatExt spid="_x0000_s91139"/>
                </a:ext>
                <a:ext uri="{FF2B5EF4-FFF2-40B4-BE49-F238E27FC236}">
                  <a16:creationId xmlns:a16="http://schemas.microsoft.com/office/drawing/2014/main" id="{00000000-0008-0000-1B00-000003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50800</xdr:colOff>
          <xdr:row>14</xdr:row>
          <xdr:rowOff>171450</xdr:rowOff>
        </xdr:from>
        <xdr:to>
          <xdr:col>12</xdr:col>
          <xdr:colOff>355600</xdr:colOff>
          <xdr:row>15</xdr:row>
          <xdr:rowOff>190500</xdr:rowOff>
        </xdr:to>
        <xdr:sp macro="" textlink="">
          <xdr:nvSpPr>
            <xdr:cNvPr id="91140" name="Spinner 4" hidden="1">
              <a:extLst>
                <a:ext uri="{63B3BB69-23CF-44E3-9099-C40C66FF867C}">
                  <a14:compatExt spid="_x0000_s91140"/>
                </a:ext>
                <a:ext uri="{FF2B5EF4-FFF2-40B4-BE49-F238E27FC236}">
                  <a16:creationId xmlns:a16="http://schemas.microsoft.com/office/drawing/2014/main" id="{00000000-0008-0000-1B00-000004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25</xdr:row>
          <xdr:rowOff>0</xdr:rowOff>
        </xdr:from>
        <xdr:to>
          <xdr:col>4</xdr:col>
          <xdr:colOff>279400</xdr:colOff>
          <xdr:row>26</xdr:row>
          <xdr:rowOff>19050</xdr:rowOff>
        </xdr:to>
        <xdr:sp macro="" textlink="">
          <xdr:nvSpPr>
            <xdr:cNvPr id="78850" name="Spinner 2" hidden="1">
              <a:extLst>
                <a:ext uri="{63B3BB69-23CF-44E3-9099-C40C66FF867C}">
                  <a14:compatExt spid="_x0000_s78850"/>
                </a:ext>
                <a:ext uri="{FF2B5EF4-FFF2-40B4-BE49-F238E27FC236}">
                  <a16:creationId xmlns:a16="http://schemas.microsoft.com/office/drawing/2014/main" id="{00000000-0008-0000-1C00-000002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25</xdr:row>
          <xdr:rowOff>0</xdr:rowOff>
        </xdr:from>
        <xdr:to>
          <xdr:col>4</xdr:col>
          <xdr:colOff>279400</xdr:colOff>
          <xdr:row>26</xdr:row>
          <xdr:rowOff>19050</xdr:rowOff>
        </xdr:to>
        <xdr:sp macro="" textlink="">
          <xdr:nvSpPr>
            <xdr:cNvPr id="79873" name="Spinner 1" hidden="1">
              <a:extLst>
                <a:ext uri="{63B3BB69-23CF-44E3-9099-C40C66FF867C}">
                  <a14:compatExt spid="_x0000_s79873"/>
                </a:ext>
                <a:ext uri="{FF2B5EF4-FFF2-40B4-BE49-F238E27FC236}">
                  <a16:creationId xmlns:a16="http://schemas.microsoft.com/office/drawing/2014/main" id="{00000000-0008-0000-1D00-000001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32</xdr:row>
      <xdr:rowOff>57150</xdr:rowOff>
    </xdr:from>
    <xdr:to>
      <xdr:col>5</xdr:col>
      <xdr:colOff>523875</xdr:colOff>
      <xdr:row>32</xdr:row>
      <xdr:rowOff>76200</xdr:rowOff>
    </xdr:to>
    <xdr:cxnSp macro="">
      <xdr:nvCxnSpPr>
        <xdr:cNvPr id="2" name="Straight Arrow Connector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CxnSpPr/>
      </xdr:nvCxnSpPr>
      <xdr:spPr>
        <a:xfrm flipV="1">
          <a:off x="3629025" y="5819775"/>
          <a:ext cx="1228725" cy="190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603250</xdr:colOff>
          <xdr:row>1</xdr:row>
          <xdr:rowOff>88900</xdr:rowOff>
        </xdr:from>
        <xdr:to>
          <xdr:col>14</xdr:col>
          <xdr:colOff>508000</xdr:colOff>
          <xdr:row>1</xdr:row>
          <xdr:rowOff>234950</xdr:rowOff>
        </xdr:to>
        <xdr:sp macro="" textlink="">
          <xdr:nvSpPr>
            <xdr:cNvPr id="92161" name="Button 1" hidden="1">
              <a:extLst>
                <a:ext uri="{63B3BB69-23CF-44E3-9099-C40C66FF867C}">
                  <a14:compatExt spid="_x0000_s92161"/>
                </a:ext>
                <a:ext uri="{FF2B5EF4-FFF2-40B4-BE49-F238E27FC236}">
                  <a16:creationId xmlns:a16="http://schemas.microsoft.com/office/drawing/2014/main" id="{00000000-0008-0000-1E00-000001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Function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139700</xdr:colOff>
          <xdr:row>14</xdr:row>
          <xdr:rowOff>177800</xdr:rowOff>
        </xdr:from>
        <xdr:to>
          <xdr:col>5</xdr:col>
          <xdr:colOff>355600</xdr:colOff>
          <xdr:row>16</xdr:row>
          <xdr:rowOff>19050</xdr:rowOff>
        </xdr:to>
        <xdr:sp macro="" textlink="">
          <xdr:nvSpPr>
            <xdr:cNvPr id="92162" name="Check Box 2" hidden="1">
              <a:extLst>
                <a:ext uri="{63B3BB69-23CF-44E3-9099-C40C66FF867C}">
                  <a14:compatExt spid="_x0000_s92162"/>
                </a:ext>
                <a:ext uri="{FF2B5EF4-FFF2-40B4-BE49-F238E27FC236}">
                  <a16:creationId xmlns:a16="http://schemas.microsoft.com/office/drawing/2014/main" id="{00000000-0008-0000-1E00-000002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LC DSRA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76200</xdr:colOff>
          <xdr:row>49</xdr:row>
          <xdr:rowOff>31750</xdr:rowOff>
        </xdr:from>
        <xdr:to>
          <xdr:col>4</xdr:col>
          <xdr:colOff>317500</xdr:colOff>
          <xdr:row>49</xdr:row>
          <xdr:rowOff>165100</xdr:rowOff>
        </xdr:to>
        <xdr:sp macro="" textlink="">
          <xdr:nvSpPr>
            <xdr:cNvPr id="92163" name="Spinner 3" hidden="1">
              <a:extLst>
                <a:ext uri="{63B3BB69-23CF-44E3-9099-C40C66FF867C}">
                  <a14:compatExt spid="_x0000_s92163"/>
                </a:ext>
                <a:ext uri="{FF2B5EF4-FFF2-40B4-BE49-F238E27FC236}">
                  <a16:creationId xmlns:a16="http://schemas.microsoft.com/office/drawing/2014/main" id="{00000000-0008-0000-1E00-000003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298450</xdr:colOff>
          <xdr:row>19</xdr:row>
          <xdr:rowOff>19050</xdr:rowOff>
        </xdr:from>
        <xdr:to>
          <xdr:col>12</xdr:col>
          <xdr:colOff>603250</xdr:colOff>
          <xdr:row>20</xdr:row>
          <xdr:rowOff>25400</xdr:rowOff>
        </xdr:to>
        <xdr:sp macro="" textlink="">
          <xdr:nvSpPr>
            <xdr:cNvPr id="92164" name="Spinner 4" hidden="1">
              <a:extLst>
                <a:ext uri="{63B3BB69-23CF-44E3-9099-C40C66FF867C}">
                  <a14:compatExt spid="_x0000_s92164"/>
                </a:ext>
                <a:ext uri="{FF2B5EF4-FFF2-40B4-BE49-F238E27FC236}">
                  <a16:creationId xmlns:a16="http://schemas.microsoft.com/office/drawing/2014/main" id="{00000000-0008-0000-1E00-000004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298450</xdr:colOff>
          <xdr:row>23</xdr:row>
          <xdr:rowOff>19050</xdr:rowOff>
        </xdr:from>
        <xdr:to>
          <xdr:col>4</xdr:col>
          <xdr:colOff>603250</xdr:colOff>
          <xdr:row>24</xdr:row>
          <xdr:rowOff>25400</xdr:rowOff>
        </xdr:to>
        <xdr:sp macro="" textlink="">
          <xdr:nvSpPr>
            <xdr:cNvPr id="92166" name="Spinner 6" hidden="1">
              <a:extLst>
                <a:ext uri="{63B3BB69-23CF-44E3-9099-C40C66FF867C}">
                  <a14:compatExt spid="_x0000_s92166"/>
                </a:ext>
                <a:ext uri="{FF2B5EF4-FFF2-40B4-BE49-F238E27FC236}">
                  <a16:creationId xmlns:a16="http://schemas.microsoft.com/office/drawing/2014/main" id="{00000000-0008-0000-1E00-000006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139700</xdr:colOff>
          <xdr:row>14</xdr:row>
          <xdr:rowOff>19050</xdr:rowOff>
        </xdr:from>
        <xdr:to>
          <xdr:col>5</xdr:col>
          <xdr:colOff>355600</xdr:colOff>
          <xdr:row>15</xdr:row>
          <xdr:rowOff>44450</xdr:rowOff>
        </xdr:to>
        <xdr:sp macro="" textlink="">
          <xdr:nvSpPr>
            <xdr:cNvPr id="92167" name="Check Box 7" hidden="1">
              <a:extLst>
                <a:ext uri="{63B3BB69-23CF-44E3-9099-C40C66FF867C}">
                  <a14:compatExt spid="_x0000_s92167"/>
                </a:ext>
                <a:ext uri="{FF2B5EF4-FFF2-40B4-BE49-F238E27FC236}">
                  <a16:creationId xmlns:a16="http://schemas.microsoft.com/office/drawing/2014/main" id="{00000000-0008-0000-1E00-000007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DSRA in CFADS</a:t>
              </a:r>
            </a:p>
          </xdr:txBody>
        </xdr:sp>
        <xdr:clientData/>
      </xdr:twoCellAnchor>
    </mc:Choice>
    <mc:Fallback/>
  </mc:AlternateContent>
  <xdr:twoCellAnchor>
    <xdr:from>
      <xdr:col>9</xdr:col>
      <xdr:colOff>326478</xdr:colOff>
      <xdr:row>15</xdr:row>
      <xdr:rowOff>144318</xdr:rowOff>
    </xdr:from>
    <xdr:to>
      <xdr:col>14</xdr:col>
      <xdr:colOff>661297</xdr:colOff>
      <xdr:row>28</xdr:row>
      <xdr:rowOff>105064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D1303081-BDBB-4698-BD00-0E85449C684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28</xdr:row>
      <xdr:rowOff>57150</xdr:rowOff>
    </xdr:from>
    <xdr:to>
      <xdr:col>5</xdr:col>
      <xdr:colOff>523875</xdr:colOff>
      <xdr:row>28</xdr:row>
      <xdr:rowOff>76200</xdr:rowOff>
    </xdr:to>
    <xdr:cxnSp macro="">
      <xdr:nvCxnSpPr>
        <xdr:cNvPr id="2" name="Straight Arrow Connector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CxnSpPr/>
      </xdr:nvCxnSpPr>
      <xdr:spPr>
        <a:xfrm flipV="1">
          <a:off x="4368800" y="5651500"/>
          <a:ext cx="1260475" cy="190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107950</xdr:colOff>
          <xdr:row>1</xdr:row>
          <xdr:rowOff>190500</xdr:rowOff>
        </xdr:from>
        <xdr:to>
          <xdr:col>13</xdr:col>
          <xdr:colOff>584200</xdr:colOff>
          <xdr:row>2</xdr:row>
          <xdr:rowOff>171450</xdr:rowOff>
        </xdr:to>
        <xdr:sp macro="" textlink="">
          <xdr:nvSpPr>
            <xdr:cNvPr id="105473" name="Button 1" hidden="1">
              <a:extLst>
                <a:ext uri="{63B3BB69-23CF-44E3-9099-C40C66FF867C}">
                  <a14:compatExt spid="_x0000_s105473"/>
                </a:ext>
                <a:ext uri="{FF2B5EF4-FFF2-40B4-BE49-F238E27FC236}">
                  <a16:creationId xmlns:a16="http://schemas.microsoft.com/office/drawing/2014/main" id="{00000000-0008-0000-1F00-000001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Function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31750</xdr:colOff>
          <xdr:row>11</xdr:row>
          <xdr:rowOff>31750</xdr:rowOff>
        </xdr:from>
        <xdr:to>
          <xdr:col>5</xdr:col>
          <xdr:colOff>247650</xdr:colOff>
          <xdr:row>12</xdr:row>
          <xdr:rowOff>57150</xdr:rowOff>
        </xdr:to>
        <xdr:sp macro="" textlink="">
          <xdr:nvSpPr>
            <xdr:cNvPr id="105474" name="Check Box 2" hidden="1">
              <a:extLst>
                <a:ext uri="{63B3BB69-23CF-44E3-9099-C40C66FF867C}">
                  <a14:compatExt spid="_x0000_s105474"/>
                </a:ext>
                <a:ext uri="{FF2B5EF4-FFF2-40B4-BE49-F238E27FC236}">
                  <a16:creationId xmlns:a16="http://schemas.microsoft.com/office/drawing/2014/main" id="{00000000-0008-0000-1F00-000002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LC DSRA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114300</xdr:colOff>
          <xdr:row>35</xdr:row>
          <xdr:rowOff>50800</xdr:rowOff>
        </xdr:from>
        <xdr:to>
          <xdr:col>4</xdr:col>
          <xdr:colOff>317500</xdr:colOff>
          <xdr:row>35</xdr:row>
          <xdr:rowOff>177800</xdr:rowOff>
        </xdr:to>
        <xdr:sp macro="" textlink="">
          <xdr:nvSpPr>
            <xdr:cNvPr id="105475" name="Spinner 3" hidden="1">
              <a:extLst>
                <a:ext uri="{63B3BB69-23CF-44E3-9099-C40C66FF867C}">
                  <a14:compatExt spid="_x0000_s105475"/>
                </a:ext>
                <a:ext uri="{FF2B5EF4-FFF2-40B4-BE49-F238E27FC236}">
                  <a16:creationId xmlns:a16="http://schemas.microsoft.com/office/drawing/2014/main" id="{00000000-0008-0000-1F00-000003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114300</xdr:colOff>
          <xdr:row>15</xdr:row>
          <xdr:rowOff>31750</xdr:rowOff>
        </xdr:from>
        <xdr:to>
          <xdr:col>12</xdr:col>
          <xdr:colOff>419100</xdr:colOff>
          <xdr:row>16</xdr:row>
          <xdr:rowOff>38100</xdr:rowOff>
        </xdr:to>
        <xdr:sp macro="" textlink="">
          <xdr:nvSpPr>
            <xdr:cNvPr id="105476" name="Spinner 4" hidden="1">
              <a:extLst>
                <a:ext uri="{63B3BB69-23CF-44E3-9099-C40C66FF867C}">
                  <a14:compatExt spid="_x0000_s105476"/>
                </a:ext>
                <a:ext uri="{FF2B5EF4-FFF2-40B4-BE49-F238E27FC236}">
                  <a16:creationId xmlns:a16="http://schemas.microsoft.com/office/drawing/2014/main" id="{00000000-0008-0000-1F00-000004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PC/Documents/Financial%20Modeling%20-%20Macro_F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tents"/>
      <sheetName val="Audit"/>
      <sheetName val="Sheet2"/>
      <sheetName val="Financial Model"/>
      <sheetName val="Sheet3"/>
      <sheetName val="Operating Assumptions"/>
      <sheetName val="Financing Assumptions"/>
      <sheetName val="Sculpting Analysis"/>
      <sheetName val="Senior and Sub"/>
      <sheetName val="Waterfall Chart"/>
      <sheetName val="Tornado Diagram"/>
      <sheetName val="Cost Comparisons"/>
      <sheetName val="PDF Read"/>
      <sheetName val="Cap and Energy"/>
      <sheetName val="Dabohl PPA"/>
      <sheetName val="Cap. Charge Analysis"/>
      <sheetName val="LCOE"/>
      <sheetName val="Implied Prob. Of Def"/>
      <sheetName val="Credit"/>
      <sheetName val="Chart4"/>
      <sheetName val="Flexible Graph"/>
      <sheetName val="Chart5"/>
      <sheetName val="PPA Risks"/>
      <sheetName val="BATOKA"/>
    </sheetNames>
    <sheetDataSet>
      <sheetData sheetId="0"/>
      <sheetData sheetId="1"/>
      <sheetData sheetId="2"/>
      <sheetData sheetId="3">
        <row r="33">
          <cell r="H33">
            <v>-1.1697240436278662</v>
          </cell>
        </row>
      </sheetData>
      <sheetData sheetId="4"/>
      <sheetData sheetId="5"/>
      <sheetData sheetId="6"/>
      <sheetData sheetId="7"/>
      <sheetData sheetId="8"/>
      <sheetData sheetId="9" refreshError="1"/>
      <sheetData sheetId="10" refreshError="1"/>
      <sheetData sheetId="11"/>
      <sheetData sheetId="12"/>
      <sheetData sheetId="13" refreshError="1"/>
      <sheetData sheetId="14"/>
      <sheetData sheetId="15"/>
      <sheetData sheetId="16"/>
      <sheetData sheetId="17"/>
      <sheetData sheetId="18"/>
      <sheetData sheetId="19" refreshError="1"/>
      <sheetData sheetId="20"/>
      <sheetData sheetId="21" refreshError="1"/>
      <sheetData sheetId="22"/>
      <sheetData sheetId="23">
        <row r="54">
          <cell r="F54">
            <v>240.13301362351942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7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3.xml"/><Relationship Id="rId6" Type="http://schemas.openxmlformats.org/officeDocument/2006/relationships/comments" Target="../comments3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comments" Target="../comments4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7" Type="http://schemas.openxmlformats.org/officeDocument/2006/relationships/comments" Target="../comments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7.xml"/><Relationship Id="rId5" Type="http://schemas.openxmlformats.org/officeDocument/2006/relationships/comments" Target="../comments6.xml"/><Relationship Id="rId4" Type="http://schemas.openxmlformats.org/officeDocument/2006/relationships/ctrlProp" Target="../ctrlProps/ctrlProp19.xml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comments" Target="../comments7.xml"/><Relationship Id="rId3" Type="http://schemas.openxmlformats.org/officeDocument/2006/relationships/vmlDrawing" Target="../drawings/vmlDrawing13.vml"/><Relationship Id="rId7" Type="http://schemas.openxmlformats.org/officeDocument/2006/relationships/ctrlProp" Target="../ctrlProps/ctrlProp23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2.xml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28.xml.rels><?xml version="1.0" encoding="UTF-8" standalone="yes"?>
<Relationships xmlns="http://schemas.openxmlformats.org/package/2006/relationships"><Relationship Id="rId8" Type="http://schemas.openxmlformats.org/officeDocument/2006/relationships/comments" Target="../comments8.xml"/><Relationship Id="rId3" Type="http://schemas.openxmlformats.org/officeDocument/2006/relationships/vmlDrawing" Target="../drawings/vmlDrawing14.vml"/><Relationship Id="rId7" Type="http://schemas.openxmlformats.org/officeDocument/2006/relationships/ctrlProp" Target="../ctrlProps/ctrlProp27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26.xml"/><Relationship Id="rId5" Type="http://schemas.openxmlformats.org/officeDocument/2006/relationships/ctrlProp" Target="../ctrlProps/ctrlProp25.xml"/><Relationship Id="rId4" Type="http://schemas.openxmlformats.org/officeDocument/2006/relationships/ctrlProp" Target="../ctrlProps/ctrlProp24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8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20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9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21.xml"/></Relationships>
</file>

<file path=xl/worksheets/_rels/sheet3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4.xml"/><Relationship Id="rId3" Type="http://schemas.openxmlformats.org/officeDocument/2006/relationships/vmlDrawing" Target="../drawings/vmlDrawing17.vml"/><Relationship Id="rId7" Type="http://schemas.openxmlformats.org/officeDocument/2006/relationships/ctrlProp" Target="../ctrlProps/ctrlProp33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32.xml"/><Relationship Id="rId5" Type="http://schemas.openxmlformats.org/officeDocument/2006/relationships/ctrlProp" Target="../ctrlProps/ctrlProp31.xml"/><Relationship Id="rId10" Type="http://schemas.openxmlformats.org/officeDocument/2006/relationships/comments" Target="../comments9.xml"/><Relationship Id="rId4" Type="http://schemas.openxmlformats.org/officeDocument/2006/relationships/ctrlProp" Target="../ctrlProps/ctrlProp30.xml"/><Relationship Id="rId9" Type="http://schemas.openxmlformats.org/officeDocument/2006/relationships/ctrlProp" Target="../ctrlProps/ctrlProp35.xml"/></Relationships>
</file>

<file path=xl/worksheets/_rels/sheet3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0.xml"/><Relationship Id="rId3" Type="http://schemas.openxmlformats.org/officeDocument/2006/relationships/vmlDrawing" Target="../drawings/vmlDrawing18.vml"/><Relationship Id="rId7" Type="http://schemas.openxmlformats.org/officeDocument/2006/relationships/ctrlProp" Target="../ctrlProps/ctrlProp39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38.xml"/><Relationship Id="rId5" Type="http://schemas.openxmlformats.org/officeDocument/2006/relationships/ctrlProp" Target="../ctrlProps/ctrlProp37.xml"/><Relationship Id="rId4" Type="http://schemas.openxmlformats.org/officeDocument/2006/relationships/ctrlProp" Target="../ctrlProps/ctrlProp3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2"/>
  <dimension ref="B2:B10"/>
  <sheetViews>
    <sheetView showGridLines="0" workbookViewId="0">
      <selection activeCell="G6" sqref="G6"/>
    </sheetView>
  </sheetViews>
  <sheetFormatPr defaultRowHeight="14.5" x14ac:dyDescent="0.35"/>
  <sheetData>
    <row r="2" spans="2:2" ht="26" x14ac:dyDescent="0.6">
      <c r="B2" s="48" t="s">
        <v>420</v>
      </c>
    </row>
    <row r="4" spans="2:2" ht="26" x14ac:dyDescent="0.6">
      <c r="B4" s="48" t="s">
        <v>521</v>
      </c>
    </row>
    <row r="6" spans="2:2" ht="26" x14ac:dyDescent="0.6">
      <c r="B6" s="48" t="s">
        <v>506</v>
      </c>
    </row>
    <row r="8" spans="2:2" ht="26" x14ac:dyDescent="0.6">
      <c r="B8" s="48" t="s">
        <v>522</v>
      </c>
    </row>
    <row r="10" spans="2:2" ht="26" x14ac:dyDescent="0.6">
      <c r="B10" s="48" t="s">
        <v>460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0070C0"/>
  </sheetPr>
  <dimension ref="B2:H30"/>
  <sheetViews>
    <sheetView showGridLines="0" workbookViewId="0">
      <selection activeCell="H3" sqref="H3"/>
    </sheetView>
  </sheetViews>
  <sheetFormatPr defaultRowHeight="14.5" x14ac:dyDescent="0.35"/>
  <cols>
    <col min="2" max="2" width="9.1796875" style="88"/>
  </cols>
  <sheetData>
    <row r="2" spans="2:8" x14ac:dyDescent="0.35">
      <c r="B2" s="88" t="s">
        <v>207</v>
      </c>
      <c r="H2" t="s">
        <v>34</v>
      </c>
    </row>
    <row r="4" spans="2:8" x14ac:dyDescent="0.35">
      <c r="B4" s="88" t="s">
        <v>206</v>
      </c>
      <c r="H4" t="s">
        <v>35</v>
      </c>
    </row>
    <row r="6" spans="2:8" x14ac:dyDescent="0.35">
      <c r="B6" s="88" t="s">
        <v>205</v>
      </c>
      <c r="H6" t="s">
        <v>41</v>
      </c>
    </row>
    <row r="8" spans="2:8" x14ac:dyDescent="0.35">
      <c r="B8" s="88" t="s">
        <v>204</v>
      </c>
      <c r="H8" t="s">
        <v>44</v>
      </c>
    </row>
    <row r="9" spans="2:8" x14ac:dyDescent="0.35">
      <c r="H9" t="s">
        <v>153</v>
      </c>
    </row>
    <row r="11" spans="2:8" x14ac:dyDescent="0.35">
      <c r="B11" s="88" t="s">
        <v>203</v>
      </c>
      <c r="H11" t="s">
        <v>87</v>
      </c>
    </row>
    <row r="12" spans="2:8" x14ac:dyDescent="0.35">
      <c r="H12" t="s">
        <v>88</v>
      </c>
    </row>
    <row r="14" spans="2:8" s="23" customFormat="1" x14ac:dyDescent="0.35">
      <c r="B14" s="88" t="s">
        <v>98</v>
      </c>
      <c r="H14" s="23" t="s">
        <v>99</v>
      </c>
    </row>
    <row r="16" spans="2:8" x14ac:dyDescent="0.35">
      <c r="B16" s="88" t="s">
        <v>208</v>
      </c>
      <c r="H16" s="66" t="s">
        <v>166</v>
      </c>
    </row>
    <row r="17" spans="2:8" x14ac:dyDescent="0.35">
      <c r="H17" s="66" t="s">
        <v>167</v>
      </c>
    </row>
    <row r="18" spans="2:8" x14ac:dyDescent="0.35">
      <c r="H18" s="66" t="s">
        <v>168</v>
      </c>
    </row>
    <row r="19" spans="2:8" x14ac:dyDescent="0.35">
      <c r="H19" s="66" t="s">
        <v>178</v>
      </c>
    </row>
    <row r="21" spans="2:8" x14ac:dyDescent="0.35">
      <c r="B21" s="88" t="s">
        <v>217</v>
      </c>
      <c r="H21" t="s">
        <v>214</v>
      </c>
    </row>
    <row r="22" spans="2:8" x14ac:dyDescent="0.35">
      <c r="H22" t="s">
        <v>215</v>
      </c>
    </row>
    <row r="23" spans="2:8" x14ac:dyDescent="0.35">
      <c r="H23" t="s">
        <v>216</v>
      </c>
    </row>
    <row r="25" spans="2:8" x14ac:dyDescent="0.35">
      <c r="B25" s="88" t="s">
        <v>221</v>
      </c>
      <c r="H25" t="s">
        <v>219</v>
      </c>
    </row>
    <row r="26" spans="2:8" x14ac:dyDescent="0.35">
      <c r="H26" t="s">
        <v>220</v>
      </c>
    </row>
    <row r="28" spans="2:8" x14ac:dyDescent="0.35">
      <c r="B28" s="88" t="s">
        <v>148</v>
      </c>
      <c r="H28" t="s">
        <v>212</v>
      </c>
    </row>
    <row r="29" spans="2:8" x14ac:dyDescent="0.35">
      <c r="H29" t="s">
        <v>211</v>
      </c>
    </row>
    <row r="30" spans="2:8" x14ac:dyDescent="0.35">
      <c r="H30" t="s">
        <v>213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C33"/>
  <sheetViews>
    <sheetView zoomScale="80" zoomScaleNormal="80" workbookViewId="0">
      <pane xSplit="3" ySplit="6" topLeftCell="D7" activePane="bottomRight" state="frozen"/>
      <selection pane="topRight" activeCell="D1" sqref="D1"/>
      <selection pane="bottomLeft" activeCell="A6" sqref="A6"/>
      <selection pane="bottomRight" activeCell="C8" sqref="C8"/>
    </sheetView>
  </sheetViews>
  <sheetFormatPr defaultColWidth="9.1796875" defaultRowHeight="14.5" x14ac:dyDescent="0.35"/>
  <cols>
    <col min="1" max="2" width="1.26953125" style="2" customWidth="1"/>
    <col min="3" max="3" width="38.81640625" style="2" customWidth="1"/>
    <col min="4" max="4" width="12.7265625" style="2" bestFit="1" customWidth="1"/>
    <col min="5" max="64" width="10.81640625" style="2" customWidth="1"/>
    <col min="65" max="16384" width="9.1796875" style="2"/>
  </cols>
  <sheetData>
    <row r="1" spans="1:29" ht="26" x14ac:dyDescent="0.6">
      <c r="C1" s="48" t="s">
        <v>353</v>
      </c>
    </row>
    <row r="2" spans="1:29" ht="26" x14ac:dyDescent="0.6">
      <c r="A2" s="1"/>
      <c r="B2" s="1"/>
      <c r="C2" s="48" t="s">
        <v>152</v>
      </c>
    </row>
    <row r="3" spans="1:29" x14ac:dyDescent="0.35">
      <c r="A3" s="1"/>
      <c r="B3" s="1"/>
    </row>
    <row r="4" spans="1:29" x14ac:dyDescent="0.35">
      <c r="A4" s="1"/>
      <c r="B4" s="1"/>
    </row>
    <row r="5" spans="1:29" x14ac:dyDescent="0.35">
      <c r="B5" s="1"/>
      <c r="C5" s="1"/>
      <c r="D5" s="55">
        <v>0</v>
      </c>
      <c r="E5" s="55">
        <v>1</v>
      </c>
      <c r="F5" s="55">
        <v>2</v>
      </c>
      <c r="G5" s="55">
        <v>3</v>
      </c>
      <c r="H5" s="55">
        <v>4</v>
      </c>
      <c r="I5" s="55">
        <v>5</v>
      </c>
      <c r="J5" s="55">
        <v>6</v>
      </c>
      <c r="K5" s="55">
        <v>7</v>
      </c>
      <c r="L5" s="55">
        <v>8</v>
      </c>
      <c r="M5" s="55">
        <v>9</v>
      </c>
      <c r="N5" s="55">
        <v>10</v>
      </c>
      <c r="O5" s="55">
        <v>11</v>
      </c>
      <c r="P5" s="55">
        <v>12</v>
      </c>
      <c r="Q5" s="55">
        <v>13</v>
      </c>
      <c r="R5" s="55">
        <v>14</v>
      </c>
      <c r="S5" s="55">
        <v>15</v>
      </c>
      <c r="T5" s="55">
        <v>16</v>
      </c>
      <c r="U5" s="55">
        <v>17</v>
      </c>
      <c r="V5" s="55">
        <v>18</v>
      </c>
      <c r="W5" s="55">
        <v>19</v>
      </c>
      <c r="X5" s="55">
        <v>20</v>
      </c>
      <c r="Y5" s="55">
        <v>21</v>
      </c>
      <c r="Z5" s="55">
        <v>22</v>
      </c>
      <c r="AA5" s="55">
        <v>23</v>
      </c>
      <c r="AB5" s="55">
        <v>24</v>
      </c>
      <c r="AC5" s="55">
        <v>25</v>
      </c>
    </row>
    <row r="6" spans="1:29" s="40" customFormat="1" x14ac:dyDescent="0.35">
      <c r="A6" s="40" t="s">
        <v>0</v>
      </c>
    </row>
    <row r="7" spans="1:29" x14ac:dyDescent="0.35">
      <c r="A7" s="1"/>
      <c r="B7" s="1"/>
      <c r="C7" s="2" t="s">
        <v>1</v>
      </c>
      <c r="D7" s="51">
        <v>1.2</v>
      </c>
    </row>
    <row r="8" spans="1:29" x14ac:dyDescent="0.35">
      <c r="A8" s="1"/>
      <c r="B8" s="1"/>
      <c r="C8" s="2" t="s">
        <v>36</v>
      </c>
      <c r="D8" s="51">
        <v>15</v>
      </c>
    </row>
    <row r="9" spans="1:29" x14ac:dyDescent="0.35">
      <c r="A9" s="1"/>
      <c r="B9" s="1"/>
      <c r="C9" s="3" t="s">
        <v>4</v>
      </c>
      <c r="D9" s="53">
        <v>0.05</v>
      </c>
    </row>
    <row r="10" spans="1:29" x14ac:dyDescent="0.35">
      <c r="A10" s="1"/>
      <c r="B10" s="1"/>
      <c r="D10" s="3"/>
    </row>
    <row r="11" spans="1:29" x14ac:dyDescent="0.35">
      <c r="A11" s="1"/>
      <c r="B11" s="1"/>
      <c r="C11" s="2" t="s">
        <v>37</v>
      </c>
      <c r="D11" s="51">
        <v>0</v>
      </c>
      <c r="E11" s="51">
        <v>3</v>
      </c>
      <c r="F11" s="51">
        <v>7</v>
      </c>
      <c r="G11" s="51">
        <v>10</v>
      </c>
    </row>
    <row r="12" spans="1:29" x14ac:dyDescent="0.35">
      <c r="A12" s="1"/>
      <c r="B12" s="1"/>
      <c r="C12" s="2" t="s">
        <v>38</v>
      </c>
      <c r="D12" s="53">
        <v>0.08</v>
      </c>
      <c r="E12" s="53">
        <v>0.05</v>
      </c>
      <c r="F12" s="53">
        <v>0.03</v>
      </c>
      <c r="G12" s="53">
        <v>0.02</v>
      </c>
    </row>
    <row r="13" spans="1:29" x14ac:dyDescent="0.35">
      <c r="A13" s="1"/>
      <c r="B13" s="1"/>
    </row>
    <row r="14" spans="1:29" x14ac:dyDescent="0.35">
      <c r="A14" s="1"/>
      <c r="B14" s="1"/>
      <c r="C14" s="2" t="s">
        <v>45</v>
      </c>
      <c r="D14" s="52">
        <v>195</v>
      </c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</row>
    <row r="15" spans="1:29" x14ac:dyDescent="0.35">
      <c r="A15" s="1"/>
      <c r="B15" s="1"/>
      <c r="C15" s="2" t="s">
        <v>38</v>
      </c>
      <c r="D15" s="12">
        <f t="shared" ref="D15:AC15" si="0">LOOKUP(D5,11:11,12:12)</f>
        <v>0.08</v>
      </c>
      <c r="E15" s="12">
        <f t="shared" si="0"/>
        <v>0.08</v>
      </c>
      <c r="F15" s="12">
        <f t="shared" si="0"/>
        <v>0.08</v>
      </c>
      <c r="G15" s="12">
        <f t="shared" si="0"/>
        <v>0.05</v>
      </c>
      <c r="H15" s="12">
        <f t="shared" si="0"/>
        <v>0.05</v>
      </c>
      <c r="I15" s="12">
        <f t="shared" si="0"/>
        <v>0.05</v>
      </c>
      <c r="J15" s="12">
        <f t="shared" si="0"/>
        <v>0.05</v>
      </c>
      <c r="K15" s="12">
        <f t="shared" si="0"/>
        <v>0.03</v>
      </c>
      <c r="L15" s="12">
        <f t="shared" si="0"/>
        <v>0.03</v>
      </c>
      <c r="M15" s="12">
        <f t="shared" si="0"/>
        <v>0.03</v>
      </c>
      <c r="N15" s="12">
        <f t="shared" si="0"/>
        <v>0.02</v>
      </c>
      <c r="O15" s="12">
        <f t="shared" si="0"/>
        <v>0.02</v>
      </c>
      <c r="P15" s="12">
        <f t="shared" si="0"/>
        <v>0.02</v>
      </c>
      <c r="Q15" s="12">
        <f t="shared" si="0"/>
        <v>0.02</v>
      </c>
      <c r="R15" s="12">
        <f t="shared" si="0"/>
        <v>0.02</v>
      </c>
      <c r="S15" s="12">
        <f t="shared" si="0"/>
        <v>0.02</v>
      </c>
      <c r="T15" s="12">
        <f t="shared" si="0"/>
        <v>0.02</v>
      </c>
      <c r="U15" s="12">
        <f t="shared" si="0"/>
        <v>0.02</v>
      </c>
      <c r="V15" s="12">
        <f t="shared" si="0"/>
        <v>0.02</v>
      </c>
      <c r="W15" s="12">
        <f t="shared" si="0"/>
        <v>0.02</v>
      </c>
      <c r="X15" s="12">
        <f t="shared" si="0"/>
        <v>0.02</v>
      </c>
      <c r="Y15" s="12">
        <f t="shared" si="0"/>
        <v>0.02</v>
      </c>
      <c r="Z15" s="12">
        <f t="shared" si="0"/>
        <v>0.02</v>
      </c>
      <c r="AA15" s="12">
        <f t="shared" si="0"/>
        <v>0.02</v>
      </c>
      <c r="AB15" s="12">
        <f t="shared" si="0"/>
        <v>0.02</v>
      </c>
      <c r="AC15" s="12">
        <f t="shared" si="0"/>
        <v>0.02</v>
      </c>
    </row>
    <row r="16" spans="1:29" x14ac:dyDescent="0.35">
      <c r="A16" s="1"/>
      <c r="B16" s="1"/>
      <c r="C16" s="2" t="s">
        <v>2</v>
      </c>
      <c r="D16" s="4">
        <f>D14</f>
        <v>195</v>
      </c>
      <c r="E16" s="4">
        <f t="shared" ref="E16:AC16" si="1">D16*(1+E15)</f>
        <v>210.60000000000002</v>
      </c>
      <c r="F16" s="4">
        <f t="shared" si="1"/>
        <v>227.44800000000004</v>
      </c>
      <c r="G16" s="4">
        <f t="shared" si="1"/>
        <v>238.82040000000003</v>
      </c>
      <c r="H16" s="4">
        <f t="shared" si="1"/>
        <v>250.76142000000004</v>
      </c>
      <c r="I16" s="4">
        <f t="shared" si="1"/>
        <v>263.29949100000005</v>
      </c>
      <c r="J16" s="4">
        <f t="shared" si="1"/>
        <v>276.46446555000006</v>
      </c>
      <c r="K16" s="4">
        <f t="shared" si="1"/>
        <v>284.75839951650005</v>
      </c>
      <c r="L16" s="4">
        <f t="shared" si="1"/>
        <v>293.30115150199504</v>
      </c>
      <c r="M16" s="4">
        <f t="shared" si="1"/>
        <v>302.10018604705488</v>
      </c>
      <c r="N16" s="4">
        <f t="shared" si="1"/>
        <v>308.142189767996</v>
      </c>
      <c r="O16" s="4">
        <f t="shared" si="1"/>
        <v>314.30503356335595</v>
      </c>
      <c r="P16" s="4">
        <f t="shared" si="1"/>
        <v>320.5911342346231</v>
      </c>
      <c r="Q16" s="4">
        <f t="shared" si="1"/>
        <v>327.00295691931558</v>
      </c>
      <c r="R16" s="4">
        <f t="shared" si="1"/>
        <v>333.54301605770189</v>
      </c>
      <c r="S16" s="4">
        <f t="shared" si="1"/>
        <v>340.21387637885596</v>
      </c>
      <c r="T16" s="4">
        <f t="shared" si="1"/>
        <v>347.0181539064331</v>
      </c>
      <c r="U16" s="4">
        <f t="shared" si="1"/>
        <v>353.95851698456175</v>
      </c>
      <c r="V16" s="4">
        <f t="shared" si="1"/>
        <v>361.037687324253</v>
      </c>
      <c r="W16" s="4">
        <f t="shared" si="1"/>
        <v>368.25844107073806</v>
      </c>
      <c r="X16" s="4">
        <f t="shared" si="1"/>
        <v>375.62360989215284</v>
      </c>
      <c r="Y16" s="4">
        <f t="shared" si="1"/>
        <v>383.13608208999591</v>
      </c>
      <c r="Z16" s="4">
        <f t="shared" si="1"/>
        <v>390.79880373179583</v>
      </c>
      <c r="AA16" s="4">
        <f t="shared" si="1"/>
        <v>398.61477980643173</v>
      </c>
      <c r="AB16" s="4">
        <f t="shared" si="1"/>
        <v>406.58707540256034</v>
      </c>
      <c r="AC16" s="4">
        <f t="shared" si="1"/>
        <v>414.71881691061157</v>
      </c>
    </row>
    <row r="17" spans="1:29" x14ac:dyDescent="0.35">
      <c r="A17" s="1"/>
      <c r="B17" s="1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</row>
    <row r="18" spans="1:29" x14ac:dyDescent="0.35">
      <c r="A18" s="1"/>
      <c r="B18" s="1"/>
      <c r="C18" s="2" t="s">
        <v>46</v>
      </c>
      <c r="D18" s="2">
        <f>D8</f>
        <v>15</v>
      </c>
      <c r="E18" s="2" t="b">
        <f t="shared" ref="E18:AC18" si="2">E5&lt;=$D$8</f>
        <v>1</v>
      </c>
      <c r="F18" s="2" t="b">
        <f t="shared" si="2"/>
        <v>1</v>
      </c>
      <c r="G18" s="2" t="b">
        <f t="shared" si="2"/>
        <v>1</v>
      </c>
      <c r="H18" s="2" t="b">
        <f t="shared" si="2"/>
        <v>1</v>
      </c>
      <c r="I18" s="2" t="b">
        <f t="shared" si="2"/>
        <v>1</v>
      </c>
      <c r="J18" s="2" t="b">
        <f t="shared" si="2"/>
        <v>1</v>
      </c>
      <c r="K18" s="2" t="b">
        <f t="shared" si="2"/>
        <v>1</v>
      </c>
      <c r="L18" s="2" t="b">
        <f t="shared" si="2"/>
        <v>1</v>
      </c>
      <c r="M18" s="2" t="b">
        <f t="shared" si="2"/>
        <v>1</v>
      </c>
      <c r="N18" s="2" t="b">
        <f t="shared" si="2"/>
        <v>1</v>
      </c>
      <c r="O18" s="2" t="b">
        <f t="shared" si="2"/>
        <v>1</v>
      </c>
      <c r="P18" s="2" t="b">
        <f t="shared" si="2"/>
        <v>1</v>
      </c>
      <c r="Q18" s="2" t="b">
        <f t="shared" si="2"/>
        <v>1</v>
      </c>
      <c r="R18" s="2" t="b">
        <f t="shared" si="2"/>
        <v>1</v>
      </c>
      <c r="S18" s="2" t="b">
        <f t="shared" si="2"/>
        <v>1</v>
      </c>
      <c r="T18" s="2" t="b">
        <f t="shared" si="2"/>
        <v>0</v>
      </c>
      <c r="U18" s="2" t="b">
        <f t="shared" si="2"/>
        <v>0</v>
      </c>
      <c r="V18" s="2" t="b">
        <f t="shared" si="2"/>
        <v>0</v>
      </c>
      <c r="W18" s="2" t="b">
        <f t="shared" si="2"/>
        <v>0</v>
      </c>
      <c r="X18" s="2" t="b">
        <f t="shared" si="2"/>
        <v>0</v>
      </c>
      <c r="Y18" s="2" t="b">
        <f t="shared" si="2"/>
        <v>0</v>
      </c>
      <c r="Z18" s="2" t="b">
        <f t="shared" si="2"/>
        <v>0</v>
      </c>
      <c r="AA18" s="2" t="b">
        <f t="shared" si="2"/>
        <v>0</v>
      </c>
      <c r="AB18" s="2" t="b">
        <f t="shared" si="2"/>
        <v>0</v>
      </c>
      <c r="AC18" s="2" t="b">
        <f t="shared" si="2"/>
        <v>0</v>
      </c>
    </row>
    <row r="19" spans="1:29" x14ac:dyDescent="0.35">
      <c r="A19" s="1"/>
      <c r="B19" s="1"/>
      <c r="C19" s="2" t="s">
        <v>3</v>
      </c>
      <c r="D19" s="2">
        <f>D7</f>
        <v>1.2</v>
      </c>
      <c r="E19" s="4">
        <f t="shared" ref="E19:AC19" si="3">E16/$D$19*E18</f>
        <v>175.50000000000003</v>
      </c>
      <c r="F19" s="4">
        <f t="shared" si="3"/>
        <v>189.54000000000005</v>
      </c>
      <c r="G19" s="4">
        <f t="shared" si="3"/>
        <v>199.01700000000002</v>
      </c>
      <c r="H19" s="4">
        <f t="shared" si="3"/>
        <v>208.96785000000006</v>
      </c>
      <c r="I19" s="4">
        <f t="shared" si="3"/>
        <v>219.41624250000004</v>
      </c>
      <c r="J19" s="4">
        <f t="shared" si="3"/>
        <v>230.38705462500005</v>
      </c>
      <c r="K19" s="4">
        <f t="shared" si="3"/>
        <v>237.29866626375005</v>
      </c>
      <c r="L19" s="4">
        <f t="shared" si="3"/>
        <v>244.41762625166254</v>
      </c>
      <c r="M19" s="4">
        <f t="shared" si="3"/>
        <v>251.75015503921242</v>
      </c>
      <c r="N19" s="4">
        <f t="shared" si="3"/>
        <v>256.78515813999667</v>
      </c>
      <c r="O19" s="4">
        <f t="shared" si="3"/>
        <v>261.92086130279665</v>
      </c>
      <c r="P19" s="4">
        <f t="shared" si="3"/>
        <v>267.15927852885261</v>
      </c>
      <c r="Q19" s="4">
        <f t="shared" si="3"/>
        <v>272.50246409942969</v>
      </c>
      <c r="R19" s="4">
        <f t="shared" si="3"/>
        <v>277.95251338141827</v>
      </c>
      <c r="S19" s="4">
        <f t="shared" si="3"/>
        <v>283.51156364904665</v>
      </c>
      <c r="T19" s="4">
        <f t="shared" si="3"/>
        <v>0</v>
      </c>
      <c r="U19" s="4">
        <f t="shared" si="3"/>
        <v>0</v>
      </c>
      <c r="V19" s="4">
        <f t="shared" si="3"/>
        <v>0</v>
      </c>
      <c r="W19" s="4">
        <f t="shared" si="3"/>
        <v>0</v>
      </c>
      <c r="X19" s="4">
        <f t="shared" si="3"/>
        <v>0</v>
      </c>
      <c r="Y19" s="4">
        <f t="shared" si="3"/>
        <v>0</v>
      </c>
      <c r="Z19" s="4">
        <f t="shared" si="3"/>
        <v>0</v>
      </c>
      <c r="AA19" s="4">
        <f t="shared" si="3"/>
        <v>0</v>
      </c>
      <c r="AB19" s="4">
        <f t="shared" si="3"/>
        <v>0</v>
      </c>
      <c r="AC19" s="4">
        <f t="shared" si="3"/>
        <v>0</v>
      </c>
    </row>
    <row r="20" spans="1:29" x14ac:dyDescent="0.35">
      <c r="A20" s="1"/>
      <c r="B20" s="1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</row>
    <row r="21" spans="1:29" x14ac:dyDescent="0.35">
      <c r="A21" s="1"/>
      <c r="B21" s="1"/>
      <c r="C21" s="2" t="s">
        <v>39</v>
      </c>
      <c r="D21" s="4">
        <f>NPV(Intrest_Rate,E19:AC19)</f>
        <v>2403.9107796511139</v>
      </c>
    </row>
    <row r="22" spans="1:29" x14ac:dyDescent="0.35">
      <c r="A22" s="1"/>
      <c r="B22" s="1"/>
    </row>
    <row r="23" spans="1:29" x14ac:dyDescent="0.35">
      <c r="A23" s="1"/>
      <c r="B23" s="1"/>
      <c r="C23" s="2" t="s">
        <v>5</v>
      </c>
      <c r="E23" s="4">
        <f t="shared" ref="E23:AC23" si="4">D25</f>
        <v>2403.9107796511139</v>
      </c>
      <c r="F23" s="4">
        <f t="shared" si="4"/>
        <v>2348.6063186336696</v>
      </c>
      <c r="G23" s="4">
        <f t="shared" si="4"/>
        <v>2276.4966345653529</v>
      </c>
      <c r="H23" s="4">
        <f t="shared" si="4"/>
        <v>2191.3044662936204</v>
      </c>
      <c r="I23" s="4">
        <f t="shared" si="4"/>
        <v>2091.9018396083015</v>
      </c>
      <c r="J23" s="4">
        <f t="shared" si="4"/>
        <v>1977.0806890887166</v>
      </c>
      <c r="K23" s="4">
        <f t="shared" si="4"/>
        <v>1845.5476689181523</v>
      </c>
      <c r="L23" s="4">
        <f t="shared" si="4"/>
        <v>1700.52638610031</v>
      </c>
      <c r="M23" s="4">
        <f t="shared" si="4"/>
        <v>1541.1350791536629</v>
      </c>
      <c r="N23" s="4">
        <f t="shared" si="4"/>
        <v>1366.4416780721335</v>
      </c>
      <c r="O23" s="4">
        <f t="shared" si="4"/>
        <v>1177.9786038357436</v>
      </c>
      <c r="P23" s="4">
        <f t="shared" si="4"/>
        <v>974.95667272473406</v>
      </c>
      <c r="Q23" s="4">
        <f t="shared" si="4"/>
        <v>756.54522783211814</v>
      </c>
      <c r="R23" s="4">
        <f t="shared" si="4"/>
        <v>521.87002512429433</v>
      </c>
      <c r="S23" s="4">
        <f t="shared" si="4"/>
        <v>270.01101299909078</v>
      </c>
      <c r="T23" s="4">
        <f t="shared" si="4"/>
        <v>-1.3073986337985843E-12</v>
      </c>
      <c r="U23" s="4">
        <f t="shared" si="4"/>
        <v>-1.3727685654885135E-12</v>
      </c>
      <c r="V23" s="4">
        <f t="shared" si="4"/>
        <v>-1.4414069937629391E-12</v>
      </c>
      <c r="W23" s="4">
        <f t="shared" si="4"/>
        <v>-1.5134773434510861E-12</v>
      </c>
      <c r="X23" s="4">
        <f t="shared" si="4"/>
        <v>-1.5891512106236404E-12</v>
      </c>
      <c r="Y23" s="4">
        <f t="shared" si="4"/>
        <v>-1.6686087711548224E-12</v>
      </c>
      <c r="Z23" s="4">
        <f t="shared" si="4"/>
        <v>-1.7520392097125635E-12</v>
      </c>
      <c r="AA23" s="4">
        <f t="shared" si="4"/>
        <v>-1.8396411701981918E-12</v>
      </c>
      <c r="AB23" s="4">
        <f t="shared" si="4"/>
        <v>-1.9316232287081013E-12</v>
      </c>
      <c r="AC23" s="4">
        <f t="shared" si="4"/>
        <v>-2.0282043901435064E-12</v>
      </c>
    </row>
    <row r="24" spans="1:29" x14ac:dyDescent="0.35">
      <c r="A24" s="1"/>
      <c r="B24" s="1"/>
      <c r="C24" s="2" t="s">
        <v>6</v>
      </c>
      <c r="E24" s="4">
        <f t="shared" ref="E24:AC24" si="5">E19-E26</f>
        <v>55.304461017444325</v>
      </c>
      <c r="F24" s="4">
        <f t="shared" si="5"/>
        <v>72.109684068316568</v>
      </c>
      <c r="G24" s="4">
        <f t="shared" si="5"/>
        <v>85.19216827173237</v>
      </c>
      <c r="H24" s="4">
        <f t="shared" si="5"/>
        <v>99.402626685319035</v>
      </c>
      <c r="I24" s="4">
        <f t="shared" si="5"/>
        <v>114.82115051958496</v>
      </c>
      <c r="J24" s="4">
        <f t="shared" si="5"/>
        <v>131.53302017056421</v>
      </c>
      <c r="K24" s="4">
        <f t="shared" si="5"/>
        <v>145.02128281784243</v>
      </c>
      <c r="L24" s="4">
        <f t="shared" si="5"/>
        <v>159.39130694664703</v>
      </c>
      <c r="M24" s="4">
        <f t="shared" si="5"/>
        <v>174.69340108152926</v>
      </c>
      <c r="N24" s="4">
        <f t="shared" si="5"/>
        <v>188.46307423638999</v>
      </c>
      <c r="O24" s="4">
        <f t="shared" si="5"/>
        <v>203.02193111100948</v>
      </c>
      <c r="P24" s="4">
        <f t="shared" si="5"/>
        <v>218.41144489261592</v>
      </c>
      <c r="Q24" s="4">
        <f t="shared" si="5"/>
        <v>234.67520270782379</v>
      </c>
      <c r="R24" s="4">
        <f t="shared" si="5"/>
        <v>251.85901212520355</v>
      </c>
      <c r="S24" s="4">
        <f t="shared" si="5"/>
        <v>270.01101299909209</v>
      </c>
      <c r="T24" s="4">
        <f t="shared" si="5"/>
        <v>6.5369931689929225E-14</v>
      </c>
      <c r="U24" s="4">
        <f t="shared" si="5"/>
        <v>6.8638428274425679E-14</v>
      </c>
      <c r="V24" s="4">
        <f t="shared" si="5"/>
        <v>7.2070349688146967E-14</v>
      </c>
      <c r="W24" s="4">
        <f t="shared" si="5"/>
        <v>7.567386717255431E-14</v>
      </c>
      <c r="X24" s="4">
        <f t="shared" si="5"/>
        <v>7.9457560531182022E-14</v>
      </c>
      <c r="Y24" s="4">
        <f t="shared" si="5"/>
        <v>8.3430438557741132E-14</v>
      </c>
      <c r="Z24" s="4">
        <f t="shared" si="5"/>
        <v>8.7601960485628176E-14</v>
      </c>
      <c r="AA24" s="4">
        <f t="shared" si="5"/>
        <v>9.198205850990959E-14</v>
      </c>
      <c r="AB24" s="4">
        <f t="shared" si="5"/>
        <v>9.6581161435405065E-14</v>
      </c>
      <c r="AC24" s="4">
        <f t="shared" si="5"/>
        <v>1.0141021950717532E-13</v>
      </c>
    </row>
    <row r="25" spans="1:29" x14ac:dyDescent="0.35">
      <c r="A25" s="1"/>
      <c r="B25" s="1"/>
      <c r="C25" s="2" t="s">
        <v>7</v>
      </c>
      <c r="D25" s="4">
        <f>D21</f>
        <v>2403.9107796511139</v>
      </c>
      <c r="E25" s="4">
        <f t="shared" ref="E25:AC25" si="6">E23-E24</f>
        <v>2348.6063186336696</v>
      </c>
      <c r="F25" s="4">
        <f t="shared" si="6"/>
        <v>2276.4966345653529</v>
      </c>
      <c r="G25" s="4">
        <f t="shared" si="6"/>
        <v>2191.3044662936204</v>
      </c>
      <c r="H25" s="4">
        <f t="shared" si="6"/>
        <v>2091.9018396083015</v>
      </c>
      <c r="I25" s="4">
        <f t="shared" si="6"/>
        <v>1977.0806890887166</v>
      </c>
      <c r="J25" s="4">
        <f t="shared" si="6"/>
        <v>1845.5476689181523</v>
      </c>
      <c r="K25" s="4">
        <f t="shared" si="6"/>
        <v>1700.52638610031</v>
      </c>
      <c r="L25" s="4">
        <f t="shared" si="6"/>
        <v>1541.1350791536629</v>
      </c>
      <c r="M25" s="4">
        <f t="shared" si="6"/>
        <v>1366.4416780721335</v>
      </c>
      <c r="N25" s="4">
        <f t="shared" si="6"/>
        <v>1177.9786038357436</v>
      </c>
      <c r="O25" s="4">
        <f t="shared" si="6"/>
        <v>974.95667272473406</v>
      </c>
      <c r="P25" s="4">
        <f t="shared" si="6"/>
        <v>756.54522783211814</v>
      </c>
      <c r="Q25" s="4">
        <f t="shared" si="6"/>
        <v>521.87002512429433</v>
      </c>
      <c r="R25" s="4">
        <f t="shared" si="6"/>
        <v>270.01101299909078</v>
      </c>
      <c r="S25" s="4">
        <f t="shared" si="6"/>
        <v>-1.3073986337985843E-12</v>
      </c>
      <c r="T25" s="4">
        <f t="shared" si="6"/>
        <v>-1.3727685654885135E-12</v>
      </c>
      <c r="U25" s="4">
        <f t="shared" si="6"/>
        <v>-1.4414069937629391E-12</v>
      </c>
      <c r="V25" s="4">
        <f t="shared" si="6"/>
        <v>-1.5134773434510861E-12</v>
      </c>
      <c r="W25" s="4">
        <f t="shared" si="6"/>
        <v>-1.5891512106236404E-12</v>
      </c>
      <c r="X25" s="4">
        <f t="shared" si="6"/>
        <v>-1.6686087711548224E-12</v>
      </c>
      <c r="Y25" s="4">
        <f t="shared" si="6"/>
        <v>-1.7520392097125635E-12</v>
      </c>
      <c r="Z25" s="4">
        <f t="shared" si="6"/>
        <v>-1.8396411701981918E-12</v>
      </c>
      <c r="AA25" s="4">
        <f t="shared" si="6"/>
        <v>-1.9316232287081013E-12</v>
      </c>
      <c r="AB25" s="4">
        <f t="shared" si="6"/>
        <v>-2.0282043901435064E-12</v>
      </c>
      <c r="AC25" s="4">
        <f t="shared" si="6"/>
        <v>-2.1296146096506816E-12</v>
      </c>
    </row>
    <row r="26" spans="1:29" x14ac:dyDescent="0.35">
      <c r="A26" s="1"/>
      <c r="B26" s="1"/>
      <c r="C26" s="2" t="s">
        <v>8</v>
      </c>
      <c r="E26" s="4">
        <f t="shared" ref="E26:AC26" si="7">E23*Intrest_Rate</f>
        <v>120.1955389825557</v>
      </c>
      <c r="F26" s="4">
        <f t="shared" si="7"/>
        <v>117.43031593168348</v>
      </c>
      <c r="G26" s="4">
        <f t="shared" si="7"/>
        <v>113.82483172826765</v>
      </c>
      <c r="H26" s="4">
        <f t="shared" si="7"/>
        <v>109.56522331468102</v>
      </c>
      <c r="I26" s="4">
        <f t="shared" si="7"/>
        <v>104.59509198041508</v>
      </c>
      <c r="J26" s="4">
        <f t="shared" si="7"/>
        <v>98.854034454435833</v>
      </c>
      <c r="K26" s="4">
        <f t="shared" si="7"/>
        <v>92.277383445907617</v>
      </c>
      <c r="L26" s="4">
        <f t="shared" si="7"/>
        <v>85.026319305015505</v>
      </c>
      <c r="M26" s="4">
        <f t="shared" si="7"/>
        <v>77.056753957683156</v>
      </c>
      <c r="N26" s="4">
        <f t="shared" si="7"/>
        <v>68.322083903606682</v>
      </c>
      <c r="O26" s="4">
        <f t="shared" si="7"/>
        <v>58.89893019178718</v>
      </c>
      <c r="P26" s="4">
        <f t="shared" si="7"/>
        <v>48.747833636236706</v>
      </c>
      <c r="Q26" s="4">
        <f t="shared" si="7"/>
        <v>37.827261391605909</v>
      </c>
      <c r="R26" s="4">
        <f t="shared" si="7"/>
        <v>26.093501256214719</v>
      </c>
      <c r="S26" s="4">
        <f t="shared" si="7"/>
        <v>13.50055064995454</v>
      </c>
      <c r="T26" s="4">
        <f t="shared" si="7"/>
        <v>-6.5369931689929225E-14</v>
      </c>
      <c r="U26" s="4">
        <f t="shared" si="7"/>
        <v>-6.8638428274425679E-14</v>
      </c>
      <c r="V26" s="4">
        <f t="shared" si="7"/>
        <v>-7.2070349688146967E-14</v>
      </c>
      <c r="W26" s="4">
        <f t="shared" si="7"/>
        <v>-7.567386717255431E-14</v>
      </c>
      <c r="X26" s="4">
        <f t="shared" si="7"/>
        <v>-7.9457560531182022E-14</v>
      </c>
      <c r="Y26" s="4">
        <f t="shared" si="7"/>
        <v>-8.3430438557741132E-14</v>
      </c>
      <c r="Z26" s="4">
        <f t="shared" si="7"/>
        <v>-8.7601960485628176E-14</v>
      </c>
      <c r="AA26" s="4">
        <f t="shared" si="7"/>
        <v>-9.198205850990959E-14</v>
      </c>
      <c r="AB26" s="4">
        <f t="shared" si="7"/>
        <v>-9.6581161435405065E-14</v>
      </c>
      <c r="AC26" s="4">
        <f t="shared" si="7"/>
        <v>-1.0141021950717532E-13</v>
      </c>
    </row>
    <row r="27" spans="1:29" x14ac:dyDescent="0.35">
      <c r="A27" s="1"/>
      <c r="B27" s="1"/>
      <c r="C27" s="2" t="s">
        <v>19</v>
      </c>
      <c r="E27" s="4">
        <f t="shared" ref="E27:AC27" si="8">E24+E26</f>
        <v>175.50000000000003</v>
      </c>
      <c r="F27" s="4">
        <f t="shared" si="8"/>
        <v>189.54000000000005</v>
      </c>
      <c r="G27" s="4">
        <f t="shared" si="8"/>
        <v>199.01700000000002</v>
      </c>
      <c r="H27" s="4">
        <f t="shared" si="8"/>
        <v>208.96785000000006</v>
      </c>
      <c r="I27" s="4">
        <f t="shared" si="8"/>
        <v>219.41624250000004</v>
      </c>
      <c r="J27" s="4">
        <f t="shared" si="8"/>
        <v>230.38705462500005</v>
      </c>
      <c r="K27" s="4">
        <f t="shared" si="8"/>
        <v>237.29866626375005</v>
      </c>
      <c r="L27" s="4">
        <f t="shared" si="8"/>
        <v>244.41762625166254</v>
      </c>
      <c r="M27" s="4">
        <f t="shared" si="8"/>
        <v>251.75015503921242</v>
      </c>
      <c r="N27" s="4">
        <f t="shared" si="8"/>
        <v>256.78515813999667</v>
      </c>
      <c r="O27" s="4">
        <f t="shared" si="8"/>
        <v>261.92086130279665</v>
      </c>
      <c r="P27" s="4">
        <f t="shared" si="8"/>
        <v>267.15927852885261</v>
      </c>
      <c r="Q27" s="4">
        <f t="shared" si="8"/>
        <v>272.50246409942969</v>
      </c>
      <c r="R27" s="4">
        <f t="shared" si="8"/>
        <v>277.95251338141827</v>
      </c>
      <c r="S27" s="4">
        <f t="shared" si="8"/>
        <v>283.51156364904665</v>
      </c>
      <c r="T27" s="4">
        <f t="shared" si="8"/>
        <v>0</v>
      </c>
      <c r="U27" s="4">
        <f t="shared" si="8"/>
        <v>0</v>
      </c>
      <c r="V27" s="4">
        <f t="shared" si="8"/>
        <v>0</v>
      </c>
      <c r="W27" s="4">
        <f t="shared" si="8"/>
        <v>0</v>
      </c>
      <c r="X27" s="4">
        <f t="shared" si="8"/>
        <v>0</v>
      </c>
      <c r="Y27" s="4">
        <f t="shared" si="8"/>
        <v>0</v>
      </c>
      <c r="Z27" s="4">
        <f t="shared" si="8"/>
        <v>0</v>
      </c>
      <c r="AA27" s="4">
        <f t="shared" si="8"/>
        <v>0</v>
      </c>
      <c r="AB27" s="4">
        <f t="shared" si="8"/>
        <v>0</v>
      </c>
      <c r="AC27" s="4">
        <f t="shared" si="8"/>
        <v>0</v>
      </c>
    </row>
    <row r="28" spans="1:29" x14ac:dyDescent="0.35">
      <c r="A28" s="1"/>
      <c r="B28" s="1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</row>
    <row r="29" spans="1:29" x14ac:dyDescent="0.35">
      <c r="A29" s="1"/>
      <c r="B29" s="1"/>
      <c r="C29" s="2" t="s">
        <v>47</v>
      </c>
      <c r="D29" s="4" t="b">
        <f>ROUND(LOOKUP($D$18,$5:$5,25:25),0)=0</f>
        <v>1</v>
      </c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</row>
    <row r="30" spans="1:29" x14ac:dyDescent="0.35">
      <c r="A30" s="1"/>
      <c r="B30" s="1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</row>
    <row r="31" spans="1:29" x14ac:dyDescent="0.35">
      <c r="A31" s="1"/>
      <c r="B31" s="1"/>
      <c r="C31" s="2" t="s">
        <v>9</v>
      </c>
      <c r="E31" s="4">
        <f t="shared" ref="E31:AC31" si="9">IF(E27&gt;0.01,E16/E27)</f>
        <v>1.2</v>
      </c>
      <c r="F31" s="4">
        <f t="shared" si="9"/>
        <v>1.2</v>
      </c>
      <c r="G31" s="4">
        <f t="shared" si="9"/>
        <v>1.2</v>
      </c>
      <c r="H31" s="4">
        <f t="shared" si="9"/>
        <v>1.2</v>
      </c>
      <c r="I31" s="4">
        <f t="shared" si="9"/>
        <v>1.2</v>
      </c>
      <c r="J31" s="4">
        <f t="shared" si="9"/>
        <v>1.2</v>
      </c>
      <c r="K31" s="4">
        <f t="shared" si="9"/>
        <v>1.2</v>
      </c>
      <c r="L31" s="4">
        <f t="shared" si="9"/>
        <v>1.2</v>
      </c>
      <c r="M31" s="4">
        <f t="shared" si="9"/>
        <v>1.2</v>
      </c>
      <c r="N31" s="4">
        <f t="shared" si="9"/>
        <v>1.2</v>
      </c>
      <c r="O31" s="4">
        <f t="shared" si="9"/>
        <v>1.2</v>
      </c>
      <c r="P31" s="4">
        <f t="shared" si="9"/>
        <v>1.2</v>
      </c>
      <c r="Q31" s="4">
        <f t="shared" si="9"/>
        <v>1.1999999999999997</v>
      </c>
      <c r="R31" s="4">
        <f t="shared" si="9"/>
        <v>1.2</v>
      </c>
      <c r="S31" s="4">
        <f t="shared" si="9"/>
        <v>1.2</v>
      </c>
      <c r="T31" s="4" t="b">
        <f t="shared" si="9"/>
        <v>0</v>
      </c>
      <c r="U31" s="4" t="b">
        <f t="shared" si="9"/>
        <v>0</v>
      </c>
      <c r="V31" s="4" t="b">
        <f t="shared" si="9"/>
        <v>0</v>
      </c>
      <c r="W31" s="4" t="b">
        <f t="shared" si="9"/>
        <v>0</v>
      </c>
      <c r="X31" s="4" t="b">
        <f t="shared" si="9"/>
        <v>0</v>
      </c>
      <c r="Y31" s="4" t="b">
        <f t="shared" si="9"/>
        <v>0</v>
      </c>
      <c r="Z31" s="4" t="b">
        <f t="shared" si="9"/>
        <v>0</v>
      </c>
      <c r="AA31" s="4" t="b">
        <f t="shared" si="9"/>
        <v>0</v>
      </c>
      <c r="AB31" s="4" t="b">
        <f t="shared" si="9"/>
        <v>0</v>
      </c>
      <c r="AC31" s="4" t="b">
        <f t="shared" si="9"/>
        <v>0</v>
      </c>
    </row>
    <row r="32" spans="1:29" x14ac:dyDescent="0.35">
      <c r="A32" s="1"/>
      <c r="B32" s="1"/>
      <c r="C32" s="2" t="s">
        <v>40</v>
      </c>
      <c r="E32" s="4">
        <f t="shared" ref="E32:AC32" si="10">E16*E18</f>
        <v>210.60000000000002</v>
      </c>
      <c r="F32" s="4">
        <f t="shared" si="10"/>
        <v>227.44800000000004</v>
      </c>
      <c r="G32" s="4">
        <f t="shared" si="10"/>
        <v>238.82040000000003</v>
      </c>
      <c r="H32" s="4">
        <f t="shared" si="10"/>
        <v>250.76142000000004</v>
      </c>
      <c r="I32" s="4">
        <f t="shared" si="10"/>
        <v>263.29949100000005</v>
      </c>
      <c r="J32" s="4">
        <f t="shared" si="10"/>
        <v>276.46446555000006</v>
      </c>
      <c r="K32" s="4">
        <f t="shared" si="10"/>
        <v>284.75839951650005</v>
      </c>
      <c r="L32" s="4">
        <f t="shared" si="10"/>
        <v>293.30115150199504</v>
      </c>
      <c r="M32" s="4">
        <f t="shared" si="10"/>
        <v>302.10018604705488</v>
      </c>
      <c r="N32" s="4">
        <f t="shared" si="10"/>
        <v>308.142189767996</v>
      </c>
      <c r="O32" s="4">
        <f t="shared" si="10"/>
        <v>314.30503356335595</v>
      </c>
      <c r="P32" s="4">
        <f t="shared" si="10"/>
        <v>320.5911342346231</v>
      </c>
      <c r="Q32" s="4">
        <f t="shared" si="10"/>
        <v>327.00295691931558</v>
      </c>
      <c r="R32" s="4">
        <f t="shared" si="10"/>
        <v>333.54301605770189</v>
      </c>
      <c r="S32" s="4">
        <f t="shared" si="10"/>
        <v>340.21387637885596</v>
      </c>
      <c r="T32" s="4">
        <f t="shared" si="10"/>
        <v>0</v>
      </c>
      <c r="U32" s="4">
        <f t="shared" si="10"/>
        <v>0</v>
      </c>
      <c r="V32" s="4">
        <f t="shared" si="10"/>
        <v>0</v>
      </c>
      <c r="W32" s="4">
        <f t="shared" si="10"/>
        <v>0</v>
      </c>
      <c r="X32" s="4">
        <f t="shared" si="10"/>
        <v>0</v>
      </c>
      <c r="Y32" s="4">
        <f t="shared" si="10"/>
        <v>0</v>
      </c>
      <c r="Z32" s="4">
        <f t="shared" si="10"/>
        <v>0</v>
      </c>
      <c r="AA32" s="4">
        <f t="shared" si="10"/>
        <v>0</v>
      </c>
      <c r="AB32" s="4">
        <f t="shared" si="10"/>
        <v>0</v>
      </c>
      <c r="AC32" s="4">
        <f t="shared" si="10"/>
        <v>0</v>
      </c>
    </row>
    <row r="33" spans="1:4" x14ac:dyDescent="0.35">
      <c r="A33" s="1"/>
      <c r="B33" s="1"/>
      <c r="C33" s="2" t="s">
        <v>10</v>
      </c>
      <c r="D33" s="4">
        <f>NPV(Intrest_Rate,E32:AC32)/D25</f>
        <v>1.2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4" r:id="rId3" name="Spinner 4">
              <controlPr defaultSize="0" autoPict="0">
                <anchor moveWithCells="1" sizeWithCells="1">
                  <from>
                    <xdr:col>4</xdr:col>
                    <xdr:colOff>38100</xdr:colOff>
                    <xdr:row>13</xdr:row>
                    <xdr:rowOff>0</xdr:rowOff>
                  </from>
                  <to>
                    <xdr:col>4</xdr:col>
                    <xdr:colOff>279400</xdr:colOff>
                    <xdr:row>14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>
    <tabColor rgb="FFFFFF00"/>
  </sheetPr>
  <dimension ref="A1:AC34"/>
  <sheetViews>
    <sheetView zoomScale="70" zoomScaleNormal="70" workbookViewId="0">
      <pane xSplit="3" ySplit="7" topLeftCell="D8" activePane="bottomRight" state="frozen"/>
      <selection pane="topRight" activeCell="D1" sqref="D1"/>
      <selection pane="bottomLeft" activeCell="A6" sqref="A6"/>
      <selection pane="bottomRight" activeCell="I23" sqref="I23"/>
    </sheetView>
  </sheetViews>
  <sheetFormatPr defaultColWidth="9.1796875" defaultRowHeight="14.5" x14ac:dyDescent="0.35"/>
  <cols>
    <col min="1" max="2" width="1.26953125" style="2" customWidth="1"/>
    <col min="3" max="3" width="38.81640625" style="2" customWidth="1"/>
    <col min="4" max="4" width="12.7265625" style="2" bestFit="1" customWidth="1"/>
    <col min="5" max="64" width="10.81640625" style="2" customWidth="1"/>
    <col min="65" max="16384" width="9.1796875" style="2"/>
  </cols>
  <sheetData>
    <row r="1" spans="1:29" ht="26" x14ac:dyDescent="0.6">
      <c r="C1" s="48" t="s">
        <v>353</v>
      </c>
    </row>
    <row r="2" spans="1:29" ht="26" x14ac:dyDescent="0.6">
      <c r="A2" s="1"/>
      <c r="B2" s="1"/>
      <c r="C2" s="48" t="s">
        <v>152</v>
      </c>
    </row>
    <row r="3" spans="1:29" s="60" customFormat="1" ht="26" x14ac:dyDescent="0.6">
      <c r="A3" s="123"/>
      <c r="B3" s="123"/>
      <c r="C3" s="122" t="s">
        <v>435</v>
      </c>
    </row>
    <row r="4" spans="1:29" x14ac:dyDescent="0.35">
      <c r="A4" s="1"/>
      <c r="B4" s="1"/>
    </row>
    <row r="5" spans="1:29" x14ac:dyDescent="0.35">
      <c r="A5" s="1"/>
      <c r="B5" s="1"/>
    </row>
    <row r="6" spans="1:29" x14ac:dyDescent="0.35">
      <c r="B6" s="1"/>
      <c r="C6" s="1"/>
      <c r="D6" s="55">
        <v>0</v>
      </c>
      <c r="E6" s="55">
        <v>1</v>
      </c>
      <c r="F6" s="55">
        <v>2</v>
      </c>
      <c r="G6" s="55">
        <v>3</v>
      </c>
      <c r="H6" s="55">
        <v>4</v>
      </c>
      <c r="I6" s="55">
        <v>5</v>
      </c>
      <c r="J6" s="55">
        <v>6</v>
      </c>
      <c r="K6" s="55">
        <v>7</v>
      </c>
      <c r="L6" s="55">
        <v>8</v>
      </c>
      <c r="M6" s="55">
        <v>9</v>
      </c>
      <c r="N6" s="55">
        <v>10</v>
      </c>
      <c r="O6" s="55">
        <v>11</v>
      </c>
      <c r="P6" s="55">
        <v>12</v>
      </c>
      <c r="Q6" s="55">
        <v>13</v>
      </c>
      <c r="R6" s="55">
        <v>14</v>
      </c>
      <c r="S6" s="55">
        <v>15</v>
      </c>
      <c r="T6" s="55">
        <v>16</v>
      </c>
      <c r="U6" s="55">
        <v>17</v>
      </c>
      <c r="V6" s="55">
        <v>18</v>
      </c>
      <c r="W6" s="55">
        <v>19</v>
      </c>
      <c r="X6" s="55">
        <v>20</v>
      </c>
      <c r="Y6" s="55">
        <v>21</v>
      </c>
      <c r="Z6" s="55">
        <v>22</v>
      </c>
      <c r="AA6" s="55">
        <v>23</v>
      </c>
      <c r="AB6" s="55">
        <v>24</v>
      </c>
      <c r="AC6" s="55">
        <v>25</v>
      </c>
    </row>
    <row r="7" spans="1:29" s="40" customFormat="1" x14ac:dyDescent="0.35">
      <c r="A7" s="40" t="s">
        <v>0</v>
      </c>
    </row>
    <row r="8" spans="1:29" x14ac:dyDescent="0.35">
      <c r="A8" s="1"/>
      <c r="B8" s="1"/>
      <c r="C8" s="2" t="s">
        <v>1</v>
      </c>
      <c r="D8" s="51">
        <v>1.2</v>
      </c>
    </row>
    <row r="9" spans="1:29" x14ac:dyDescent="0.35">
      <c r="A9" s="1"/>
      <c r="B9" s="1"/>
      <c r="C9" s="2" t="s">
        <v>36</v>
      </c>
      <c r="D9" s="51">
        <v>15</v>
      </c>
    </row>
    <row r="10" spans="1:29" x14ac:dyDescent="0.35">
      <c r="A10" s="1"/>
      <c r="B10" s="1"/>
      <c r="C10" s="3" t="s">
        <v>4</v>
      </c>
      <c r="D10" s="53">
        <v>0.05</v>
      </c>
    </row>
    <row r="11" spans="1:29" x14ac:dyDescent="0.35">
      <c r="A11" s="1"/>
      <c r="B11" s="1"/>
      <c r="D11" s="3"/>
    </row>
    <row r="12" spans="1:29" x14ac:dyDescent="0.35">
      <c r="A12" s="1"/>
      <c r="B12" s="1"/>
      <c r="C12" s="2" t="s">
        <v>37</v>
      </c>
      <c r="D12" s="51">
        <v>0</v>
      </c>
      <c r="E12" s="51">
        <v>3</v>
      </c>
      <c r="F12" s="51">
        <v>7</v>
      </c>
      <c r="G12" s="51">
        <v>10</v>
      </c>
    </row>
    <row r="13" spans="1:29" x14ac:dyDescent="0.35">
      <c r="A13" s="1"/>
      <c r="B13" s="1"/>
      <c r="C13" s="2" t="s">
        <v>38</v>
      </c>
      <c r="D13" s="53">
        <v>0.08</v>
      </c>
      <c r="E13" s="53">
        <v>0.05</v>
      </c>
      <c r="F13" s="53">
        <v>0.03</v>
      </c>
      <c r="G13" s="53">
        <v>0.02</v>
      </c>
    </row>
    <row r="14" spans="1:29" x14ac:dyDescent="0.35">
      <c r="A14" s="1"/>
      <c r="B14" s="1"/>
    </row>
    <row r="15" spans="1:29" x14ac:dyDescent="0.35">
      <c r="A15" s="1"/>
      <c r="B15" s="1"/>
      <c r="C15" s="2" t="s">
        <v>45</v>
      </c>
      <c r="D15" s="52">
        <v>195</v>
      </c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</row>
    <row r="16" spans="1:29" x14ac:dyDescent="0.35">
      <c r="A16" s="1"/>
      <c r="B16" s="1"/>
      <c r="C16" s="2" t="s">
        <v>38</v>
      </c>
      <c r="D16" s="12">
        <f t="shared" ref="D16:AC16" si="0">LOOKUP(D6,12:12,13:13)</f>
        <v>0.08</v>
      </c>
      <c r="E16" s="12">
        <f t="shared" si="0"/>
        <v>0.08</v>
      </c>
      <c r="F16" s="12">
        <f t="shared" si="0"/>
        <v>0.08</v>
      </c>
      <c r="G16" s="12">
        <f t="shared" si="0"/>
        <v>0.05</v>
      </c>
      <c r="H16" s="12">
        <f t="shared" si="0"/>
        <v>0.05</v>
      </c>
      <c r="I16" s="12">
        <f t="shared" si="0"/>
        <v>0.05</v>
      </c>
      <c r="J16" s="12">
        <f t="shared" si="0"/>
        <v>0.05</v>
      </c>
      <c r="K16" s="12">
        <f t="shared" si="0"/>
        <v>0.03</v>
      </c>
      <c r="L16" s="12">
        <f t="shared" si="0"/>
        <v>0.03</v>
      </c>
      <c r="M16" s="12">
        <f t="shared" si="0"/>
        <v>0.03</v>
      </c>
      <c r="N16" s="12">
        <f t="shared" si="0"/>
        <v>0.02</v>
      </c>
      <c r="O16" s="12">
        <f t="shared" si="0"/>
        <v>0.02</v>
      </c>
      <c r="P16" s="12">
        <f t="shared" si="0"/>
        <v>0.02</v>
      </c>
      <c r="Q16" s="12">
        <f t="shared" si="0"/>
        <v>0.02</v>
      </c>
      <c r="R16" s="12">
        <f t="shared" si="0"/>
        <v>0.02</v>
      </c>
      <c r="S16" s="12">
        <f t="shared" si="0"/>
        <v>0.02</v>
      </c>
      <c r="T16" s="12">
        <f t="shared" si="0"/>
        <v>0.02</v>
      </c>
      <c r="U16" s="12">
        <f t="shared" si="0"/>
        <v>0.02</v>
      </c>
      <c r="V16" s="12">
        <f t="shared" si="0"/>
        <v>0.02</v>
      </c>
      <c r="W16" s="12">
        <f t="shared" si="0"/>
        <v>0.02</v>
      </c>
      <c r="X16" s="12">
        <f t="shared" si="0"/>
        <v>0.02</v>
      </c>
      <c r="Y16" s="12">
        <f t="shared" si="0"/>
        <v>0.02</v>
      </c>
      <c r="Z16" s="12">
        <f t="shared" si="0"/>
        <v>0.02</v>
      </c>
      <c r="AA16" s="12">
        <f t="shared" si="0"/>
        <v>0.02</v>
      </c>
      <c r="AB16" s="12">
        <f t="shared" si="0"/>
        <v>0.02</v>
      </c>
      <c r="AC16" s="12">
        <f t="shared" si="0"/>
        <v>0.02</v>
      </c>
    </row>
    <row r="17" spans="1:29" x14ac:dyDescent="0.35">
      <c r="A17" s="1"/>
      <c r="B17" s="1"/>
      <c r="C17" s="2" t="s">
        <v>2</v>
      </c>
      <c r="D17" s="4">
        <f>D15</f>
        <v>195</v>
      </c>
      <c r="E17" s="4">
        <f t="shared" ref="E17:AC17" si="1">D17*(1+E16)</f>
        <v>210.60000000000002</v>
      </c>
      <c r="F17" s="4">
        <f t="shared" si="1"/>
        <v>227.44800000000004</v>
      </c>
      <c r="G17" s="4">
        <f t="shared" si="1"/>
        <v>238.82040000000003</v>
      </c>
      <c r="H17" s="4">
        <f t="shared" si="1"/>
        <v>250.76142000000004</v>
      </c>
      <c r="I17" s="4">
        <f t="shared" si="1"/>
        <v>263.29949100000005</v>
      </c>
      <c r="J17" s="4">
        <f t="shared" si="1"/>
        <v>276.46446555000006</v>
      </c>
      <c r="K17" s="4">
        <f t="shared" si="1"/>
        <v>284.75839951650005</v>
      </c>
      <c r="L17" s="4">
        <f t="shared" si="1"/>
        <v>293.30115150199504</v>
      </c>
      <c r="M17" s="4">
        <f t="shared" si="1"/>
        <v>302.10018604705488</v>
      </c>
      <c r="N17" s="4">
        <f t="shared" si="1"/>
        <v>308.142189767996</v>
      </c>
      <c r="O17" s="4">
        <f t="shared" si="1"/>
        <v>314.30503356335595</v>
      </c>
      <c r="P17" s="4">
        <f t="shared" si="1"/>
        <v>320.5911342346231</v>
      </c>
      <c r="Q17" s="4">
        <f t="shared" si="1"/>
        <v>327.00295691931558</v>
      </c>
      <c r="R17" s="4">
        <f t="shared" si="1"/>
        <v>333.54301605770189</v>
      </c>
      <c r="S17" s="4">
        <f t="shared" si="1"/>
        <v>340.21387637885596</v>
      </c>
      <c r="T17" s="4">
        <f t="shared" si="1"/>
        <v>347.0181539064331</v>
      </c>
      <c r="U17" s="4">
        <f t="shared" si="1"/>
        <v>353.95851698456175</v>
      </c>
      <c r="V17" s="4">
        <f t="shared" si="1"/>
        <v>361.037687324253</v>
      </c>
      <c r="W17" s="4">
        <f t="shared" si="1"/>
        <v>368.25844107073806</v>
      </c>
      <c r="X17" s="4">
        <f t="shared" si="1"/>
        <v>375.62360989215284</v>
      </c>
      <c r="Y17" s="4">
        <f t="shared" si="1"/>
        <v>383.13608208999591</v>
      </c>
      <c r="Z17" s="4">
        <f t="shared" si="1"/>
        <v>390.79880373179583</v>
      </c>
      <c r="AA17" s="4">
        <f t="shared" si="1"/>
        <v>398.61477980643173</v>
      </c>
      <c r="AB17" s="4">
        <f t="shared" si="1"/>
        <v>406.58707540256034</v>
      </c>
      <c r="AC17" s="4">
        <f t="shared" si="1"/>
        <v>414.71881691061157</v>
      </c>
    </row>
    <row r="18" spans="1:29" x14ac:dyDescent="0.35">
      <c r="A18" s="1"/>
      <c r="B18" s="1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</row>
    <row r="19" spans="1:29" x14ac:dyDescent="0.35">
      <c r="A19" s="1"/>
      <c r="B19" s="1"/>
      <c r="C19" s="2" t="s">
        <v>46</v>
      </c>
      <c r="D19" s="2">
        <f>D9</f>
        <v>15</v>
      </c>
      <c r="E19" s="60"/>
      <c r="F19" s="60"/>
      <c r="G19" s="60"/>
      <c r="H19" s="60"/>
      <c r="I19" s="60"/>
      <c r="J19" s="60"/>
      <c r="K19" s="60"/>
      <c r="L19" s="60"/>
      <c r="M19" s="60"/>
      <c r="N19" s="60"/>
      <c r="O19" s="60"/>
      <c r="P19" s="60"/>
      <c r="Q19" s="60"/>
      <c r="R19" s="60"/>
      <c r="S19" s="60"/>
      <c r="T19" s="60"/>
      <c r="U19" s="60"/>
      <c r="V19" s="60"/>
      <c r="W19" s="60"/>
      <c r="X19" s="60"/>
      <c r="Y19" s="60"/>
      <c r="Z19" s="60"/>
      <c r="AA19" s="60"/>
      <c r="AB19" s="60"/>
      <c r="AC19" s="60"/>
    </row>
    <row r="20" spans="1:29" x14ac:dyDescent="0.35">
      <c r="A20" s="1"/>
      <c r="B20" s="1"/>
      <c r="C20" s="2" t="s">
        <v>3</v>
      </c>
      <c r="D20" s="2">
        <f>D8</f>
        <v>1.2</v>
      </c>
      <c r="E20" s="61"/>
      <c r="F20" s="61"/>
      <c r="G20" s="61"/>
      <c r="H20" s="61"/>
      <c r="I20" s="61"/>
      <c r="J20" s="61"/>
      <c r="K20" s="61"/>
      <c r="L20" s="61"/>
      <c r="M20" s="61"/>
      <c r="N20" s="61"/>
      <c r="O20" s="61"/>
      <c r="P20" s="61"/>
      <c r="Q20" s="61"/>
      <c r="R20" s="61"/>
      <c r="S20" s="61"/>
      <c r="T20" s="61"/>
      <c r="U20" s="61"/>
      <c r="V20" s="61"/>
      <c r="W20" s="61"/>
      <c r="X20" s="61"/>
      <c r="Y20" s="61"/>
      <c r="Z20" s="61"/>
      <c r="AA20" s="61"/>
      <c r="AB20" s="61"/>
      <c r="AC20" s="61"/>
    </row>
    <row r="21" spans="1:29" x14ac:dyDescent="0.35">
      <c r="A21" s="1"/>
      <c r="B21" s="1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</row>
    <row r="22" spans="1:29" x14ac:dyDescent="0.35">
      <c r="A22" s="1"/>
      <c r="B22" s="1"/>
      <c r="C22" s="2" t="s">
        <v>39</v>
      </c>
      <c r="D22" s="4">
        <f>NPV(Intrest_Rate,E20:AC20)</f>
        <v>0</v>
      </c>
    </row>
    <row r="23" spans="1:29" x14ac:dyDescent="0.35">
      <c r="A23" s="1"/>
      <c r="B23" s="1"/>
    </row>
    <row r="24" spans="1:29" x14ac:dyDescent="0.35">
      <c r="A24" s="1"/>
      <c r="B24" s="1"/>
      <c r="C24" s="2" t="s">
        <v>5</v>
      </c>
      <c r="D24" s="60"/>
      <c r="E24" s="61"/>
      <c r="F24" s="61"/>
      <c r="G24" s="61"/>
      <c r="H24" s="61"/>
      <c r="I24" s="61"/>
      <c r="J24" s="61"/>
      <c r="K24" s="61"/>
      <c r="L24" s="61"/>
      <c r="M24" s="61"/>
      <c r="N24" s="61"/>
      <c r="O24" s="61"/>
      <c r="P24" s="61"/>
      <c r="Q24" s="61"/>
      <c r="R24" s="61"/>
      <c r="S24" s="61"/>
      <c r="T24" s="61"/>
      <c r="U24" s="61"/>
      <c r="V24" s="61"/>
      <c r="W24" s="61"/>
      <c r="X24" s="61"/>
      <c r="Y24" s="61"/>
      <c r="Z24" s="61"/>
      <c r="AA24" s="61"/>
      <c r="AB24" s="61"/>
      <c r="AC24" s="61"/>
    </row>
    <row r="25" spans="1:29" x14ac:dyDescent="0.35">
      <c r="A25" s="1"/>
      <c r="B25" s="1"/>
      <c r="C25" s="2" t="s">
        <v>6</v>
      </c>
      <c r="D25" s="60"/>
      <c r="E25" s="61"/>
      <c r="F25" s="61"/>
      <c r="G25" s="61"/>
      <c r="H25" s="61"/>
      <c r="I25" s="61"/>
      <c r="J25" s="61"/>
      <c r="K25" s="61"/>
      <c r="L25" s="61"/>
      <c r="M25" s="61"/>
      <c r="N25" s="61"/>
      <c r="O25" s="61"/>
      <c r="P25" s="61"/>
      <c r="Q25" s="61"/>
      <c r="R25" s="61"/>
      <c r="S25" s="61"/>
      <c r="T25" s="61"/>
      <c r="U25" s="61"/>
      <c r="V25" s="61"/>
      <c r="W25" s="61"/>
      <c r="X25" s="61"/>
      <c r="Y25" s="61"/>
      <c r="Z25" s="61"/>
      <c r="AA25" s="61"/>
      <c r="AB25" s="61"/>
      <c r="AC25" s="61"/>
    </row>
    <row r="26" spans="1:29" x14ac:dyDescent="0.35">
      <c r="A26" s="1"/>
      <c r="B26" s="1"/>
      <c r="C26" s="2" t="s">
        <v>7</v>
      </c>
      <c r="D26" s="61"/>
      <c r="E26" s="61"/>
      <c r="F26" s="61"/>
      <c r="G26" s="61"/>
      <c r="H26" s="61"/>
      <c r="I26" s="61"/>
      <c r="J26" s="61"/>
      <c r="K26" s="61"/>
      <c r="L26" s="61"/>
      <c r="M26" s="61"/>
      <c r="N26" s="61"/>
      <c r="O26" s="61"/>
      <c r="P26" s="61"/>
      <c r="Q26" s="61"/>
      <c r="R26" s="61"/>
      <c r="S26" s="61"/>
      <c r="T26" s="61"/>
      <c r="U26" s="61"/>
      <c r="V26" s="61"/>
      <c r="W26" s="61"/>
      <c r="X26" s="61"/>
      <c r="Y26" s="61"/>
      <c r="Z26" s="61"/>
      <c r="AA26" s="61"/>
      <c r="AB26" s="61"/>
      <c r="AC26" s="61"/>
    </row>
    <row r="27" spans="1:29" x14ac:dyDescent="0.35">
      <c r="A27" s="1"/>
      <c r="B27" s="1"/>
      <c r="C27" s="2" t="s">
        <v>8</v>
      </c>
      <c r="D27" s="60"/>
      <c r="E27" s="61"/>
      <c r="F27" s="61"/>
      <c r="G27" s="61"/>
      <c r="H27" s="61"/>
      <c r="I27" s="61"/>
      <c r="J27" s="61"/>
      <c r="K27" s="61"/>
      <c r="L27" s="61"/>
      <c r="M27" s="61"/>
      <c r="N27" s="61"/>
      <c r="O27" s="61"/>
      <c r="P27" s="61"/>
      <c r="Q27" s="61"/>
      <c r="R27" s="61"/>
      <c r="S27" s="61"/>
      <c r="T27" s="61"/>
      <c r="U27" s="61"/>
      <c r="V27" s="61"/>
      <c r="W27" s="61"/>
      <c r="X27" s="61"/>
      <c r="Y27" s="61"/>
      <c r="Z27" s="61"/>
      <c r="AA27" s="61"/>
      <c r="AB27" s="61"/>
      <c r="AC27" s="61"/>
    </row>
    <row r="28" spans="1:29" x14ac:dyDescent="0.35">
      <c r="A28" s="1"/>
      <c r="B28" s="1"/>
      <c r="C28" s="2" t="s">
        <v>19</v>
      </c>
      <c r="D28" s="60"/>
      <c r="E28" s="61"/>
      <c r="F28" s="61"/>
      <c r="G28" s="61"/>
      <c r="H28" s="61"/>
      <c r="I28" s="61"/>
      <c r="J28" s="61"/>
      <c r="K28" s="61"/>
      <c r="L28" s="61"/>
      <c r="M28" s="61"/>
      <c r="N28" s="61"/>
      <c r="O28" s="61"/>
      <c r="P28" s="61"/>
      <c r="Q28" s="61"/>
      <c r="R28" s="61"/>
      <c r="S28" s="61"/>
      <c r="T28" s="61"/>
      <c r="U28" s="61"/>
      <c r="V28" s="61"/>
      <c r="W28" s="61"/>
      <c r="X28" s="61"/>
      <c r="Y28" s="61"/>
      <c r="Z28" s="61"/>
      <c r="AA28" s="61"/>
      <c r="AB28" s="61"/>
      <c r="AC28" s="61"/>
    </row>
    <row r="29" spans="1:29" x14ac:dyDescent="0.35">
      <c r="A29" s="1"/>
      <c r="B29" s="1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</row>
    <row r="30" spans="1:29" x14ac:dyDescent="0.35">
      <c r="A30" s="1"/>
      <c r="B30" s="1"/>
      <c r="C30" s="2" t="s">
        <v>47</v>
      </c>
      <c r="D30" s="4" t="b">
        <f>ROUND(LOOKUP($D$19,$6:$6,26:26),0)=0</f>
        <v>1</v>
      </c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</row>
    <row r="31" spans="1:29" x14ac:dyDescent="0.35">
      <c r="A31" s="1"/>
      <c r="B31" s="1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</row>
    <row r="32" spans="1:29" x14ac:dyDescent="0.35">
      <c r="A32" s="1"/>
      <c r="B32" s="1"/>
      <c r="C32" s="2" t="s">
        <v>9</v>
      </c>
      <c r="E32" s="61"/>
      <c r="F32" s="61"/>
      <c r="G32" s="61"/>
      <c r="H32" s="61"/>
      <c r="I32" s="61"/>
      <c r="J32" s="61"/>
      <c r="K32" s="61"/>
      <c r="L32" s="61"/>
      <c r="M32" s="61"/>
      <c r="N32" s="61"/>
      <c r="O32" s="61"/>
      <c r="P32" s="61"/>
      <c r="Q32" s="61"/>
      <c r="R32" s="61"/>
      <c r="S32" s="61"/>
      <c r="T32" s="61"/>
      <c r="U32" s="61"/>
      <c r="V32" s="61"/>
      <c r="W32" s="61"/>
      <c r="X32" s="61"/>
      <c r="Y32" s="61"/>
      <c r="Z32" s="61"/>
      <c r="AA32" s="61"/>
      <c r="AB32" s="61"/>
      <c r="AC32" s="61"/>
    </row>
    <row r="33" spans="1:29" x14ac:dyDescent="0.35">
      <c r="A33" s="1"/>
      <c r="B33" s="1"/>
      <c r="C33" s="2" t="s">
        <v>40</v>
      </c>
      <c r="E33" s="61"/>
      <c r="F33" s="61"/>
      <c r="G33" s="61"/>
      <c r="H33" s="61"/>
      <c r="I33" s="61"/>
      <c r="J33" s="61"/>
      <c r="K33" s="61"/>
      <c r="L33" s="61"/>
      <c r="M33" s="61"/>
      <c r="N33" s="61"/>
      <c r="O33" s="61"/>
      <c r="P33" s="61"/>
      <c r="Q33" s="61"/>
      <c r="R33" s="61"/>
      <c r="S33" s="61"/>
      <c r="T33" s="61"/>
      <c r="U33" s="61"/>
      <c r="V33" s="61"/>
      <c r="W33" s="61"/>
      <c r="X33" s="61"/>
      <c r="Y33" s="61"/>
      <c r="Z33" s="61"/>
      <c r="AA33" s="61"/>
      <c r="AB33" s="61"/>
      <c r="AC33" s="61"/>
    </row>
    <row r="34" spans="1:29" x14ac:dyDescent="0.35">
      <c r="A34" s="1"/>
      <c r="B34" s="1"/>
      <c r="C34" s="2" t="s">
        <v>10</v>
      </c>
      <c r="D34" s="6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3" name="Spinner 1">
              <controlPr defaultSize="0" autoPict="0">
                <anchor moveWithCells="1" sizeWithCells="1">
                  <from>
                    <xdr:col>4</xdr:col>
                    <xdr:colOff>38100</xdr:colOff>
                    <xdr:row>14</xdr:row>
                    <xdr:rowOff>0</xdr:rowOff>
                  </from>
                  <to>
                    <xdr:col>4</xdr:col>
                    <xdr:colOff>279400</xdr:colOff>
                    <xdr:row>15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XFD34"/>
  <sheetViews>
    <sheetView zoomScale="80" zoomScaleNormal="80" workbookViewId="0">
      <pane xSplit="3" ySplit="5" topLeftCell="D6" activePane="bottomRight" state="frozen"/>
      <selection pane="topRight" activeCell="D1" sqref="D1"/>
      <selection pane="bottomLeft" activeCell="A6" sqref="A6"/>
      <selection pane="bottomRight" activeCell="E10" sqref="E10"/>
    </sheetView>
  </sheetViews>
  <sheetFormatPr defaultColWidth="9.1796875" defaultRowHeight="14.5" x14ac:dyDescent="0.35"/>
  <cols>
    <col min="1" max="2" width="1.26953125" style="2" customWidth="1"/>
    <col min="3" max="3" width="38.81640625" style="2" customWidth="1"/>
    <col min="4" max="4" width="12.7265625" style="2" bestFit="1" customWidth="1"/>
    <col min="5" max="64" width="10.81640625" style="2" customWidth="1"/>
    <col min="65" max="16384" width="9.1796875" style="2"/>
  </cols>
  <sheetData>
    <row r="1" spans="1:16384" ht="26" x14ac:dyDescent="0.6">
      <c r="A1" s="1"/>
      <c r="B1" s="1"/>
      <c r="C1" s="48" t="s">
        <v>35</v>
      </c>
    </row>
    <row r="2" spans="1:16384" ht="26" x14ac:dyDescent="0.6">
      <c r="A2" s="1"/>
      <c r="B2" s="1"/>
      <c r="C2" s="48" t="s">
        <v>150</v>
      </c>
    </row>
    <row r="3" spans="1:16384" ht="26" x14ac:dyDescent="0.6">
      <c r="A3" s="1"/>
      <c r="B3" s="1"/>
      <c r="C3" s="48" t="s">
        <v>151</v>
      </c>
    </row>
    <row r="4" spans="1:16384" x14ac:dyDescent="0.35">
      <c r="A4"/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  <c r="AAB4"/>
      <c r="AAC4"/>
      <c r="AAD4"/>
      <c r="AAE4"/>
      <c r="AAF4"/>
      <c r="AAG4"/>
      <c r="AAH4"/>
      <c r="AAI4"/>
      <c r="AAJ4"/>
      <c r="AAK4"/>
      <c r="AAL4"/>
      <c r="AAM4"/>
      <c r="AAN4"/>
      <c r="AAO4"/>
      <c r="AAP4"/>
      <c r="AAQ4"/>
      <c r="AAR4"/>
      <c r="AAS4"/>
      <c r="AAT4"/>
      <c r="AAU4"/>
      <c r="AAV4"/>
      <c r="AAW4"/>
      <c r="AAX4"/>
      <c r="AAY4"/>
      <c r="AAZ4"/>
      <c r="ABA4"/>
      <c r="ABB4"/>
      <c r="ABC4"/>
      <c r="ABD4"/>
      <c r="ABE4"/>
      <c r="ABF4"/>
      <c r="ABG4"/>
      <c r="ABH4"/>
      <c r="ABI4"/>
      <c r="ABJ4"/>
      <c r="ABK4"/>
      <c r="ABL4"/>
      <c r="ABM4"/>
      <c r="ABN4"/>
      <c r="ABO4"/>
      <c r="ABP4"/>
      <c r="ABQ4"/>
      <c r="ABR4"/>
      <c r="ABS4"/>
      <c r="ABT4"/>
      <c r="ABU4"/>
      <c r="ABV4"/>
      <c r="ABW4"/>
      <c r="ABX4"/>
      <c r="ABY4"/>
      <c r="ABZ4"/>
      <c r="ACA4"/>
      <c r="ACB4"/>
      <c r="ACC4"/>
      <c r="ACD4"/>
      <c r="ACE4"/>
      <c r="ACF4"/>
      <c r="ACG4"/>
      <c r="ACH4"/>
      <c r="ACI4"/>
      <c r="ACJ4"/>
      <c r="ACK4"/>
      <c r="ACL4"/>
      <c r="ACM4"/>
      <c r="ACN4"/>
      <c r="ACO4"/>
      <c r="ACP4"/>
      <c r="ACQ4"/>
      <c r="ACR4"/>
      <c r="ACS4"/>
      <c r="ACT4"/>
      <c r="ACU4"/>
      <c r="ACV4"/>
      <c r="ACW4"/>
      <c r="ACX4"/>
      <c r="ACY4"/>
      <c r="ACZ4"/>
      <c r="ADA4"/>
      <c r="ADB4"/>
      <c r="ADC4"/>
      <c r="ADD4"/>
      <c r="ADE4"/>
      <c r="ADF4"/>
      <c r="ADG4"/>
      <c r="ADH4"/>
      <c r="ADI4"/>
      <c r="ADJ4"/>
      <c r="ADK4"/>
      <c r="ADL4"/>
      <c r="ADM4"/>
      <c r="ADN4"/>
      <c r="ADO4"/>
      <c r="ADP4"/>
      <c r="ADQ4"/>
      <c r="ADR4"/>
      <c r="ADS4"/>
      <c r="ADT4"/>
      <c r="ADU4"/>
      <c r="ADV4"/>
      <c r="ADW4"/>
      <c r="ADX4"/>
      <c r="ADY4"/>
      <c r="ADZ4"/>
      <c r="AEA4"/>
      <c r="AEB4"/>
      <c r="AEC4"/>
      <c r="AED4"/>
      <c r="AEE4"/>
      <c r="AEF4"/>
      <c r="AEG4"/>
      <c r="AEH4"/>
      <c r="AEI4"/>
      <c r="AEJ4"/>
      <c r="AEK4"/>
      <c r="AEL4"/>
      <c r="AEM4"/>
      <c r="AEN4"/>
      <c r="AEO4"/>
      <c r="AEP4"/>
      <c r="AEQ4"/>
      <c r="AER4"/>
      <c r="AES4"/>
      <c r="AET4"/>
      <c r="AEU4"/>
      <c r="AEV4"/>
      <c r="AEW4"/>
      <c r="AEX4"/>
      <c r="AEY4"/>
      <c r="AEZ4"/>
      <c r="AFA4"/>
      <c r="AFB4"/>
      <c r="AFC4"/>
      <c r="AFD4"/>
      <c r="AFE4"/>
      <c r="AFF4"/>
      <c r="AFG4"/>
      <c r="AFH4"/>
      <c r="AFI4"/>
      <c r="AFJ4"/>
      <c r="AFK4"/>
      <c r="AFL4"/>
      <c r="AFM4"/>
      <c r="AFN4"/>
      <c r="AFO4"/>
      <c r="AFP4"/>
      <c r="AFQ4"/>
      <c r="AFR4"/>
      <c r="AFS4"/>
      <c r="AFT4"/>
      <c r="AFU4"/>
      <c r="AFV4"/>
      <c r="AFW4"/>
      <c r="AFX4"/>
      <c r="AFY4"/>
      <c r="AFZ4"/>
      <c r="AGA4"/>
      <c r="AGB4"/>
      <c r="AGC4"/>
      <c r="AGD4"/>
      <c r="AGE4"/>
      <c r="AGF4"/>
      <c r="AGG4"/>
      <c r="AGH4"/>
      <c r="AGI4"/>
      <c r="AGJ4"/>
      <c r="AGK4"/>
      <c r="AGL4"/>
      <c r="AGM4"/>
      <c r="AGN4"/>
      <c r="AGO4"/>
      <c r="AGP4"/>
      <c r="AGQ4"/>
      <c r="AGR4"/>
      <c r="AGS4"/>
      <c r="AGT4"/>
      <c r="AGU4"/>
      <c r="AGV4"/>
      <c r="AGW4"/>
      <c r="AGX4"/>
      <c r="AGY4"/>
      <c r="AGZ4"/>
      <c r="AHA4"/>
      <c r="AHB4"/>
      <c r="AHC4"/>
      <c r="AHD4"/>
      <c r="AHE4"/>
      <c r="AHF4"/>
      <c r="AHG4"/>
      <c r="AHH4"/>
      <c r="AHI4"/>
      <c r="AHJ4"/>
      <c r="AHK4"/>
      <c r="AHL4"/>
      <c r="AHM4"/>
      <c r="AHN4"/>
      <c r="AHO4"/>
      <c r="AHP4"/>
      <c r="AHQ4"/>
      <c r="AHR4"/>
      <c r="AHS4"/>
      <c r="AHT4"/>
      <c r="AHU4"/>
      <c r="AHV4"/>
      <c r="AHW4"/>
      <c r="AHX4"/>
      <c r="AHY4"/>
      <c r="AHZ4"/>
      <c r="AIA4"/>
      <c r="AIB4"/>
      <c r="AIC4"/>
      <c r="AID4"/>
      <c r="AIE4"/>
      <c r="AIF4"/>
      <c r="AIG4"/>
      <c r="AIH4"/>
      <c r="AII4"/>
      <c r="AIJ4"/>
      <c r="AIK4"/>
      <c r="AIL4"/>
      <c r="AIM4"/>
      <c r="AIN4"/>
      <c r="AIO4"/>
      <c r="AIP4"/>
      <c r="AIQ4"/>
      <c r="AIR4"/>
      <c r="AIS4"/>
      <c r="AIT4"/>
      <c r="AIU4"/>
      <c r="AIV4"/>
      <c r="AIW4"/>
      <c r="AIX4"/>
      <c r="AIY4"/>
      <c r="AIZ4"/>
      <c r="AJA4"/>
      <c r="AJB4"/>
      <c r="AJC4"/>
      <c r="AJD4"/>
      <c r="AJE4"/>
      <c r="AJF4"/>
      <c r="AJG4"/>
      <c r="AJH4"/>
      <c r="AJI4"/>
      <c r="AJJ4"/>
      <c r="AJK4"/>
      <c r="AJL4"/>
      <c r="AJM4"/>
      <c r="AJN4"/>
      <c r="AJO4"/>
      <c r="AJP4"/>
      <c r="AJQ4"/>
      <c r="AJR4"/>
      <c r="AJS4"/>
      <c r="AJT4"/>
      <c r="AJU4"/>
      <c r="AJV4"/>
      <c r="AJW4"/>
      <c r="AJX4"/>
      <c r="AJY4"/>
      <c r="AJZ4"/>
      <c r="AKA4"/>
      <c r="AKB4"/>
      <c r="AKC4"/>
      <c r="AKD4"/>
      <c r="AKE4"/>
      <c r="AKF4"/>
      <c r="AKG4"/>
      <c r="AKH4"/>
      <c r="AKI4"/>
      <c r="AKJ4"/>
      <c r="AKK4"/>
      <c r="AKL4"/>
      <c r="AKM4"/>
      <c r="AKN4"/>
      <c r="AKO4"/>
      <c r="AKP4"/>
      <c r="AKQ4"/>
      <c r="AKR4"/>
      <c r="AKS4"/>
      <c r="AKT4"/>
      <c r="AKU4"/>
      <c r="AKV4"/>
      <c r="AKW4"/>
      <c r="AKX4"/>
      <c r="AKY4"/>
      <c r="AKZ4"/>
      <c r="ALA4"/>
      <c r="ALB4"/>
      <c r="ALC4"/>
      <c r="ALD4"/>
      <c r="ALE4"/>
      <c r="ALF4"/>
      <c r="ALG4"/>
      <c r="ALH4"/>
      <c r="ALI4"/>
      <c r="ALJ4"/>
      <c r="ALK4"/>
      <c r="ALL4"/>
      <c r="ALM4"/>
      <c r="ALN4"/>
      <c r="ALO4"/>
      <c r="ALP4"/>
      <c r="ALQ4"/>
      <c r="ALR4"/>
      <c r="ALS4"/>
      <c r="ALT4"/>
      <c r="ALU4"/>
      <c r="ALV4"/>
      <c r="ALW4"/>
      <c r="ALX4"/>
      <c r="ALY4"/>
      <c r="ALZ4"/>
      <c r="AMA4"/>
      <c r="AMB4"/>
      <c r="AMC4"/>
      <c r="AMD4"/>
      <c r="AME4"/>
      <c r="AMF4"/>
      <c r="AMG4"/>
      <c r="AMH4"/>
      <c r="AMI4"/>
      <c r="AMJ4"/>
      <c r="AMK4"/>
      <c r="AML4"/>
      <c r="AMM4"/>
      <c r="AMN4"/>
      <c r="AMO4"/>
      <c r="AMP4"/>
      <c r="AMQ4"/>
      <c r="AMR4"/>
      <c r="AMS4"/>
      <c r="AMT4"/>
      <c r="AMU4"/>
      <c r="AMV4"/>
      <c r="AMW4"/>
      <c r="AMX4"/>
      <c r="AMY4"/>
      <c r="AMZ4"/>
      <c r="ANA4"/>
      <c r="ANB4"/>
      <c r="ANC4"/>
      <c r="AND4"/>
      <c r="ANE4"/>
      <c r="ANF4"/>
      <c r="ANG4"/>
      <c r="ANH4"/>
      <c r="ANI4"/>
      <c r="ANJ4"/>
      <c r="ANK4"/>
      <c r="ANL4"/>
      <c r="ANM4"/>
      <c r="ANN4"/>
      <c r="ANO4"/>
      <c r="ANP4"/>
      <c r="ANQ4"/>
      <c r="ANR4"/>
      <c r="ANS4"/>
      <c r="ANT4"/>
      <c r="ANU4"/>
      <c r="ANV4"/>
      <c r="ANW4"/>
      <c r="ANX4"/>
      <c r="ANY4"/>
      <c r="ANZ4"/>
      <c r="AOA4"/>
      <c r="AOB4"/>
      <c r="AOC4"/>
      <c r="AOD4"/>
      <c r="AOE4"/>
      <c r="AOF4"/>
      <c r="AOG4"/>
      <c r="AOH4"/>
      <c r="AOI4"/>
      <c r="AOJ4"/>
      <c r="AOK4"/>
      <c r="AOL4"/>
      <c r="AOM4"/>
      <c r="AON4"/>
      <c r="AOO4"/>
      <c r="AOP4"/>
      <c r="AOQ4"/>
      <c r="AOR4"/>
      <c r="AOS4"/>
      <c r="AOT4"/>
      <c r="AOU4"/>
      <c r="AOV4"/>
      <c r="AOW4"/>
      <c r="AOX4"/>
      <c r="AOY4"/>
      <c r="AOZ4"/>
      <c r="APA4"/>
      <c r="APB4"/>
      <c r="APC4"/>
      <c r="APD4"/>
      <c r="APE4"/>
      <c r="APF4"/>
      <c r="APG4"/>
      <c r="APH4"/>
      <c r="API4"/>
      <c r="APJ4"/>
      <c r="APK4"/>
      <c r="APL4"/>
      <c r="APM4"/>
      <c r="APN4"/>
      <c r="APO4"/>
      <c r="APP4"/>
      <c r="APQ4"/>
      <c r="APR4"/>
      <c r="APS4"/>
      <c r="APT4"/>
      <c r="APU4"/>
      <c r="APV4"/>
      <c r="APW4"/>
      <c r="APX4"/>
      <c r="APY4"/>
      <c r="APZ4"/>
      <c r="AQA4"/>
      <c r="AQB4"/>
      <c r="AQC4"/>
      <c r="AQD4"/>
      <c r="AQE4"/>
      <c r="AQF4"/>
      <c r="AQG4"/>
      <c r="AQH4"/>
      <c r="AQI4"/>
      <c r="AQJ4"/>
      <c r="AQK4"/>
      <c r="AQL4"/>
      <c r="AQM4"/>
      <c r="AQN4"/>
      <c r="AQO4"/>
      <c r="AQP4"/>
      <c r="AQQ4"/>
      <c r="AQR4"/>
      <c r="AQS4"/>
      <c r="AQT4"/>
      <c r="AQU4"/>
      <c r="AQV4"/>
      <c r="AQW4"/>
      <c r="AQX4"/>
      <c r="AQY4"/>
      <c r="AQZ4"/>
      <c r="ARA4"/>
      <c r="ARB4"/>
      <c r="ARC4"/>
      <c r="ARD4"/>
      <c r="ARE4"/>
      <c r="ARF4"/>
      <c r="ARG4"/>
      <c r="ARH4"/>
      <c r="ARI4"/>
      <c r="ARJ4"/>
      <c r="ARK4"/>
      <c r="ARL4"/>
      <c r="ARM4"/>
      <c r="ARN4"/>
      <c r="ARO4"/>
      <c r="ARP4"/>
      <c r="ARQ4"/>
      <c r="ARR4"/>
      <c r="ARS4"/>
      <c r="ART4"/>
      <c r="ARU4"/>
      <c r="ARV4"/>
      <c r="ARW4"/>
      <c r="ARX4"/>
      <c r="ARY4"/>
      <c r="ARZ4"/>
      <c r="ASA4"/>
      <c r="ASB4"/>
      <c r="ASC4"/>
      <c r="ASD4"/>
      <c r="ASE4"/>
      <c r="ASF4"/>
      <c r="ASG4"/>
      <c r="ASH4"/>
      <c r="ASI4"/>
      <c r="ASJ4"/>
      <c r="ASK4"/>
      <c r="ASL4"/>
      <c r="ASM4"/>
      <c r="ASN4"/>
      <c r="ASO4"/>
      <c r="ASP4"/>
      <c r="ASQ4"/>
      <c r="ASR4"/>
      <c r="ASS4"/>
      <c r="AST4"/>
      <c r="ASU4"/>
      <c r="ASV4"/>
      <c r="ASW4"/>
      <c r="ASX4"/>
      <c r="ASY4"/>
      <c r="ASZ4"/>
      <c r="ATA4"/>
      <c r="ATB4"/>
      <c r="ATC4"/>
      <c r="ATD4"/>
      <c r="ATE4"/>
      <c r="ATF4"/>
      <c r="ATG4"/>
      <c r="ATH4"/>
      <c r="ATI4"/>
      <c r="ATJ4"/>
      <c r="ATK4"/>
      <c r="ATL4"/>
      <c r="ATM4"/>
      <c r="ATN4"/>
      <c r="ATO4"/>
      <c r="ATP4"/>
      <c r="ATQ4"/>
      <c r="ATR4"/>
      <c r="ATS4"/>
      <c r="ATT4"/>
      <c r="ATU4"/>
      <c r="ATV4"/>
      <c r="ATW4"/>
      <c r="ATX4"/>
      <c r="ATY4"/>
      <c r="ATZ4"/>
      <c r="AUA4"/>
      <c r="AUB4"/>
      <c r="AUC4"/>
      <c r="AUD4"/>
      <c r="AUE4"/>
      <c r="AUF4"/>
      <c r="AUG4"/>
      <c r="AUH4"/>
      <c r="AUI4"/>
      <c r="AUJ4"/>
      <c r="AUK4"/>
      <c r="AUL4"/>
      <c r="AUM4"/>
      <c r="AUN4"/>
      <c r="AUO4"/>
      <c r="AUP4"/>
      <c r="AUQ4"/>
      <c r="AUR4"/>
      <c r="AUS4"/>
      <c r="AUT4"/>
      <c r="AUU4"/>
      <c r="AUV4"/>
      <c r="AUW4"/>
      <c r="AUX4"/>
      <c r="AUY4"/>
      <c r="AUZ4"/>
      <c r="AVA4"/>
      <c r="AVB4"/>
      <c r="AVC4"/>
      <c r="AVD4"/>
      <c r="AVE4"/>
      <c r="AVF4"/>
      <c r="AVG4"/>
      <c r="AVH4"/>
      <c r="AVI4"/>
      <c r="AVJ4"/>
      <c r="AVK4"/>
      <c r="AVL4"/>
      <c r="AVM4"/>
      <c r="AVN4"/>
      <c r="AVO4"/>
      <c r="AVP4"/>
      <c r="AVQ4"/>
      <c r="AVR4"/>
      <c r="AVS4"/>
      <c r="AVT4"/>
      <c r="AVU4"/>
      <c r="AVV4"/>
      <c r="AVW4"/>
      <c r="AVX4"/>
      <c r="AVY4"/>
      <c r="AVZ4"/>
      <c r="AWA4"/>
      <c r="AWB4"/>
      <c r="AWC4"/>
      <c r="AWD4"/>
      <c r="AWE4"/>
      <c r="AWF4"/>
      <c r="AWG4"/>
      <c r="AWH4"/>
      <c r="AWI4"/>
      <c r="AWJ4"/>
      <c r="AWK4"/>
      <c r="AWL4"/>
      <c r="AWM4"/>
      <c r="AWN4"/>
      <c r="AWO4"/>
      <c r="AWP4"/>
      <c r="AWQ4"/>
      <c r="AWR4"/>
      <c r="AWS4"/>
      <c r="AWT4"/>
      <c r="AWU4"/>
      <c r="AWV4"/>
      <c r="AWW4"/>
      <c r="AWX4"/>
      <c r="AWY4"/>
      <c r="AWZ4"/>
      <c r="AXA4"/>
      <c r="AXB4"/>
      <c r="AXC4"/>
      <c r="AXD4"/>
      <c r="AXE4"/>
      <c r="AXF4"/>
      <c r="AXG4"/>
      <c r="AXH4"/>
      <c r="AXI4"/>
      <c r="AXJ4"/>
      <c r="AXK4"/>
      <c r="AXL4"/>
      <c r="AXM4"/>
      <c r="AXN4"/>
      <c r="AXO4"/>
      <c r="AXP4"/>
      <c r="AXQ4"/>
      <c r="AXR4"/>
      <c r="AXS4"/>
      <c r="AXT4"/>
      <c r="AXU4"/>
      <c r="AXV4"/>
      <c r="AXW4"/>
      <c r="AXX4"/>
      <c r="AXY4"/>
      <c r="AXZ4"/>
      <c r="AYA4"/>
      <c r="AYB4"/>
      <c r="AYC4"/>
      <c r="AYD4"/>
      <c r="AYE4"/>
      <c r="AYF4"/>
      <c r="AYG4"/>
      <c r="AYH4"/>
      <c r="AYI4"/>
      <c r="AYJ4"/>
      <c r="AYK4"/>
      <c r="AYL4"/>
      <c r="AYM4"/>
      <c r="AYN4"/>
      <c r="AYO4"/>
      <c r="AYP4"/>
      <c r="AYQ4"/>
      <c r="AYR4"/>
      <c r="AYS4"/>
      <c r="AYT4"/>
      <c r="AYU4"/>
      <c r="AYV4"/>
      <c r="AYW4"/>
      <c r="AYX4"/>
      <c r="AYY4"/>
      <c r="AYZ4"/>
      <c r="AZA4"/>
      <c r="AZB4"/>
      <c r="AZC4"/>
      <c r="AZD4"/>
      <c r="AZE4"/>
      <c r="AZF4"/>
      <c r="AZG4"/>
      <c r="AZH4"/>
      <c r="AZI4"/>
      <c r="AZJ4"/>
      <c r="AZK4"/>
      <c r="AZL4"/>
      <c r="AZM4"/>
      <c r="AZN4"/>
      <c r="AZO4"/>
      <c r="AZP4"/>
      <c r="AZQ4"/>
      <c r="AZR4"/>
      <c r="AZS4"/>
      <c r="AZT4"/>
      <c r="AZU4"/>
      <c r="AZV4"/>
      <c r="AZW4"/>
      <c r="AZX4"/>
      <c r="AZY4"/>
      <c r="AZZ4"/>
      <c r="BAA4"/>
      <c r="BAB4"/>
      <c r="BAC4"/>
      <c r="BAD4"/>
      <c r="BAE4"/>
      <c r="BAF4"/>
      <c r="BAG4"/>
      <c r="BAH4"/>
      <c r="BAI4"/>
      <c r="BAJ4"/>
      <c r="BAK4"/>
      <c r="BAL4"/>
      <c r="BAM4"/>
      <c r="BAN4"/>
      <c r="BAO4"/>
      <c r="BAP4"/>
      <c r="BAQ4"/>
      <c r="BAR4"/>
      <c r="BAS4"/>
      <c r="BAT4"/>
      <c r="BAU4"/>
      <c r="BAV4"/>
      <c r="BAW4"/>
      <c r="BAX4"/>
      <c r="BAY4"/>
      <c r="BAZ4"/>
      <c r="BBA4"/>
      <c r="BBB4"/>
      <c r="BBC4"/>
      <c r="BBD4"/>
      <c r="BBE4"/>
      <c r="BBF4"/>
      <c r="BBG4"/>
      <c r="BBH4"/>
      <c r="BBI4"/>
      <c r="BBJ4"/>
      <c r="BBK4"/>
      <c r="BBL4"/>
      <c r="BBM4"/>
      <c r="BBN4"/>
      <c r="BBO4"/>
      <c r="BBP4"/>
      <c r="BBQ4"/>
      <c r="BBR4"/>
      <c r="BBS4"/>
      <c r="BBT4"/>
      <c r="BBU4"/>
      <c r="BBV4"/>
      <c r="BBW4"/>
      <c r="BBX4"/>
      <c r="BBY4"/>
      <c r="BBZ4"/>
      <c r="BCA4"/>
      <c r="BCB4"/>
      <c r="BCC4"/>
      <c r="BCD4"/>
      <c r="BCE4"/>
      <c r="BCF4"/>
      <c r="BCG4"/>
      <c r="BCH4"/>
      <c r="BCI4"/>
      <c r="BCJ4"/>
      <c r="BCK4"/>
      <c r="BCL4"/>
      <c r="BCM4"/>
      <c r="BCN4"/>
      <c r="BCO4"/>
      <c r="BCP4"/>
      <c r="BCQ4"/>
      <c r="BCR4"/>
      <c r="BCS4"/>
      <c r="BCT4"/>
      <c r="BCU4"/>
      <c r="BCV4"/>
      <c r="BCW4"/>
      <c r="BCX4"/>
      <c r="BCY4"/>
      <c r="BCZ4"/>
      <c r="BDA4"/>
      <c r="BDB4"/>
      <c r="BDC4"/>
      <c r="BDD4"/>
      <c r="BDE4"/>
      <c r="BDF4"/>
      <c r="BDG4"/>
      <c r="BDH4"/>
      <c r="BDI4"/>
      <c r="BDJ4"/>
      <c r="BDK4"/>
      <c r="BDL4"/>
      <c r="BDM4"/>
      <c r="BDN4"/>
      <c r="BDO4"/>
      <c r="BDP4"/>
      <c r="BDQ4"/>
      <c r="BDR4"/>
      <c r="BDS4"/>
      <c r="BDT4"/>
      <c r="BDU4"/>
      <c r="BDV4"/>
      <c r="BDW4"/>
      <c r="BDX4"/>
      <c r="BDY4"/>
      <c r="BDZ4"/>
      <c r="BEA4"/>
      <c r="BEB4"/>
      <c r="BEC4"/>
      <c r="BED4"/>
      <c r="BEE4"/>
      <c r="BEF4"/>
      <c r="BEG4"/>
      <c r="BEH4"/>
      <c r="BEI4"/>
      <c r="BEJ4"/>
      <c r="BEK4"/>
      <c r="BEL4"/>
      <c r="BEM4"/>
      <c r="BEN4"/>
      <c r="BEO4"/>
      <c r="BEP4"/>
      <c r="BEQ4"/>
      <c r="BER4"/>
      <c r="BES4"/>
      <c r="BET4"/>
      <c r="BEU4"/>
      <c r="BEV4"/>
      <c r="BEW4"/>
      <c r="BEX4"/>
      <c r="BEY4"/>
      <c r="BEZ4"/>
      <c r="BFA4"/>
      <c r="BFB4"/>
      <c r="BFC4"/>
      <c r="BFD4"/>
      <c r="BFE4"/>
      <c r="BFF4"/>
      <c r="BFG4"/>
      <c r="BFH4"/>
      <c r="BFI4"/>
      <c r="BFJ4"/>
      <c r="BFK4"/>
      <c r="BFL4"/>
      <c r="BFM4"/>
      <c r="BFN4"/>
      <c r="BFO4"/>
      <c r="BFP4"/>
      <c r="BFQ4"/>
      <c r="BFR4"/>
      <c r="BFS4"/>
      <c r="BFT4"/>
      <c r="BFU4"/>
      <c r="BFV4"/>
      <c r="BFW4"/>
      <c r="BFX4"/>
      <c r="BFY4"/>
      <c r="BFZ4"/>
      <c r="BGA4"/>
      <c r="BGB4"/>
      <c r="BGC4"/>
      <c r="BGD4"/>
      <c r="BGE4"/>
      <c r="BGF4"/>
      <c r="BGG4"/>
      <c r="BGH4"/>
      <c r="BGI4"/>
      <c r="BGJ4"/>
      <c r="BGK4"/>
      <c r="BGL4"/>
      <c r="BGM4"/>
      <c r="BGN4"/>
      <c r="BGO4"/>
      <c r="BGP4"/>
      <c r="BGQ4"/>
      <c r="BGR4"/>
      <c r="BGS4"/>
      <c r="BGT4"/>
      <c r="BGU4"/>
      <c r="BGV4"/>
      <c r="BGW4"/>
      <c r="BGX4"/>
      <c r="BGY4"/>
      <c r="BGZ4"/>
      <c r="BHA4"/>
      <c r="BHB4"/>
      <c r="BHC4"/>
      <c r="BHD4"/>
      <c r="BHE4"/>
      <c r="BHF4"/>
      <c r="BHG4"/>
      <c r="BHH4"/>
      <c r="BHI4"/>
      <c r="BHJ4"/>
      <c r="BHK4"/>
      <c r="BHL4"/>
      <c r="BHM4"/>
      <c r="BHN4"/>
      <c r="BHO4"/>
      <c r="BHP4"/>
      <c r="BHQ4"/>
      <c r="BHR4"/>
      <c r="BHS4"/>
      <c r="BHT4"/>
      <c r="BHU4"/>
      <c r="BHV4"/>
      <c r="BHW4"/>
      <c r="BHX4"/>
      <c r="BHY4"/>
      <c r="BHZ4"/>
      <c r="BIA4"/>
      <c r="BIB4"/>
      <c r="BIC4"/>
      <c r="BID4"/>
      <c r="BIE4"/>
      <c r="BIF4"/>
      <c r="BIG4"/>
      <c r="BIH4"/>
      <c r="BII4"/>
      <c r="BIJ4"/>
      <c r="BIK4"/>
      <c r="BIL4"/>
      <c r="BIM4"/>
      <c r="BIN4"/>
      <c r="BIO4"/>
      <c r="BIP4"/>
      <c r="BIQ4"/>
      <c r="BIR4"/>
      <c r="BIS4"/>
      <c r="BIT4"/>
      <c r="BIU4"/>
      <c r="BIV4"/>
      <c r="BIW4"/>
      <c r="BIX4"/>
      <c r="BIY4"/>
      <c r="BIZ4"/>
      <c r="BJA4"/>
      <c r="BJB4"/>
      <c r="BJC4"/>
      <c r="BJD4"/>
      <c r="BJE4"/>
      <c r="BJF4"/>
      <c r="BJG4"/>
      <c r="BJH4"/>
      <c r="BJI4"/>
      <c r="BJJ4"/>
      <c r="BJK4"/>
      <c r="BJL4"/>
      <c r="BJM4"/>
      <c r="BJN4"/>
      <c r="BJO4"/>
      <c r="BJP4"/>
      <c r="BJQ4"/>
      <c r="BJR4"/>
      <c r="BJS4"/>
      <c r="BJT4"/>
      <c r="BJU4"/>
      <c r="BJV4"/>
      <c r="BJW4"/>
      <c r="BJX4"/>
      <c r="BJY4"/>
      <c r="BJZ4"/>
      <c r="BKA4"/>
      <c r="BKB4"/>
      <c r="BKC4"/>
      <c r="BKD4"/>
      <c r="BKE4"/>
      <c r="BKF4"/>
      <c r="BKG4"/>
      <c r="BKH4"/>
      <c r="BKI4"/>
      <c r="BKJ4"/>
      <c r="BKK4"/>
      <c r="BKL4"/>
      <c r="BKM4"/>
      <c r="BKN4"/>
      <c r="BKO4"/>
      <c r="BKP4"/>
      <c r="BKQ4"/>
      <c r="BKR4"/>
      <c r="BKS4"/>
      <c r="BKT4"/>
      <c r="BKU4"/>
      <c r="BKV4"/>
      <c r="BKW4"/>
      <c r="BKX4"/>
      <c r="BKY4"/>
      <c r="BKZ4"/>
      <c r="BLA4"/>
      <c r="BLB4"/>
      <c r="BLC4"/>
      <c r="BLD4"/>
      <c r="BLE4"/>
      <c r="BLF4"/>
      <c r="BLG4"/>
      <c r="BLH4"/>
      <c r="BLI4"/>
      <c r="BLJ4"/>
      <c r="BLK4"/>
      <c r="BLL4"/>
      <c r="BLM4"/>
      <c r="BLN4"/>
      <c r="BLO4"/>
      <c r="BLP4"/>
      <c r="BLQ4"/>
      <c r="BLR4"/>
      <c r="BLS4"/>
      <c r="BLT4"/>
      <c r="BLU4"/>
      <c r="BLV4"/>
      <c r="BLW4"/>
      <c r="BLX4"/>
      <c r="BLY4"/>
      <c r="BLZ4"/>
      <c r="BMA4"/>
      <c r="BMB4"/>
      <c r="BMC4"/>
      <c r="BMD4"/>
      <c r="BME4"/>
      <c r="BMF4"/>
      <c r="BMG4"/>
      <c r="BMH4"/>
      <c r="BMI4"/>
      <c r="BMJ4"/>
      <c r="BMK4"/>
      <c r="BML4"/>
      <c r="BMM4"/>
      <c r="BMN4"/>
      <c r="BMO4"/>
      <c r="BMP4"/>
      <c r="BMQ4"/>
      <c r="BMR4"/>
      <c r="BMS4"/>
      <c r="BMT4"/>
      <c r="BMU4"/>
      <c r="BMV4"/>
      <c r="BMW4"/>
      <c r="BMX4"/>
      <c r="BMY4"/>
      <c r="BMZ4"/>
      <c r="BNA4"/>
      <c r="BNB4"/>
      <c r="BNC4"/>
      <c r="BND4"/>
      <c r="BNE4"/>
      <c r="BNF4"/>
      <c r="BNG4"/>
      <c r="BNH4"/>
      <c r="BNI4"/>
      <c r="BNJ4"/>
      <c r="BNK4"/>
      <c r="BNL4"/>
      <c r="BNM4"/>
      <c r="BNN4"/>
      <c r="BNO4"/>
      <c r="BNP4"/>
      <c r="BNQ4"/>
      <c r="BNR4"/>
      <c r="BNS4"/>
      <c r="BNT4"/>
      <c r="BNU4"/>
      <c r="BNV4"/>
      <c r="BNW4"/>
      <c r="BNX4"/>
      <c r="BNY4"/>
      <c r="BNZ4"/>
      <c r="BOA4"/>
      <c r="BOB4"/>
      <c r="BOC4"/>
      <c r="BOD4"/>
      <c r="BOE4"/>
      <c r="BOF4"/>
      <c r="BOG4"/>
      <c r="BOH4"/>
      <c r="BOI4"/>
      <c r="BOJ4"/>
      <c r="BOK4"/>
      <c r="BOL4"/>
      <c r="BOM4"/>
      <c r="BON4"/>
      <c r="BOO4"/>
      <c r="BOP4"/>
      <c r="BOQ4"/>
      <c r="BOR4"/>
      <c r="BOS4"/>
      <c r="BOT4"/>
      <c r="BOU4"/>
      <c r="BOV4"/>
      <c r="BOW4"/>
      <c r="BOX4"/>
      <c r="BOY4"/>
      <c r="BOZ4"/>
      <c r="BPA4"/>
      <c r="BPB4"/>
      <c r="BPC4"/>
      <c r="BPD4"/>
      <c r="BPE4"/>
      <c r="BPF4"/>
      <c r="BPG4"/>
      <c r="BPH4"/>
      <c r="BPI4"/>
      <c r="BPJ4"/>
      <c r="BPK4"/>
      <c r="BPL4"/>
      <c r="BPM4"/>
      <c r="BPN4"/>
      <c r="BPO4"/>
      <c r="BPP4"/>
      <c r="BPQ4"/>
      <c r="BPR4"/>
      <c r="BPS4"/>
      <c r="BPT4"/>
      <c r="BPU4"/>
      <c r="BPV4"/>
      <c r="BPW4"/>
      <c r="BPX4"/>
      <c r="BPY4"/>
      <c r="BPZ4"/>
      <c r="BQA4"/>
      <c r="BQB4"/>
      <c r="BQC4"/>
      <c r="BQD4"/>
      <c r="BQE4"/>
      <c r="BQF4"/>
      <c r="BQG4"/>
      <c r="BQH4"/>
      <c r="BQI4"/>
      <c r="BQJ4"/>
      <c r="BQK4"/>
      <c r="BQL4"/>
      <c r="BQM4"/>
      <c r="BQN4"/>
      <c r="BQO4"/>
      <c r="BQP4"/>
      <c r="BQQ4"/>
      <c r="BQR4"/>
      <c r="BQS4"/>
      <c r="BQT4"/>
      <c r="BQU4"/>
      <c r="BQV4"/>
      <c r="BQW4"/>
      <c r="BQX4"/>
      <c r="BQY4"/>
      <c r="BQZ4"/>
      <c r="BRA4"/>
      <c r="BRB4"/>
      <c r="BRC4"/>
      <c r="BRD4"/>
      <c r="BRE4"/>
      <c r="BRF4"/>
      <c r="BRG4"/>
      <c r="BRH4"/>
      <c r="BRI4"/>
      <c r="BRJ4"/>
      <c r="BRK4"/>
      <c r="BRL4"/>
      <c r="BRM4"/>
      <c r="BRN4"/>
      <c r="BRO4"/>
      <c r="BRP4"/>
      <c r="BRQ4"/>
      <c r="BRR4"/>
      <c r="BRS4"/>
      <c r="BRT4"/>
      <c r="BRU4"/>
      <c r="BRV4"/>
      <c r="BRW4"/>
      <c r="BRX4"/>
      <c r="BRY4"/>
      <c r="BRZ4"/>
      <c r="BSA4"/>
      <c r="BSB4"/>
      <c r="BSC4"/>
      <c r="BSD4"/>
      <c r="BSE4"/>
      <c r="BSF4"/>
      <c r="BSG4"/>
      <c r="BSH4"/>
      <c r="BSI4"/>
      <c r="BSJ4"/>
      <c r="BSK4"/>
      <c r="BSL4"/>
      <c r="BSM4"/>
      <c r="BSN4"/>
      <c r="BSO4"/>
      <c r="BSP4"/>
      <c r="BSQ4"/>
      <c r="BSR4"/>
      <c r="BSS4"/>
      <c r="BST4"/>
      <c r="BSU4"/>
      <c r="BSV4"/>
      <c r="BSW4"/>
      <c r="BSX4"/>
      <c r="BSY4"/>
      <c r="BSZ4"/>
      <c r="BTA4"/>
      <c r="BTB4"/>
      <c r="BTC4"/>
      <c r="BTD4"/>
      <c r="BTE4"/>
      <c r="BTF4"/>
      <c r="BTG4"/>
      <c r="BTH4"/>
      <c r="BTI4"/>
      <c r="BTJ4"/>
      <c r="BTK4"/>
      <c r="BTL4"/>
      <c r="BTM4"/>
      <c r="BTN4"/>
      <c r="BTO4"/>
      <c r="BTP4"/>
      <c r="BTQ4"/>
      <c r="BTR4"/>
      <c r="BTS4"/>
      <c r="BTT4"/>
      <c r="BTU4"/>
      <c r="BTV4"/>
      <c r="BTW4"/>
      <c r="BTX4"/>
      <c r="BTY4"/>
      <c r="BTZ4"/>
      <c r="BUA4"/>
      <c r="BUB4"/>
      <c r="BUC4"/>
      <c r="BUD4"/>
      <c r="BUE4"/>
      <c r="BUF4"/>
      <c r="BUG4"/>
      <c r="BUH4"/>
      <c r="BUI4"/>
      <c r="BUJ4"/>
      <c r="BUK4"/>
      <c r="BUL4"/>
      <c r="BUM4"/>
      <c r="BUN4"/>
      <c r="BUO4"/>
      <c r="BUP4"/>
      <c r="BUQ4"/>
      <c r="BUR4"/>
      <c r="BUS4"/>
      <c r="BUT4"/>
      <c r="BUU4"/>
      <c r="BUV4"/>
      <c r="BUW4"/>
      <c r="BUX4"/>
      <c r="BUY4"/>
      <c r="BUZ4"/>
      <c r="BVA4"/>
      <c r="BVB4"/>
      <c r="BVC4"/>
      <c r="BVD4"/>
      <c r="BVE4"/>
      <c r="BVF4"/>
      <c r="BVG4"/>
      <c r="BVH4"/>
      <c r="BVI4"/>
      <c r="BVJ4"/>
      <c r="BVK4"/>
      <c r="BVL4"/>
      <c r="BVM4"/>
      <c r="BVN4"/>
      <c r="BVO4"/>
      <c r="BVP4"/>
      <c r="BVQ4"/>
      <c r="BVR4"/>
      <c r="BVS4"/>
      <c r="BVT4"/>
      <c r="BVU4"/>
      <c r="BVV4"/>
      <c r="BVW4"/>
      <c r="BVX4"/>
      <c r="BVY4"/>
      <c r="BVZ4"/>
      <c r="BWA4"/>
      <c r="BWB4"/>
      <c r="BWC4"/>
      <c r="BWD4"/>
      <c r="BWE4"/>
      <c r="BWF4"/>
      <c r="BWG4"/>
      <c r="BWH4"/>
      <c r="BWI4"/>
      <c r="BWJ4"/>
      <c r="BWK4"/>
      <c r="BWL4"/>
      <c r="BWM4"/>
      <c r="BWN4"/>
      <c r="BWO4"/>
      <c r="BWP4"/>
      <c r="BWQ4"/>
      <c r="BWR4"/>
      <c r="BWS4"/>
      <c r="BWT4"/>
      <c r="BWU4"/>
      <c r="BWV4"/>
      <c r="BWW4"/>
      <c r="BWX4"/>
      <c r="BWY4"/>
      <c r="BWZ4"/>
      <c r="BXA4"/>
      <c r="BXB4"/>
      <c r="BXC4"/>
      <c r="BXD4"/>
      <c r="BXE4"/>
      <c r="BXF4"/>
      <c r="BXG4"/>
      <c r="BXH4"/>
      <c r="BXI4"/>
      <c r="BXJ4"/>
      <c r="BXK4"/>
      <c r="BXL4"/>
      <c r="BXM4"/>
      <c r="BXN4"/>
      <c r="BXO4"/>
      <c r="BXP4"/>
      <c r="BXQ4"/>
      <c r="BXR4"/>
      <c r="BXS4"/>
      <c r="BXT4"/>
      <c r="BXU4"/>
      <c r="BXV4"/>
      <c r="BXW4"/>
      <c r="BXX4"/>
      <c r="BXY4"/>
      <c r="BXZ4"/>
      <c r="BYA4"/>
      <c r="BYB4"/>
      <c r="BYC4"/>
      <c r="BYD4"/>
      <c r="BYE4"/>
      <c r="BYF4"/>
      <c r="BYG4"/>
      <c r="BYH4"/>
      <c r="BYI4"/>
      <c r="BYJ4"/>
      <c r="BYK4"/>
      <c r="BYL4"/>
      <c r="BYM4"/>
      <c r="BYN4"/>
      <c r="BYO4"/>
      <c r="BYP4"/>
      <c r="BYQ4"/>
      <c r="BYR4"/>
      <c r="BYS4"/>
      <c r="BYT4"/>
      <c r="BYU4"/>
      <c r="BYV4"/>
      <c r="BYW4"/>
      <c r="BYX4"/>
      <c r="BYY4"/>
      <c r="BYZ4"/>
      <c r="BZA4"/>
      <c r="BZB4"/>
      <c r="BZC4"/>
      <c r="BZD4"/>
      <c r="BZE4"/>
      <c r="BZF4"/>
      <c r="BZG4"/>
      <c r="BZH4"/>
      <c r="BZI4"/>
      <c r="BZJ4"/>
      <c r="BZK4"/>
      <c r="BZL4"/>
      <c r="BZM4"/>
      <c r="BZN4"/>
      <c r="BZO4"/>
      <c r="BZP4"/>
      <c r="BZQ4"/>
      <c r="BZR4"/>
      <c r="BZS4"/>
      <c r="BZT4"/>
      <c r="BZU4"/>
      <c r="BZV4"/>
      <c r="BZW4"/>
      <c r="BZX4"/>
      <c r="BZY4"/>
      <c r="BZZ4"/>
      <c r="CAA4"/>
      <c r="CAB4"/>
      <c r="CAC4"/>
      <c r="CAD4"/>
      <c r="CAE4"/>
      <c r="CAF4"/>
      <c r="CAG4"/>
      <c r="CAH4"/>
      <c r="CAI4"/>
      <c r="CAJ4"/>
      <c r="CAK4"/>
      <c r="CAL4"/>
      <c r="CAM4"/>
      <c r="CAN4"/>
      <c r="CAO4"/>
      <c r="CAP4"/>
      <c r="CAQ4"/>
      <c r="CAR4"/>
      <c r="CAS4"/>
      <c r="CAT4"/>
      <c r="CAU4"/>
      <c r="CAV4"/>
      <c r="CAW4"/>
      <c r="CAX4"/>
      <c r="CAY4"/>
      <c r="CAZ4"/>
      <c r="CBA4"/>
      <c r="CBB4"/>
      <c r="CBC4"/>
      <c r="CBD4"/>
      <c r="CBE4"/>
      <c r="CBF4"/>
      <c r="CBG4"/>
      <c r="CBH4"/>
      <c r="CBI4"/>
      <c r="CBJ4"/>
      <c r="CBK4"/>
      <c r="CBL4"/>
      <c r="CBM4"/>
      <c r="CBN4"/>
      <c r="CBO4"/>
      <c r="CBP4"/>
      <c r="CBQ4"/>
      <c r="CBR4"/>
      <c r="CBS4"/>
      <c r="CBT4"/>
      <c r="CBU4"/>
      <c r="CBV4"/>
      <c r="CBW4"/>
      <c r="CBX4"/>
      <c r="CBY4"/>
      <c r="CBZ4"/>
      <c r="CCA4"/>
      <c r="CCB4"/>
      <c r="CCC4"/>
      <c r="CCD4"/>
      <c r="CCE4"/>
      <c r="CCF4"/>
      <c r="CCG4"/>
      <c r="CCH4"/>
      <c r="CCI4"/>
      <c r="CCJ4"/>
      <c r="CCK4"/>
      <c r="CCL4"/>
      <c r="CCM4"/>
      <c r="CCN4"/>
      <c r="CCO4"/>
      <c r="CCP4"/>
      <c r="CCQ4"/>
      <c r="CCR4"/>
      <c r="CCS4"/>
      <c r="CCT4"/>
      <c r="CCU4"/>
      <c r="CCV4"/>
      <c r="CCW4"/>
      <c r="CCX4"/>
      <c r="CCY4"/>
      <c r="CCZ4"/>
      <c r="CDA4"/>
      <c r="CDB4"/>
      <c r="CDC4"/>
      <c r="CDD4"/>
      <c r="CDE4"/>
      <c r="CDF4"/>
      <c r="CDG4"/>
      <c r="CDH4"/>
      <c r="CDI4"/>
      <c r="CDJ4"/>
      <c r="CDK4"/>
      <c r="CDL4"/>
      <c r="CDM4"/>
      <c r="CDN4"/>
      <c r="CDO4"/>
      <c r="CDP4"/>
      <c r="CDQ4"/>
      <c r="CDR4"/>
      <c r="CDS4"/>
      <c r="CDT4"/>
      <c r="CDU4"/>
      <c r="CDV4"/>
      <c r="CDW4"/>
      <c r="CDX4"/>
      <c r="CDY4"/>
      <c r="CDZ4"/>
      <c r="CEA4"/>
      <c r="CEB4"/>
      <c r="CEC4"/>
      <c r="CED4"/>
      <c r="CEE4"/>
      <c r="CEF4"/>
      <c r="CEG4"/>
      <c r="CEH4"/>
      <c r="CEI4"/>
      <c r="CEJ4"/>
      <c r="CEK4"/>
      <c r="CEL4"/>
      <c r="CEM4"/>
      <c r="CEN4"/>
      <c r="CEO4"/>
      <c r="CEP4"/>
      <c r="CEQ4"/>
      <c r="CER4"/>
      <c r="CES4"/>
      <c r="CET4"/>
      <c r="CEU4"/>
      <c r="CEV4"/>
      <c r="CEW4"/>
      <c r="CEX4"/>
      <c r="CEY4"/>
      <c r="CEZ4"/>
      <c r="CFA4"/>
      <c r="CFB4"/>
      <c r="CFC4"/>
      <c r="CFD4"/>
      <c r="CFE4"/>
      <c r="CFF4"/>
      <c r="CFG4"/>
      <c r="CFH4"/>
      <c r="CFI4"/>
      <c r="CFJ4"/>
      <c r="CFK4"/>
      <c r="CFL4"/>
      <c r="CFM4"/>
      <c r="CFN4"/>
      <c r="CFO4"/>
      <c r="CFP4"/>
      <c r="CFQ4"/>
      <c r="CFR4"/>
      <c r="CFS4"/>
      <c r="CFT4"/>
      <c r="CFU4"/>
      <c r="CFV4"/>
      <c r="CFW4"/>
      <c r="CFX4"/>
      <c r="CFY4"/>
      <c r="CFZ4"/>
      <c r="CGA4"/>
      <c r="CGB4"/>
      <c r="CGC4"/>
      <c r="CGD4"/>
      <c r="CGE4"/>
      <c r="CGF4"/>
      <c r="CGG4"/>
      <c r="CGH4"/>
      <c r="CGI4"/>
      <c r="CGJ4"/>
      <c r="CGK4"/>
      <c r="CGL4"/>
      <c r="CGM4"/>
      <c r="CGN4"/>
      <c r="CGO4"/>
      <c r="CGP4"/>
      <c r="CGQ4"/>
      <c r="CGR4"/>
      <c r="CGS4"/>
      <c r="CGT4"/>
      <c r="CGU4"/>
      <c r="CGV4"/>
      <c r="CGW4"/>
      <c r="CGX4"/>
      <c r="CGY4"/>
      <c r="CGZ4"/>
      <c r="CHA4"/>
      <c r="CHB4"/>
      <c r="CHC4"/>
      <c r="CHD4"/>
      <c r="CHE4"/>
      <c r="CHF4"/>
      <c r="CHG4"/>
      <c r="CHH4"/>
      <c r="CHI4"/>
      <c r="CHJ4"/>
      <c r="CHK4"/>
      <c r="CHL4"/>
      <c r="CHM4"/>
      <c r="CHN4"/>
      <c r="CHO4"/>
      <c r="CHP4"/>
      <c r="CHQ4"/>
      <c r="CHR4"/>
      <c r="CHS4"/>
      <c r="CHT4"/>
      <c r="CHU4"/>
      <c r="CHV4"/>
      <c r="CHW4"/>
      <c r="CHX4"/>
      <c r="CHY4"/>
      <c r="CHZ4"/>
      <c r="CIA4"/>
      <c r="CIB4"/>
      <c r="CIC4"/>
      <c r="CID4"/>
      <c r="CIE4"/>
      <c r="CIF4"/>
      <c r="CIG4"/>
      <c r="CIH4"/>
      <c r="CII4"/>
      <c r="CIJ4"/>
      <c r="CIK4"/>
      <c r="CIL4"/>
      <c r="CIM4"/>
      <c r="CIN4"/>
      <c r="CIO4"/>
      <c r="CIP4"/>
      <c r="CIQ4"/>
      <c r="CIR4"/>
      <c r="CIS4"/>
      <c r="CIT4"/>
      <c r="CIU4"/>
      <c r="CIV4"/>
      <c r="CIW4"/>
      <c r="CIX4"/>
      <c r="CIY4"/>
      <c r="CIZ4"/>
      <c r="CJA4"/>
      <c r="CJB4"/>
      <c r="CJC4"/>
      <c r="CJD4"/>
      <c r="CJE4"/>
      <c r="CJF4"/>
      <c r="CJG4"/>
      <c r="CJH4"/>
      <c r="CJI4"/>
      <c r="CJJ4"/>
      <c r="CJK4"/>
      <c r="CJL4"/>
      <c r="CJM4"/>
      <c r="CJN4"/>
      <c r="CJO4"/>
      <c r="CJP4"/>
      <c r="CJQ4"/>
      <c r="CJR4"/>
      <c r="CJS4"/>
      <c r="CJT4"/>
      <c r="CJU4"/>
      <c r="CJV4"/>
      <c r="CJW4"/>
      <c r="CJX4"/>
      <c r="CJY4"/>
      <c r="CJZ4"/>
      <c r="CKA4"/>
      <c r="CKB4"/>
      <c r="CKC4"/>
      <c r="CKD4"/>
      <c r="CKE4"/>
      <c r="CKF4"/>
      <c r="CKG4"/>
      <c r="CKH4"/>
      <c r="CKI4"/>
      <c r="CKJ4"/>
      <c r="CKK4"/>
      <c r="CKL4"/>
      <c r="CKM4"/>
      <c r="CKN4"/>
      <c r="CKO4"/>
      <c r="CKP4"/>
      <c r="CKQ4"/>
      <c r="CKR4"/>
      <c r="CKS4"/>
      <c r="CKT4"/>
      <c r="CKU4"/>
      <c r="CKV4"/>
      <c r="CKW4"/>
      <c r="CKX4"/>
      <c r="CKY4"/>
      <c r="CKZ4"/>
      <c r="CLA4"/>
      <c r="CLB4"/>
      <c r="CLC4"/>
      <c r="CLD4"/>
      <c r="CLE4"/>
      <c r="CLF4"/>
      <c r="CLG4"/>
      <c r="CLH4"/>
      <c r="CLI4"/>
      <c r="CLJ4"/>
      <c r="CLK4"/>
      <c r="CLL4"/>
      <c r="CLM4"/>
      <c r="CLN4"/>
      <c r="CLO4"/>
      <c r="CLP4"/>
      <c r="CLQ4"/>
      <c r="CLR4"/>
      <c r="CLS4"/>
      <c r="CLT4"/>
      <c r="CLU4"/>
      <c r="CLV4"/>
      <c r="CLW4"/>
      <c r="CLX4"/>
      <c r="CLY4"/>
      <c r="CLZ4"/>
      <c r="CMA4"/>
      <c r="CMB4"/>
      <c r="CMC4"/>
      <c r="CMD4"/>
      <c r="CME4"/>
      <c r="CMF4"/>
      <c r="CMG4"/>
      <c r="CMH4"/>
      <c r="CMI4"/>
      <c r="CMJ4"/>
      <c r="CMK4"/>
      <c r="CML4"/>
      <c r="CMM4"/>
      <c r="CMN4"/>
      <c r="CMO4"/>
      <c r="CMP4"/>
      <c r="CMQ4"/>
      <c r="CMR4"/>
      <c r="CMS4"/>
      <c r="CMT4"/>
      <c r="CMU4"/>
      <c r="CMV4"/>
      <c r="CMW4"/>
      <c r="CMX4"/>
      <c r="CMY4"/>
      <c r="CMZ4"/>
      <c r="CNA4"/>
      <c r="CNB4"/>
      <c r="CNC4"/>
      <c r="CND4"/>
      <c r="CNE4"/>
      <c r="CNF4"/>
      <c r="CNG4"/>
      <c r="CNH4"/>
      <c r="CNI4"/>
      <c r="CNJ4"/>
      <c r="CNK4"/>
      <c r="CNL4"/>
      <c r="CNM4"/>
      <c r="CNN4"/>
      <c r="CNO4"/>
      <c r="CNP4"/>
      <c r="CNQ4"/>
      <c r="CNR4"/>
      <c r="CNS4"/>
      <c r="CNT4"/>
      <c r="CNU4"/>
      <c r="CNV4"/>
      <c r="CNW4"/>
      <c r="CNX4"/>
      <c r="CNY4"/>
      <c r="CNZ4"/>
      <c r="COA4"/>
      <c r="COB4"/>
      <c r="COC4"/>
      <c r="COD4"/>
      <c r="COE4"/>
      <c r="COF4"/>
      <c r="COG4"/>
      <c r="COH4"/>
      <c r="COI4"/>
      <c r="COJ4"/>
      <c r="COK4"/>
      <c r="COL4"/>
      <c r="COM4"/>
      <c r="CON4"/>
      <c r="COO4"/>
      <c r="COP4"/>
      <c r="COQ4"/>
      <c r="COR4"/>
      <c r="COS4"/>
      <c r="COT4"/>
      <c r="COU4"/>
      <c r="COV4"/>
      <c r="COW4"/>
      <c r="COX4"/>
      <c r="COY4"/>
      <c r="COZ4"/>
      <c r="CPA4"/>
      <c r="CPB4"/>
      <c r="CPC4"/>
      <c r="CPD4"/>
      <c r="CPE4"/>
      <c r="CPF4"/>
      <c r="CPG4"/>
      <c r="CPH4"/>
      <c r="CPI4"/>
      <c r="CPJ4"/>
      <c r="CPK4"/>
      <c r="CPL4"/>
      <c r="CPM4"/>
      <c r="CPN4"/>
      <c r="CPO4"/>
      <c r="CPP4"/>
      <c r="CPQ4"/>
      <c r="CPR4"/>
      <c r="CPS4"/>
      <c r="CPT4"/>
      <c r="CPU4"/>
      <c r="CPV4"/>
      <c r="CPW4"/>
      <c r="CPX4"/>
      <c r="CPY4"/>
      <c r="CPZ4"/>
      <c r="CQA4"/>
      <c r="CQB4"/>
      <c r="CQC4"/>
      <c r="CQD4"/>
      <c r="CQE4"/>
      <c r="CQF4"/>
      <c r="CQG4"/>
      <c r="CQH4"/>
      <c r="CQI4"/>
      <c r="CQJ4"/>
      <c r="CQK4"/>
      <c r="CQL4"/>
      <c r="CQM4"/>
      <c r="CQN4"/>
      <c r="CQO4"/>
      <c r="CQP4"/>
      <c r="CQQ4"/>
      <c r="CQR4"/>
      <c r="CQS4"/>
      <c r="CQT4"/>
      <c r="CQU4"/>
      <c r="CQV4"/>
      <c r="CQW4"/>
      <c r="CQX4"/>
      <c r="CQY4"/>
      <c r="CQZ4"/>
      <c r="CRA4"/>
      <c r="CRB4"/>
      <c r="CRC4"/>
      <c r="CRD4"/>
      <c r="CRE4"/>
      <c r="CRF4"/>
      <c r="CRG4"/>
      <c r="CRH4"/>
      <c r="CRI4"/>
      <c r="CRJ4"/>
      <c r="CRK4"/>
      <c r="CRL4"/>
      <c r="CRM4"/>
      <c r="CRN4"/>
      <c r="CRO4"/>
      <c r="CRP4"/>
      <c r="CRQ4"/>
      <c r="CRR4"/>
      <c r="CRS4"/>
      <c r="CRT4"/>
      <c r="CRU4"/>
      <c r="CRV4"/>
      <c r="CRW4"/>
      <c r="CRX4"/>
      <c r="CRY4"/>
      <c r="CRZ4"/>
      <c r="CSA4"/>
      <c r="CSB4"/>
      <c r="CSC4"/>
      <c r="CSD4"/>
      <c r="CSE4"/>
      <c r="CSF4"/>
      <c r="CSG4"/>
      <c r="CSH4"/>
      <c r="CSI4"/>
      <c r="CSJ4"/>
      <c r="CSK4"/>
      <c r="CSL4"/>
      <c r="CSM4"/>
      <c r="CSN4"/>
      <c r="CSO4"/>
      <c r="CSP4"/>
      <c r="CSQ4"/>
      <c r="CSR4"/>
      <c r="CSS4"/>
      <c r="CST4"/>
      <c r="CSU4"/>
      <c r="CSV4"/>
      <c r="CSW4"/>
      <c r="CSX4"/>
      <c r="CSY4"/>
      <c r="CSZ4"/>
      <c r="CTA4"/>
      <c r="CTB4"/>
      <c r="CTC4"/>
      <c r="CTD4"/>
      <c r="CTE4"/>
      <c r="CTF4"/>
      <c r="CTG4"/>
      <c r="CTH4"/>
      <c r="CTI4"/>
      <c r="CTJ4"/>
      <c r="CTK4"/>
      <c r="CTL4"/>
      <c r="CTM4"/>
      <c r="CTN4"/>
      <c r="CTO4"/>
      <c r="CTP4"/>
      <c r="CTQ4"/>
      <c r="CTR4"/>
      <c r="CTS4"/>
      <c r="CTT4"/>
      <c r="CTU4"/>
      <c r="CTV4"/>
      <c r="CTW4"/>
      <c r="CTX4"/>
      <c r="CTY4"/>
      <c r="CTZ4"/>
      <c r="CUA4"/>
      <c r="CUB4"/>
      <c r="CUC4"/>
      <c r="CUD4"/>
      <c r="CUE4"/>
      <c r="CUF4"/>
      <c r="CUG4"/>
      <c r="CUH4"/>
      <c r="CUI4"/>
      <c r="CUJ4"/>
      <c r="CUK4"/>
      <c r="CUL4"/>
      <c r="CUM4"/>
      <c r="CUN4"/>
      <c r="CUO4"/>
      <c r="CUP4"/>
      <c r="CUQ4"/>
      <c r="CUR4"/>
      <c r="CUS4"/>
      <c r="CUT4"/>
      <c r="CUU4"/>
      <c r="CUV4"/>
      <c r="CUW4"/>
      <c r="CUX4"/>
      <c r="CUY4"/>
      <c r="CUZ4"/>
      <c r="CVA4"/>
      <c r="CVB4"/>
      <c r="CVC4"/>
      <c r="CVD4"/>
      <c r="CVE4"/>
      <c r="CVF4"/>
      <c r="CVG4"/>
      <c r="CVH4"/>
      <c r="CVI4"/>
      <c r="CVJ4"/>
      <c r="CVK4"/>
      <c r="CVL4"/>
      <c r="CVM4"/>
      <c r="CVN4"/>
      <c r="CVO4"/>
      <c r="CVP4"/>
      <c r="CVQ4"/>
      <c r="CVR4"/>
      <c r="CVS4"/>
      <c r="CVT4"/>
      <c r="CVU4"/>
      <c r="CVV4"/>
      <c r="CVW4"/>
      <c r="CVX4"/>
      <c r="CVY4"/>
      <c r="CVZ4"/>
      <c r="CWA4"/>
      <c r="CWB4"/>
      <c r="CWC4"/>
      <c r="CWD4"/>
      <c r="CWE4"/>
      <c r="CWF4"/>
      <c r="CWG4"/>
      <c r="CWH4"/>
      <c r="CWI4"/>
      <c r="CWJ4"/>
      <c r="CWK4"/>
      <c r="CWL4"/>
      <c r="CWM4"/>
      <c r="CWN4"/>
      <c r="CWO4"/>
      <c r="CWP4"/>
      <c r="CWQ4"/>
      <c r="CWR4"/>
      <c r="CWS4"/>
      <c r="CWT4"/>
      <c r="CWU4"/>
      <c r="CWV4"/>
      <c r="CWW4"/>
      <c r="CWX4"/>
      <c r="CWY4"/>
      <c r="CWZ4"/>
      <c r="CXA4"/>
      <c r="CXB4"/>
      <c r="CXC4"/>
      <c r="CXD4"/>
      <c r="CXE4"/>
      <c r="CXF4"/>
      <c r="CXG4"/>
      <c r="CXH4"/>
      <c r="CXI4"/>
      <c r="CXJ4"/>
      <c r="CXK4"/>
      <c r="CXL4"/>
      <c r="CXM4"/>
      <c r="CXN4"/>
      <c r="CXO4"/>
      <c r="CXP4"/>
      <c r="CXQ4"/>
      <c r="CXR4"/>
      <c r="CXS4"/>
      <c r="CXT4"/>
      <c r="CXU4"/>
      <c r="CXV4"/>
      <c r="CXW4"/>
      <c r="CXX4"/>
      <c r="CXY4"/>
      <c r="CXZ4"/>
      <c r="CYA4"/>
      <c r="CYB4"/>
      <c r="CYC4"/>
      <c r="CYD4"/>
      <c r="CYE4"/>
      <c r="CYF4"/>
      <c r="CYG4"/>
      <c r="CYH4"/>
      <c r="CYI4"/>
      <c r="CYJ4"/>
      <c r="CYK4"/>
      <c r="CYL4"/>
      <c r="CYM4"/>
      <c r="CYN4"/>
      <c r="CYO4"/>
      <c r="CYP4"/>
      <c r="CYQ4"/>
      <c r="CYR4"/>
      <c r="CYS4"/>
      <c r="CYT4"/>
      <c r="CYU4"/>
      <c r="CYV4"/>
      <c r="CYW4"/>
      <c r="CYX4"/>
      <c r="CYY4"/>
      <c r="CYZ4"/>
      <c r="CZA4"/>
      <c r="CZB4"/>
      <c r="CZC4"/>
      <c r="CZD4"/>
      <c r="CZE4"/>
      <c r="CZF4"/>
      <c r="CZG4"/>
      <c r="CZH4"/>
      <c r="CZI4"/>
      <c r="CZJ4"/>
      <c r="CZK4"/>
      <c r="CZL4"/>
      <c r="CZM4"/>
      <c r="CZN4"/>
      <c r="CZO4"/>
      <c r="CZP4"/>
      <c r="CZQ4"/>
      <c r="CZR4"/>
      <c r="CZS4"/>
      <c r="CZT4"/>
      <c r="CZU4"/>
      <c r="CZV4"/>
      <c r="CZW4"/>
      <c r="CZX4"/>
      <c r="CZY4"/>
      <c r="CZZ4"/>
      <c r="DAA4"/>
      <c r="DAB4"/>
      <c r="DAC4"/>
      <c r="DAD4"/>
      <c r="DAE4"/>
      <c r="DAF4"/>
      <c r="DAG4"/>
      <c r="DAH4"/>
      <c r="DAI4"/>
      <c r="DAJ4"/>
      <c r="DAK4"/>
      <c r="DAL4"/>
      <c r="DAM4"/>
      <c r="DAN4"/>
      <c r="DAO4"/>
      <c r="DAP4"/>
      <c r="DAQ4"/>
      <c r="DAR4"/>
      <c r="DAS4"/>
      <c r="DAT4"/>
      <c r="DAU4"/>
      <c r="DAV4"/>
      <c r="DAW4"/>
      <c r="DAX4"/>
      <c r="DAY4"/>
      <c r="DAZ4"/>
      <c r="DBA4"/>
      <c r="DBB4"/>
      <c r="DBC4"/>
      <c r="DBD4"/>
      <c r="DBE4"/>
      <c r="DBF4"/>
      <c r="DBG4"/>
      <c r="DBH4"/>
      <c r="DBI4"/>
      <c r="DBJ4"/>
      <c r="DBK4"/>
      <c r="DBL4"/>
      <c r="DBM4"/>
      <c r="DBN4"/>
      <c r="DBO4"/>
      <c r="DBP4"/>
      <c r="DBQ4"/>
      <c r="DBR4"/>
      <c r="DBS4"/>
      <c r="DBT4"/>
      <c r="DBU4"/>
      <c r="DBV4"/>
      <c r="DBW4"/>
      <c r="DBX4"/>
      <c r="DBY4"/>
      <c r="DBZ4"/>
      <c r="DCA4"/>
      <c r="DCB4"/>
      <c r="DCC4"/>
      <c r="DCD4"/>
      <c r="DCE4"/>
      <c r="DCF4"/>
      <c r="DCG4"/>
      <c r="DCH4"/>
      <c r="DCI4"/>
      <c r="DCJ4"/>
      <c r="DCK4"/>
      <c r="DCL4"/>
      <c r="DCM4"/>
      <c r="DCN4"/>
      <c r="DCO4"/>
      <c r="DCP4"/>
      <c r="DCQ4"/>
      <c r="DCR4"/>
      <c r="DCS4"/>
      <c r="DCT4"/>
      <c r="DCU4"/>
      <c r="DCV4"/>
      <c r="DCW4"/>
      <c r="DCX4"/>
      <c r="DCY4"/>
      <c r="DCZ4"/>
      <c r="DDA4"/>
      <c r="DDB4"/>
      <c r="DDC4"/>
      <c r="DDD4"/>
      <c r="DDE4"/>
      <c r="DDF4"/>
      <c r="DDG4"/>
      <c r="DDH4"/>
      <c r="DDI4"/>
      <c r="DDJ4"/>
      <c r="DDK4"/>
      <c r="DDL4"/>
      <c r="DDM4"/>
      <c r="DDN4"/>
      <c r="DDO4"/>
      <c r="DDP4"/>
      <c r="DDQ4"/>
      <c r="DDR4"/>
      <c r="DDS4"/>
      <c r="DDT4"/>
      <c r="DDU4"/>
      <c r="DDV4"/>
      <c r="DDW4"/>
      <c r="DDX4"/>
      <c r="DDY4"/>
      <c r="DDZ4"/>
      <c r="DEA4"/>
      <c r="DEB4"/>
      <c r="DEC4"/>
      <c r="DED4"/>
      <c r="DEE4"/>
      <c r="DEF4"/>
      <c r="DEG4"/>
      <c r="DEH4"/>
      <c r="DEI4"/>
      <c r="DEJ4"/>
      <c r="DEK4"/>
      <c r="DEL4"/>
      <c r="DEM4"/>
      <c r="DEN4"/>
      <c r="DEO4"/>
      <c r="DEP4"/>
      <c r="DEQ4"/>
      <c r="DER4"/>
      <c r="DES4"/>
      <c r="DET4"/>
      <c r="DEU4"/>
      <c r="DEV4"/>
      <c r="DEW4"/>
      <c r="DEX4"/>
      <c r="DEY4"/>
      <c r="DEZ4"/>
      <c r="DFA4"/>
      <c r="DFB4"/>
      <c r="DFC4"/>
      <c r="DFD4"/>
      <c r="DFE4"/>
      <c r="DFF4"/>
      <c r="DFG4"/>
      <c r="DFH4"/>
      <c r="DFI4"/>
      <c r="DFJ4"/>
      <c r="DFK4"/>
      <c r="DFL4"/>
      <c r="DFM4"/>
      <c r="DFN4"/>
      <c r="DFO4"/>
      <c r="DFP4"/>
      <c r="DFQ4"/>
      <c r="DFR4"/>
      <c r="DFS4"/>
      <c r="DFT4"/>
      <c r="DFU4"/>
      <c r="DFV4"/>
      <c r="DFW4"/>
      <c r="DFX4"/>
      <c r="DFY4"/>
      <c r="DFZ4"/>
      <c r="DGA4"/>
      <c r="DGB4"/>
      <c r="DGC4"/>
      <c r="DGD4"/>
      <c r="DGE4"/>
      <c r="DGF4"/>
      <c r="DGG4"/>
      <c r="DGH4"/>
      <c r="DGI4"/>
      <c r="DGJ4"/>
      <c r="DGK4"/>
      <c r="DGL4"/>
      <c r="DGM4"/>
      <c r="DGN4"/>
      <c r="DGO4"/>
      <c r="DGP4"/>
      <c r="DGQ4"/>
      <c r="DGR4"/>
      <c r="DGS4"/>
      <c r="DGT4"/>
      <c r="DGU4"/>
      <c r="DGV4"/>
      <c r="DGW4"/>
      <c r="DGX4"/>
      <c r="DGY4"/>
      <c r="DGZ4"/>
      <c r="DHA4"/>
      <c r="DHB4"/>
      <c r="DHC4"/>
      <c r="DHD4"/>
      <c r="DHE4"/>
      <c r="DHF4"/>
      <c r="DHG4"/>
      <c r="DHH4"/>
      <c r="DHI4"/>
      <c r="DHJ4"/>
      <c r="DHK4"/>
      <c r="DHL4"/>
      <c r="DHM4"/>
      <c r="DHN4"/>
      <c r="DHO4"/>
      <c r="DHP4"/>
      <c r="DHQ4"/>
      <c r="DHR4"/>
      <c r="DHS4"/>
      <c r="DHT4"/>
      <c r="DHU4"/>
      <c r="DHV4"/>
      <c r="DHW4"/>
      <c r="DHX4"/>
      <c r="DHY4"/>
      <c r="DHZ4"/>
      <c r="DIA4"/>
      <c r="DIB4"/>
      <c r="DIC4"/>
      <c r="DID4"/>
      <c r="DIE4"/>
      <c r="DIF4"/>
      <c r="DIG4"/>
      <c r="DIH4"/>
      <c r="DII4"/>
      <c r="DIJ4"/>
      <c r="DIK4"/>
      <c r="DIL4"/>
      <c r="DIM4"/>
      <c r="DIN4"/>
      <c r="DIO4"/>
      <c r="DIP4"/>
      <c r="DIQ4"/>
      <c r="DIR4"/>
      <c r="DIS4"/>
      <c r="DIT4"/>
      <c r="DIU4"/>
      <c r="DIV4"/>
      <c r="DIW4"/>
      <c r="DIX4"/>
      <c r="DIY4"/>
      <c r="DIZ4"/>
      <c r="DJA4"/>
      <c r="DJB4"/>
      <c r="DJC4"/>
      <c r="DJD4"/>
      <c r="DJE4"/>
      <c r="DJF4"/>
      <c r="DJG4"/>
      <c r="DJH4"/>
      <c r="DJI4"/>
      <c r="DJJ4"/>
      <c r="DJK4"/>
      <c r="DJL4"/>
      <c r="DJM4"/>
      <c r="DJN4"/>
      <c r="DJO4"/>
      <c r="DJP4"/>
      <c r="DJQ4"/>
      <c r="DJR4"/>
      <c r="DJS4"/>
      <c r="DJT4"/>
      <c r="DJU4"/>
      <c r="DJV4"/>
      <c r="DJW4"/>
      <c r="DJX4"/>
      <c r="DJY4"/>
      <c r="DJZ4"/>
      <c r="DKA4"/>
      <c r="DKB4"/>
      <c r="DKC4"/>
      <c r="DKD4"/>
      <c r="DKE4"/>
      <c r="DKF4"/>
      <c r="DKG4"/>
      <c r="DKH4"/>
      <c r="DKI4"/>
      <c r="DKJ4"/>
      <c r="DKK4"/>
      <c r="DKL4"/>
      <c r="DKM4"/>
      <c r="DKN4"/>
      <c r="DKO4"/>
      <c r="DKP4"/>
      <c r="DKQ4"/>
      <c r="DKR4"/>
      <c r="DKS4"/>
      <c r="DKT4"/>
      <c r="DKU4"/>
      <c r="DKV4"/>
      <c r="DKW4"/>
      <c r="DKX4"/>
      <c r="DKY4"/>
      <c r="DKZ4"/>
      <c r="DLA4"/>
      <c r="DLB4"/>
      <c r="DLC4"/>
      <c r="DLD4"/>
      <c r="DLE4"/>
      <c r="DLF4"/>
      <c r="DLG4"/>
      <c r="DLH4"/>
      <c r="DLI4"/>
      <c r="DLJ4"/>
      <c r="DLK4"/>
      <c r="DLL4"/>
      <c r="DLM4"/>
      <c r="DLN4"/>
      <c r="DLO4"/>
      <c r="DLP4"/>
      <c r="DLQ4"/>
      <c r="DLR4"/>
      <c r="DLS4"/>
      <c r="DLT4"/>
      <c r="DLU4"/>
      <c r="DLV4"/>
      <c r="DLW4"/>
      <c r="DLX4"/>
      <c r="DLY4"/>
      <c r="DLZ4"/>
      <c r="DMA4"/>
      <c r="DMB4"/>
      <c r="DMC4"/>
      <c r="DMD4"/>
      <c r="DME4"/>
      <c r="DMF4"/>
      <c r="DMG4"/>
      <c r="DMH4"/>
      <c r="DMI4"/>
      <c r="DMJ4"/>
      <c r="DMK4"/>
      <c r="DML4"/>
      <c r="DMM4"/>
      <c r="DMN4"/>
      <c r="DMO4"/>
      <c r="DMP4"/>
      <c r="DMQ4"/>
      <c r="DMR4"/>
      <c r="DMS4"/>
      <c r="DMT4"/>
      <c r="DMU4"/>
      <c r="DMV4"/>
      <c r="DMW4"/>
      <c r="DMX4"/>
      <c r="DMY4"/>
      <c r="DMZ4"/>
      <c r="DNA4"/>
      <c r="DNB4"/>
      <c r="DNC4"/>
      <c r="DND4"/>
      <c r="DNE4"/>
      <c r="DNF4"/>
      <c r="DNG4"/>
      <c r="DNH4"/>
      <c r="DNI4"/>
      <c r="DNJ4"/>
      <c r="DNK4"/>
      <c r="DNL4"/>
      <c r="DNM4"/>
      <c r="DNN4"/>
      <c r="DNO4"/>
      <c r="DNP4"/>
      <c r="DNQ4"/>
      <c r="DNR4"/>
      <c r="DNS4"/>
      <c r="DNT4"/>
      <c r="DNU4"/>
      <c r="DNV4"/>
      <c r="DNW4"/>
      <c r="DNX4"/>
      <c r="DNY4"/>
      <c r="DNZ4"/>
      <c r="DOA4"/>
      <c r="DOB4"/>
      <c r="DOC4"/>
      <c r="DOD4"/>
      <c r="DOE4"/>
      <c r="DOF4"/>
      <c r="DOG4"/>
      <c r="DOH4"/>
      <c r="DOI4"/>
      <c r="DOJ4"/>
      <c r="DOK4"/>
      <c r="DOL4"/>
      <c r="DOM4"/>
      <c r="DON4"/>
      <c r="DOO4"/>
      <c r="DOP4"/>
      <c r="DOQ4"/>
      <c r="DOR4"/>
      <c r="DOS4"/>
      <c r="DOT4"/>
      <c r="DOU4"/>
      <c r="DOV4"/>
      <c r="DOW4"/>
      <c r="DOX4"/>
      <c r="DOY4"/>
      <c r="DOZ4"/>
      <c r="DPA4"/>
      <c r="DPB4"/>
      <c r="DPC4"/>
      <c r="DPD4"/>
      <c r="DPE4"/>
      <c r="DPF4"/>
      <c r="DPG4"/>
      <c r="DPH4"/>
      <c r="DPI4"/>
      <c r="DPJ4"/>
      <c r="DPK4"/>
      <c r="DPL4"/>
      <c r="DPM4"/>
      <c r="DPN4"/>
      <c r="DPO4"/>
      <c r="DPP4"/>
      <c r="DPQ4"/>
      <c r="DPR4"/>
      <c r="DPS4"/>
      <c r="DPT4"/>
      <c r="DPU4"/>
      <c r="DPV4"/>
      <c r="DPW4"/>
      <c r="DPX4"/>
      <c r="DPY4"/>
      <c r="DPZ4"/>
      <c r="DQA4"/>
      <c r="DQB4"/>
      <c r="DQC4"/>
      <c r="DQD4"/>
      <c r="DQE4"/>
      <c r="DQF4"/>
      <c r="DQG4"/>
      <c r="DQH4"/>
      <c r="DQI4"/>
      <c r="DQJ4"/>
      <c r="DQK4"/>
      <c r="DQL4"/>
      <c r="DQM4"/>
      <c r="DQN4"/>
      <c r="DQO4"/>
      <c r="DQP4"/>
      <c r="DQQ4"/>
      <c r="DQR4"/>
      <c r="DQS4"/>
      <c r="DQT4"/>
      <c r="DQU4"/>
      <c r="DQV4"/>
      <c r="DQW4"/>
      <c r="DQX4"/>
      <c r="DQY4"/>
      <c r="DQZ4"/>
      <c r="DRA4"/>
      <c r="DRB4"/>
      <c r="DRC4"/>
      <c r="DRD4"/>
      <c r="DRE4"/>
      <c r="DRF4"/>
      <c r="DRG4"/>
      <c r="DRH4"/>
      <c r="DRI4"/>
      <c r="DRJ4"/>
      <c r="DRK4"/>
      <c r="DRL4"/>
      <c r="DRM4"/>
      <c r="DRN4"/>
      <c r="DRO4"/>
      <c r="DRP4"/>
      <c r="DRQ4"/>
      <c r="DRR4"/>
      <c r="DRS4"/>
      <c r="DRT4"/>
      <c r="DRU4"/>
      <c r="DRV4"/>
      <c r="DRW4"/>
      <c r="DRX4"/>
      <c r="DRY4"/>
      <c r="DRZ4"/>
      <c r="DSA4"/>
      <c r="DSB4"/>
      <c r="DSC4"/>
      <c r="DSD4"/>
      <c r="DSE4"/>
      <c r="DSF4"/>
      <c r="DSG4"/>
      <c r="DSH4"/>
      <c r="DSI4"/>
      <c r="DSJ4"/>
      <c r="DSK4"/>
      <c r="DSL4"/>
      <c r="DSM4"/>
      <c r="DSN4"/>
      <c r="DSO4"/>
      <c r="DSP4"/>
      <c r="DSQ4"/>
      <c r="DSR4"/>
      <c r="DSS4"/>
      <c r="DST4"/>
      <c r="DSU4"/>
      <c r="DSV4"/>
      <c r="DSW4"/>
      <c r="DSX4"/>
      <c r="DSY4"/>
      <c r="DSZ4"/>
      <c r="DTA4"/>
      <c r="DTB4"/>
      <c r="DTC4"/>
      <c r="DTD4"/>
      <c r="DTE4"/>
      <c r="DTF4"/>
      <c r="DTG4"/>
      <c r="DTH4"/>
      <c r="DTI4"/>
      <c r="DTJ4"/>
      <c r="DTK4"/>
      <c r="DTL4"/>
      <c r="DTM4"/>
      <c r="DTN4"/>
      <c r="DTO4"/>
      <c r="DTP4"/>
      <c r="DTQ4"/>
      <c r="DTR4"/>
      <c r="DTS4"/>
      <c r="DTT4"/>
      <c r="DTU4"/>
      <c r="DTV4"/>
      <c r="DTW4"/>
      <c r="DTX4"/>
      <c r="DTY4"/>
      <c r="DTZ4"/>
      <c r="DUA4"/>
      <c r="DUB4"/>
      <c r="DUC4"/>
      <c r="DUD4"/>
      <c r="DUE4"/>
      <c r="DUF4"/>
      <c r="DUG4"/>
      <c r="DUH4"/>
      <c r="DUI4"/>
      <c r="DUJ4"/>
      <c r="DUK4"/>
      <c r="DUL4"/>
      <c r="DUM4"/>
      <c r="DUN4"/>
      <c r="DUO4"/>
      <c r="DUP4"/>
      <c r="DUQ4"/>
      <c r="DUR4"/>
      <c r="DUS4"/>
      <c r="DUT4"/>
      <c r="DUU4"/>
      <c r="DUV4"/>
      <c r="DUW4"/>
      <c r="DUX4"/>
      <c r="DUY4"/>
      <c r="DUZ4"/>
      <c r="DVA4"/>
      <c r="DVB4"/>
      <c r="DVC4"/>
      <c r="DVD4"/>
      <c r="DVE4"/>
      <c r="DVF4"/>
      <c r="DVG4"/>
      <c r="DVH4"/>
      <c r="DVI4"/>
      <c r="DVJ4"/>
      <c r="DVK4"/>
      <c r="DVL4"/>
      <c r="DVM4"/>
      <c r="DVN4"/>
      <c r="DVO4"/>
      <c r="DVP4"/>
      <c r="DVQ4"/>
      <c r="DVR4"/>
      <c r="DVS4"/>
      <c r="DVT4"/>
      <c r="DVU4"/>
      <c r="DVV4"/>
      <c r="DVW4"/>
      <c r="DVX4"/>
      <c r="DVY4"/>
      <c r="DVZ4"/>
      <c r="DWA4"/>
      <c r="DWB4"/>
      <c r="DWC4"/>
      <c r="DWD4"/>
      <c r="DWE4"/>
      <c r="DWF4"/>
      <c r="DWG4"/>
      <c r="DWH4"/>
      <c r="DWI4"/>
      <c r="DWJ4"/>
      <c r="DWK4"/>
      <c r="DWL4"/>
      <c r="DWM4"/>
      <c r="DWN4"/>
      <c r="DWO4"/>
      <c r="DWP4"/>
      <c r="DWQ4"/>
      <c r="DWR4"/>
      <c r="DWS4"/>
      <c r="DWT4"/>
      <c r="DWU4"/>
      <c r="DWV4"/>
      <c r="DWW4"/>
      <c r="DWX4"/>
      <c r="DWY4"/>
      <c r="DWZ4"/>
      <c r="DXA4"/>
      <c r="DXB4"/>
      <c r="DXC4"/>
      <c r="DXD4"/>
      <c r="DXE4"/>
      <c r="DXF4"/>
      <c r="DXG4"/>
      <c r="DXH4"/>
      <c r="DXI4"/>
      <c r="DXJ4"/>
      <c r="DXK4"/>
      <c r="DXL4"/>
      <c r="DXM4"/>
      <c r="DXN4"/>
      <c r="DXO4"/>
      <c r="DXP4"/>
      <c r="DXQ4"/>
      <c r="DXR4"/>
      <c r="DXS4"/>
      <c r="DXT4"/>
      <c r="DXU4"/>
      <c r="DXV4"/>
      <c r="DXW4"/>
      <c r="DXX4"/>
      <c r="DXY4"/>
      <c r="DXZ4"/>
      <c r="DYA4"/>
      <c r="DYB4"/>
      <c r="DYC4"/>
      <c r="DYD4"/>
      <c r="DYE4"/>
      <c r="DYF4"/>
      <c r="DYG4"/>
      <c r="DYH4"/>
      <c r="DYI4"/>
      <c r="DYJ4"/>
      <c r="DYK4"/>
      <c r="DYL4"/>
      <c r="DYM4"/>
      <c r="DYN4"/>
      <c r="DYO4"/>
      <c r="DYP4"/>
      <c r="DYQ4"/>
      <c r="DYR4"/>
      <c r="DYS4"/>
      <c r="DYT4"/>
      <c r="DYU4"/>
      <c r="DYV4"/>
      <c r="DYW4"/>
      <c r="DYX4"/>
      <c r="DYY4"/>
      <c r="DYZ4"/>
      <c r="DZA4"/>
      <c r="DZB4"/>
      <c r="DZC4"/>
      <c r="DZD4"/>
      <c r="DZE4"/>
      <c r="DZF4"/>
      <c r="DZG4"/>
      <c r="DZH4"/>
      <c r="DZI4"/>
      <c r="DZJ4"/>
      <c r="DZK4"/>
      <c r="DZL4"/>
      <c r="DZM4"/>
      <c r="DZN4"/>
      <c r="DZO4"/>
      <c r="DZP4"/>
      <c r="DZQ4"/>
      <c r="DZR4"/>
      <c r="DZS4"/>
      <c r="DZT4"/>
      <c r="DZU4"/>
      <c r="DZV4"/>
      <c r="DZW4"/>
      <c r="DZX4"/>
      <c r="DZY4"/>
      <c r="DZZ4"/>
      <c r="EAA4"/>
      <c r="EAB4"/>
      <c r="EAC4"/>
      <c r="EAD4"/>
      <c r="EAE4"/>
      <c r="EAF4"/>
      <c r="EAG4"/>
      <c r="EAH4"/>
      <c r="EAI4"/>
      <c r="EAJ4"/>
      <c r="EAK4"/>
      <c r="EAL4"/>
      <c r="EAM4"/>
      <c r="EAN4"/>
      <c r="EAO4"/>
      <c r="EAP4"/>
      <c r="EAQ4"/>
      <c r="EAR4"/>
      <c r="EAS4"/>
      <c r="EAT4"/>
      <c r="EAU4"/>
      <c r="EAV4"/>
      <c r="EAW4"/>
      <c r="EAX4"/>
      <c r="EAY4"/>
      <c r="EAZ4"/>
      <c r="EBA4"/>
      <c r="EBB4"/>
      <c r="EBC4"/>
      <c r="EBD4"/>
      <c r="EBE4"/>
      <c r="EBF4"/>
      <c r="EBG4"/>
      <c r="EBH4"/>
      <c r="EBI4"/>
      <c r="EBJ4"/>
      <c r="EBK4"/>
      <c r="EBL4"/>
      <c r="EBM4"/>
      <c r="EBN4"/>
      <c r="EBO4"/>
      <c r="EBP4"/>
      <c r="EBQ4"/>
      <c r="EBR4"/>
      <c r="EBS4"/>
      <c r="EBT4"/>
      <c r="EBU4"/>
      <c r="EBV4"/>
      <c r="EBW4"/>
      <c r="EBX4"/>
      <c r="EBY4"/>
      <c r="EBZ4"/>
      <c r="ECA4"/>
      <c r="ECB4"/>
      <c r="ECC4"/>
      <c r="ECD4"/>
      <c r="ECE4"/>
      <c r="ECF4"/>
      <c r="ECG4"/>
      <c r="ECH4"/>
      <c r="ECI4"/>
      <c r="ECJ4"/>
      <c r="ECK4"/>
      <c r="ECL4"/>
      <c r="ECM4"/>
      <c r="ECN4"/>
      <c r="ECO4"/>
      <c r="ECP4"/>
      <c r="ECQ4"/>
      <c r="ECR4"/>
      <c r="ECS4"/>
      <c r="ECT4"/>
      <c r="ECU4"/>
      <c r="ECV4"/>
      <c r="ECW4"/>
      <c r="ECX4"/>
      <c r="ECY4"/>
      <c r="ECZ4"/>
      <c r="EDA4"/>
      <c r="EDB4"/>
      <c r="EDC4"/>
      <c r="EDD4"/>
      <c r="EDE4"/>
      <c r="EDF4"/>
      <c r="EDG4"/>
      <c r="EDH4"/>
      <c r="EDI4"/>
      <c r="EDJ4"/>
      <c r="EDK4"/>
      <c r="EDL4"/>
      <c r="EDM4"/>
      <c r="EDN4"/>
      <c r="EDO4"/>
      <c r="EDP4"/>
      <c r="EDQ4"/>
      <c r="EDR4"/>
      <c r="EDS4"/>
      <c r="EDT4"/>
      <c r="EDU4"/>
      <c r="EDV4"/>
      <c r="EDW4"/>
      <c r="EDX4"/>
      <c r="EDY4"/>
      <c r="EDZ4"/>
      <c r="EEA4"/>
      <c r="EEB4"/>
      <c r="EEC4"/>
      <c r="EED4"/>
      <c r="EEE4"/>
      <c r="EEF4"/>
      <c r="EEG4"/>
      <c r="EEH4"/>
      <c r="EEI4"/>
      <c r="EEJ4"/>
      <c r="EEK4"/>
      <c r="EEL4"/>
      <c r="EEM4"/>
      <c r="EEN4"/>
      <c r="EEO4"/>
      <c r="EEP4"/>
      <c r="EEQ4"/>
      <c r="EER4"/>
      <c r="EES4"/>
      <c r="EET4"/>
      <c r="EEU4"/>
      <c r="EEV4"/>
      <c r="EEW4"/>
      <c r="EEX4"/>
      <c r="EEY4"/>
      <c r="EEZ4"/>
      <c r="EFA4"/>
      <c r="EFB4"/>
      <c r="EFC4"/>
      <c r="EFD4"/>
      <c r="EFE4"/>
      <c r="EFF4"/>
      <c r="EFG4"/>
      <c r="EFH4"/>
      <c r="EFI4"/>
      <c r="EFJ4"/>
      <c r="EFK4"/>
      <c r="EFL4"/>
      <c r="EFM4"/>
      <c r="EFN4"/>
      <c r="EFO4"/>
      <c r="EFP4"/>
      <c r="EFQ4"/>
      <c r="EFR4"/>
      <c r="EFS4"/>
      <c r="EFT4"/>
      <c r="EFU4"/>
      <c r="EFV4"/>
      <c r="EFW4"/>
      <c r="EFX4"/>
      <c r="EFY4"/>
      <c r="EFZ4"/>
      <c r="EGA4"/>
      <c r="EGB4"/>
      <c r="EGC4"/>
      <c r="EGD4"/>
      <c r="EGE4"/>
      <c r="EGF4"/>
      <c r="EGG4"/>
      <c r="EGH4"/>
      <c r="EGI4"/>
      <c r="EGJ4"/>
      <c r="EGK4"/>
      <c r="EGL4"/>
      <c r="EGM4"/>
      <c r="EGN4"/>
      <c r="EGO4"/>
      <c r="EGP4"/>
      <c r="EGQ4"/>
      <c r="EGR4"/>
      <c r="EGS4"/>
      <c r="EGT4"/>
      <c r="EGU4"/>
      <c r="EGV4"/>
      <c r="EGW4"/>
      <c r="EGX4"/>
      <c r="EGY4"/>
      <c r="EGZ4"/>
      <c r="EHA4"/>
      <c r="EHB4"/>
      <c r="EHC4"/>
      <c r="EHD4"/>
      <c r="EHE4"/>
      <c r="EHF4"/>
      <c r="EHG4"/>
      <c r="EHH4"/>
      <c r="EHI4"/>
      <c r="EHJ4"/>
      <c r="EHK4"/>
      <c r="EHL4"/>
      <c r="EHM4"/>
      <c r="EHN4"/>
      <c r="EHO4"/>
      <c r="EHP4"/>
      <c r="EHQ4"/>
      <c r="EHR4"/>
      <c r="EHS4"/>
      <c r="EHT4"/>
      <c r="EHU4"/>
      <c r="EHV4"/>
      <c r="EHW4"/>
      <c r="EHX4"/>
      <c r="EHY4"/>
      <c r="EHZ4"/>
      <c r="EIA4"/>
      <c r="EIB4"/>
      <c r="EIC4"/>
      <c r="EID4"/>
      <c r="EIE4"/>
      <c r="EIF4"/>
      <c r="EIG4"/>
      <c r="EIH4"/>
      <c r="EII4"/>
      <c r="EIJ4"/>
      <c r="EIK4"/>
      <c r="EIL4"/>
      <c r="EIM4"/>
      <c r="EIN4"/>
      <c r="EIO4"/>
      <c r="EIP4"/>
      <c r="EIQ4"/>
      <c r="EIR4"/>
      <c r="EIS4"/>
      <c r="EIT4"/>
      <c r="EIU4"/>
      <c r="EIV4"/>
      <c r="EIW4"/>
      <c r="EIX4"/>
      <c r="EIY4"/>
      <c r="EIZ4"/>
      <c r="EJA4"/>
      <c r="EJB4"/>
      <c r="EJC4"/>
      <c r="EJD4"/>
      <c r="EJE4"/>
      <c r="EJF4"/>
      <c r="EJG4"/>
      <c r="EJH4"/>
      <c r="EJI4"/>
      <c r="EJJ4"/>
      <c r="EJK4"/>
      <c r="EJL4"/>
      <c r="EJM4"/>
      <c r="EJN4"/>
      <c r="EJO4"/>
      <c r="EJP4"/>
      <c r="EJQ4"/>
      <c r="EJR4"/>
      <c r="EJS4"/>
      <c r="EJT4"/>
      <c r="EJU4"/>
      <c r="EJV4"/>
      <c r="EJW4"/>
      <c r="EJX4"/>
      <c r="EJY4"/>
      <c r="EJZ4"/>
      <c r="EKA4"/>
      <c r="EKB4"/>
      <c r="EKC4"/>
      <c r="EKD4"/>
      <c r="EKE4"/>
      <c r="EKF4"/>
      <c r="EKG4"/>
      <c r="EKH4"/>
      <c r="EKI4"/>
      <c r="EKJ4"/>
      <c r="EKK4"/>
      <c r="EKL4"/>
      <c r="EKM4"/>
      <c r="EKN4"/>
      <c r="EKO4"/>
      <c r="EKP4"/>
      <c r="EKQ4"/>
      <c r="EKR4"/>
      <c r="EKS4"/>
      <c r="EKT4"/>
      <c r="EKU4"/>
      <c r="EKV4"/>
      <c r="EKW4"/>
      <c r="EKX4"/>
      <c r="EKY4"/>
      <c r="EKZ4"/>
      <c r="ELA4"/>
      <c r="ELB4"/>
      <c r="ELC4"/>
      <c r="ELD4"/>
      <c r="ELE4"/>
      <c r="ELF4"/>
      <c r="ELG4"/>
      <c r="ELH4"/>
      <c r="ELI4"/>
      <c r="ELJ4"/>
      <c r="ELK4"/>
      <c r="ELL4"/>
      <c r="ELM4"/>
      <c r="ELN4"/>
      <c r="ELO4"/>
      <c r="ELP4"/>
      <c r="ELQ4"/>
      <c r="ELR4"/>
      <c r="ELS4"/>
      <c r="ELT4"/>
      <c r="ELU4"/>
      <c r="ELV4"/>
      <c r="ELW4"/>
      <c r="ELX4"/>
      <c r="ELY4"/>
      <c r="ELZ4"/>
      <c r="EMA4"/>
      <c r="EMB4"/>
      <c r="EMC4"/>
      <c r="EMD4"/>
      <c r="EME4"/>
      <c r="EMF4"/>
      <c r="EMG4"/>
      <c r="EMH4"/>
      <c r="EMI4"/>
      <c r="EMJ4"/>
      <c r="EMK4"/>
      <c r="EML4"/>
      <c r="EMM4"/>
      <c r="EMN4"/>
      <c r="EMO4"/>
      <c r="EMP4"/>
      <c r="EMQ4"/>
      <c r="EMR4"/>
      <c r="EMS4"/>
      <c r="EMT4"/>
      <c r="EMU4"/>
      <c r="EMV4"/>
      <c r="EMW4"/>
      <c r="EMX4"/>
      <c r="EMY4"/>
      <c r="EMZ4"/>
      <c r="ENA4"/>
      <c r="ENB4"/>
      <c r="ENC4"/>
      <c r="END4"/>
      <c r="ENE4"/>
      <c r="ENF4"/>
      <c r="ENG4"/>
      <c r="ENH4"/>
      <c r="ENI4"/>
      <c r="ENJ4"/>
      <c r="ENK4"/>
      <c r="ENL4"/>
      <c r="ENM4"/>
      <c r="ENN4"/>
      <c r="ENO4"/>
      <c r="ENP4"/>
      <c r="ENQ4"/>
      <c r="ENR4"/>
      <c r="ENS4"/>
      <c r="ENT4"/>
      <c r="ENU4"/>
      <c r="ENV4"/>
      <c r="ENW4"/>
      <c r="ENX4"/>
      <c r="ENY4"/>
      <c r="ENZ4"/>
      <c r="EOA4"/>
      <c r="EOB4"/>
      <c r="EOC4"/>
      <c r="EOD4"/>
      <c r="EOE4"/>
      <c r="EOF4"/>
      <c r="EOG4"/>
      <c r="EOH4"/>
      <c r="EOI4"/>
      <c r="EOJ4"/>
      <c r="EOK4"/>
      <c r="EOL4"/>
      <c r="EOM4"/>
      <c r="EON4"/>
      <c r="EOO4"/>
      <c r="EOP4"/>
      <c r="EOQ4"/>
      <c r="EOR4"/>
      <c r="EOS4"/>
      <c r="EOT4"/>
      <c r="EOU4"/>
      <c r="EOV4"/>
      <c r="EOW4"/>
      <c r="EOX4"/>
      <c r="EOY4"/>
      <c r="EOZ4"/>
      <c r="EPA4"/>
      <c r="EPB4"/>
      <c r="EPC4"/>
      <c r="EPD4"/>
      <c r="EPE4"/>
      <c r="EPF4"/>
      <c r="EPG4"/>
      <c r="EPH4"/>
      <c r="EPI4"/>
      <c r="EPJ4"/>
      <c r="EPK4"/>
      <c r="EPL4"/>
      <c r="EPM4"/>
      <c r="EPN4"/>
      <c r="EPO4"/>
      <c r="EPP4"/>
      <c r="EPQ4"/>
      <c r="EPR4"/>
      <c r="EPS4"/>
      <c r="EPT4"/>
      <c r="EPU4"/>
      <c r="EPV4"/>
      <c r="EPW4"/>
      <c r="EPX4"/>
      <c r="EPY4"/>
      <c r="EPZ4"/>
      <c r="EQA4"/>
      <c r="EQB4"/>
      <c r="EQC4"/>
      <c r="EQD4"/>
      <c r="EQE4"/>
      <c r="EQF4"/>
      <c r="EQG4"/>
      <c r="EQH4"/>
      <c r="EQI4"/>
      <c r="EQJ4"/>
      <c r="EQK4"/>
      <c r="EQL4"/>
      <c r="EQM4"/>
      <c r="EQN4"/>
      <c r="EQO4"/>
      <c r="EQP4"/>
      <c r="EQQ4"/>
      <c r="EQR4"/>
      <c r="EQS4"/>
      <c r="EQT4"/>
      <c r="EQU4"/>
      <c r="EQV4"/>
      <c r="EQW4"/>
      <c r="EQX4"/>
      <c r="EQY4"/>
      <c r="EQZ4"/>
      <c r="ERA4"/>
      <c r="ERB4"/>
      <c r="ERC4"/>
      <c r="ERD4"/>
      <c r="ERE4"/>
      <c r="ERF4"/>
      <c r="ERG4"/>
      <c r="ERH4"/>
      <c r="ERI4"/>
      <c r="ERJ4"/>
      <c r="ERK4"/>
      <c r="ERL4"/>
      <c r="ERM4"/>
      <c r="ERN4"/>
      <c r="ERO4"/>
      <c r="ERP4"/>
      <c r="ERQ4"/>
      <c r="ERR4"/>
      <c r="ERS4"/>
      <c r="ERT4"/>
      <c r="ERU4"/>
      <c r="ERV4"/>
      <c r="ERW4"/>
      <c r="ERX4"/>
      <c r="ERY4"/>
      <c r="ERZ4"/>
      <c r="ESA4"/>
      <c r="ESB4"/>
      <c r="ESC4"/>
      <c r="ESD4"/>
      <c r="ESE4"/>
      <c r="ESF4"/>
      <c r="ESG4"/>
      <c r="ESH4"/>
      <c r="ESI4"/>
      <c r="ESJ4"/>
      <c r="ESK4"/>
      <c r="ESL4"/>
      <c r="ESM4"/>
      <c r="ESN4"/>
      <c r="ESO4"/>
      <c r="ESP4"/>
      <c r="ESQ4"/>
      <c r="ESR4"/>
      <c r="ESS4"/>
      <c r="EST4"/>
      <c r="ESU4"/>
      <c r="ESV4"/>
      <c r="ESW4"/>
      <c r="ESX4"/>
      <c r="ESY4"/>
      <c r="ESZ4"/>
      <c r="ETA4"/>
      <c r="ETB4"/>
      <c r="ETC4"/>
      <c r="ETD4"/>
      <c r="ETE4"/>
      <c r="ETF4"/>
      <c r="ETG4"/>
      <c r="ETH4"/>
      <c r="ETI4"/>
      <c r="ETJ4"/>
      <c r="ETK4"/>
      <c r="ETL4"/>
      <c r="ETM4"/>
      <c r="ETN4"/>
      <c r="ETO4"/>
      <c r="ETP4"/>
      <c r="ETQ4"/>
      <c r="ETR4"/>
      <c r="ETS4"/>
      <c r="ETT4"/>
      <c r="ETU4"/>
      <c r="ETV4"/>
      <c r="ETW4"/>
      <c r="ETX4"/>
      <c r="ETY4"/>
      <c r="ETZ4"/>
      <c r="EUA4"/>
      <c r="EUB4"/>
      <c r="EUC4"/>
      <c r="EUD4"/>
      <c r="EUE4"/>
      <c r="EUF4"/>
      <c r="EUG4"/>
      <c r="EUH4"/>
      <c r="EUI4"/>
      <c r="EUJ4"/>
      <c r="EUK4"/>
      <c r="EUL4"/>
      <c r="EUM4"/>
      <c r="EUN4"/>
      <c r="EUO4"/>
      <c r="EUP4"/>
      <c r="EUQ4"/>
      <c r="EUR4"/>
      <c r="EUS4"/>
      <c r="EUT4"/>
      <c r="EUU4"/>
      <c r="EUV4"/>
      <c r="EUW4"/>
      <c r="EUX4"/>
      <c r="EUY4"/>
      <c r="EUZ4"/>
      <c r="EVA4"/>
      <c r="EVB4"/>
      <c r="EVC4"/>
      <c r="EVD4"/>
      <c r="EVE4"/>
      <c r="EVF4"/>
      <c r="EVG4"/>
      <c r="EVH4"/>
      <c r="EVI4"/>
      <c r="EVJ4"/>
      <c r="EVK4"/>
      <c r="EVL4"/>
      <c r="EVM4"/>
      <c r="EVN4"/>
      <c r="EVO4"/>
      <c r="EVP4"/>
      <c r="EVQ4"/>
      <c r="EVR4"/>
      <c r="EVS4"/>
      <c r="EVT4"/>
      <c r="EVU4"/>
      <c r="EVV4"/>
      <c r="EVW4"/>
      <c r="EVX4"/>
      <c r="EVY4"/>
      <c r="EVZ4"/>
      <c r="EWA4"/>
      <c r="EWB4"/>
      <c r="EWC4"/>
      <c r="EWD4"/>
      <c r="EWE4"/>
      <c r="EWF4"/>
      <c r="EWG4"/>
      <c r="EWH4"/>
      <c r="EWI4"/>
      <c r="EWJ4"/>
      <c r="EWK4"/>
      <c r="EWL4"/>
      <c r="EWM4"/>
      <c r="EWN4"/>
      <c r="EWO4"/>
      <c r="EWP4"/>
      <c r="EWQ4"/>
      <c r="EWR4"/>
      <c r="EWS4"/>
      <c r="EWT4"/>
      <c r="EWU4"/>
      <c r="EWV4"/>
      <c r="EWW4"/>
      <c r="EWX4"/>
      <c r="EWY4"/>
      <c r="EWZ4"/>
      <c r="EXA4"/>
      <c r="EXB4"/>
      <c r="EXC4"/>
      <c r="EXD4"/>
      <c r="EXE4"/>
      <c r="EXF4"/>
      <c r="EXG4"/>
      <c r="EXH4"/>
      <c r="EXI4"/>
      <c r="EXJ4"/>
      <c r="EXK4"/>
      <c r="EXL4"/>
      <c r="EXM4"/>
      <c r="EXN4"/>
      <c r="EXO4"/>
      <c r="EXP4"/>
      <c r="EXQ4"/>
      <c r="EXR4"/>
      <c r="EXS4"/>
      <c r="EXT4"/>
      <c r="EXU4"/>
      <c r="EXV4"/>
      <c r="EXW4"/>
      <c r="EXX4"/>
      <c r="EXY4"/>
      <c r="EXZ4"/>
      <c r="EYA4"/>
      <c r="EYB4"/>
      <c r="EYC4"/>
      <c r="EYD4"/>
      <c r="EYE4"/>
      <c r="EYF4"/>
      <c r="EYG4"/>
      <c r="EYH4"/>
      <c r="EYI4"/>
      <c r="EYJ4"/>
      <c r="EYK4"/>
      <c r="EYL4"/>
      <c r="EYM4"/>
      <c r="EYN4"/>
      <c r="EYO4"/>
      <c r="EYP4"/>
      <c r="EYQ4"/>
      <c r="EYR4"/>
      <c r="EYS4"/>
      <c r="EYT4"/>
      <c r="EYU4"/>
      <c r="EYV4"/>
      <c r="EYW4"/>
      <c r="EYX4"/>
      <c r="EYY4"/>
      <c r="EYZ4"/>
      <c r="EZA4"/>
      <c r="EZB4"/>
      <c r="EZC4"/>
      <c r="EZD4"/>
      <c r="EZE4"/>
      <c r="EZF4"/>
      <c r="EZG4"/>
      <c r="EZH4"/>
      <c r="EZI4"/>
      <c r="EZJ4"/>
      <c r="EZK4"/>
      <c r="EZL4"/>
      <c r="EZM4"/>
      <c r="EZN4"/>
      <c r="EZO4"/>
      <c r="EZP4"/>
      <c r="EZQ4"/>
      <c r="EZR4"/>
      <c r="EZS4"/>
      <c r="EZT4"/>
      <c r="EZU4"/>
      <c r="EZV4"/>
      <c r="EZW4"/>
      <c r="EZX4"/>
      <c r="EZY4"/>
      <c r="EZZ4"/>
      <c r="FAA4"/>
      <c r="FAB4"/>
      <c r="FAC4"/>
      <c r="FAD4"/>
      <c r="FAE4"/>
      <c r="FAF4"/>
      <c r="FAG4"/>
      <c r="FAH4"/>
      <c r="FAI4"/>
      <c r="FAJ4"/>
      <c r="FAK4"/>
      <c r="FAL4"/>
      <c r="FAM4"/>
      <c r="FAN4"/>
      <c r="FAO4"/>
      <c r="FAP4"/>
      <c r="FAQ4"/>
      <c r="FAR4"/>
      <c r="FAS4"/>
      <c r="FAT4"/>
      <c r="FAU4"/>
      <c r="FAV4"/>
      <c r="FAW4"/>
      <c r="FAX4"/>
      <c r="FAY4"/>
      <c r="FAZ4"/>
      <c r="FBA4"/>
      <c r="FBB4"/>
      <c r="FBC4"/>
      <c r="FBD4"/>
      <c r="FBE4"/>
      <c r="FBF4"/>
      <c r="FBG4"/>
      <c r="FBH4"/>
      <c r="FBI4"/>
      <c r="FBJ4"/>
      <c r="FBK4"/>
      <c r="FBL4"/>
      <c r="FBM4"/>
      <c r="FBN4"/>
      <c r="FBO4"/>
      <c r="FBP4"/>
      <c r="FBQ4"/>
      <c r="FBR4"/>
      <c r="FBS4"/>
      <c r="FBT4"/>
      <c r="FBU4"/>
      <c r="FBV4"/>
      <c r="FBW4"/>
      <c r="FBX4"/>
      <c r="FBY4"/>
      <c r="FBZ4"/>
      <c r="FCA4"/>
      <c r="FCB4"/>
      <c r="FCC4"/>
      <c r="FCD4"/>
      <c r="FCE4"/>
      <c r="FCF4"/>
      <c r="FCG4"/>
      <c r="FCH4"/>
      <c r="FCI4"/>
      <c r="FCJ4"/>
      <c r="FCK4"/>
      <c r="FCL4"/>
      <c r="FCM4"/>
      <c r="FCN4"/>
      <c r="FCO4"/>
      <c r="FCP4"/>
      <c r="FCQ4"/>
      <c r="FCR4"/>
      <c r="FCS4"/>
      <c r="FCT4"/>
      <c r="FCU4"/>
      <c r="FCV4"/>
      <c r="FCW4"/>
      <c r="FCX4"/>
      <c r="FCY4"/>
      <c r="FCZ4"/>
      <c r="FDA4"/>
      <c r="FDB4"/>
      <c r="FDC4"/>
      <c r="FDD4"/>
      <c r="FDE4"/>
      <c r="FDF4"/>
      <c r="FDG4"/>
      <c r="FDH4"/>
      <c r="FDI4"/>
      <c r="FDJ4"/>
      <c r="FDK4"/>
      <c r="FDL4"/>
      <c r="FDM4"/>
      <c r="FDN4"/>
      <c r="FDO4"/>
      <c r="FDP4"/>
      <c r="FDQ4"/>
      <c r="FDR4"/>
      <c r="FDS4"/>
      <c r="FDT4"/>
      <c r="FDU4"/>
      <c r="FDV4"/>
      <c r="FDW4"/>
      <c r="FDX4"/>
      <c r="FDY4"/>
      <c r="FDZ4"/>
      <c r="FEA4"/>
      <c r="FEB4"/>
      <c r="FEC4"/>
      <c r="FED4"/>
      <c r="FEE4"/>
      <c r="FEF4"/>
      <c r="FEG4"/>
      <c r="FEH4"/>
      <c r="FEI4"/>
      <c r="FEJ4"/>
      <c r="FEK4"/>
      <c r="FEL4"/>
      <c r="FEM4"/>
      <c r="FEN4"/>
      <c r="FEO4"/>
      <c r="FEP4"/>
      <c r="FEQ4"/>
      <c r="FER4"/>
      <c r="FES4"/>
      <c r="FET4"/>
      <c r="FEU4"/>
      <c r="FEV4"/>
      <c r="FEW4"/>
      <c r="FEX4"/>
      <c r="FEY4"/>
      <c r="FEZ4"/>
      <c r="FFA4"/>
      <c r="FFB4"/>
      <c r="FFC4"/>
      <c r="FFD4"/>
      <c r="FFE4"/>
      <c r="FFF4"/>
      <c r="FFG4"/>
      <c r="FFH4"/>
      <c r="FFI4"/>
      <c r="FFJ4"/>
      <c r="FFK4"/>
      <c r="FFL4"/>
      <c r="FFM4"/>
      <c r="FFN4"/>
      <c r="FFO4"/>
      <c r="FFP4"/>
      <c r="FFQ4"/>
      <c r="FFR4"/>
      <c r="FFS4"/>
      <c r="FFT4"/>
      <c r="FFU4"/>
      <c r="FFV4"/>
      <c r="FFW4"/>
      <c r="FFX4"/>
      <c r="FFY4"/>
      <c r="FFZ4"/>
      <c r="FGA4"/>
      <c r="FGB4"/>
      <c r="FGC4"/>
      <c r="FGD4"/>
      <c r="FGE4"/>
      <c r="FGF4"/>
      <c r="FGG4"/>
      <c r="FGH4"/>
      <c r="FGI4"/>
      <c r="FGJ4"/>
      <c r="FGK4"/>
      <c r="FGL4"/>
      <c r="FGM4"/>
      <c r="FGN4"/>
      <c r="FGO4"/>
      <c r="FGP4"/>
      <c r="FGQ4"/>
      <c r="FGR4"/>
      <c r="FGS4"/>
      <c r="FGT4"/>
      <c r="FGU4"/>
      <c r="FGV4"/>
      <c r="FGW4"/>
      <c r="FGX4"/>
      <c r="FGY4"/>
      <c r="FGZ4"/>
      <c r="FHA4"/>
      <c r="FHB4"/>
      <c r="FHC4"/>
      <c r="FHD4"/>
      <c r="FHE4"/>
      <c r="FHF4"/>
      <c r="FHG4"/>
      <c r="FHH4"/>
      <c r="FHI4"/>
      <c r="FHJ4"/>
      <c r="FHK4"/>
      <c r="FHL4"/>
      <c r="FHM4"/>
      <c r="FHN4"/>
      <c r="FHO4"/>
      <c r="FHP4"/>
      <c r="FHQ4"/>
      <c r="FHR4"/>
      <c r="FHS4"/>
      <c r="FHT4"/>
      <c r="FHU4"/>
      <c r="FHV4"/>
      <c r="FHW4"/>
      <c r="FHX4"/>
      <c r="FHY4"/>
      <c r="FHZ4"/>
      <c r="FIA4"/>
      <c r="FIB4"/>
      <c r="FIC4"/>
      <c r="FID4"/>
      <c r="FIE4"/>
      <c r="FIF4"/>
      <c r="FIG4"/>
      <c r="FIH4"/>
      <c r="FII4"/>
      <c r="FIJ4"/>
      <c r="FIK4"/>
      <c r="FIL4"/>
      <c r="FIM4"/>
      <c r="FIN4"/>
      <c r="FIO4"/>
      <c r="FIP4"/>
      <c r="FIQ4"/>
      <c r="FIR4"/>
      <c r="FIS4"/>
      <c r="FIT4"/>
      <c r="FIU4"/>
      <c r="FIV4"/>
      <c r="FIW4"/>
      <c r="FIX4"/>
      <c r="FIY4"/>
      <c r="FIZ4"/>
      <c r="FJA4"/>
      <c r="FJB4"/>
      <c r="FJC4"/>
      <c r="FJD4"/>
      <c r="FJE4"/>
      <c r="FJF4"/>
      <c r="FJG4"/>
      <c r="FJH4"/>
      <c r="FJI4"/>
      <c r="FJJ4"/>
      <c r="FJK4"/>
      <c r="FJL4"/>
      <c r="FJM4"/>
      <c r="FJN4"/>
      <c r="FJO4"/>
      <c r="FJP4"/>
      <c r="FJQ4"/>
      <c r="FJR4"/>
      <c r="FJS4"/>
      <c r="FJT4"/>
      <c r="FJU4"/>
      <c r="FJV4"/>
      <c r="FJW4"/>
      <c r="FJX4"/>
      <c r="FJY4"/>
      <c r="FJZ4"/>
      <c r="FKA4"/>
      <c r="FKB4"/>
      <c r="FKC4"/>
      <c r="FKD4"/>
      <c r="FKE4"/>
      <c r="FKF4"/>
      <c r="FKG4"/>
      <c r="FKH4"/>
      <c r="FKI4"/>
      <c r="FKJ4"/>
      <c r="FKK4"/>
      <c r="FKL4"/>
      <c r="FKM4"/>
      <c r="FKN4"/>
      <c r="FKO4"/>
      <c r="FKP4"/>
      <c r="FKQ4"/>
      <c r="FKR4"/>
      <c r="FKS4"/>
      <c r="FKT4"/>
      <c r="FKU4"/>
      <c r="FKV4"/>
      <c r="FKW4"/>
      <c r="FKX4"/>
      <c r="FKY4"/>
      <c r="FKZ4"/>
      <c r="FLA4"/>
      <c r="FLB4"/>
      <c r="FLC4"/>
      <c r="FLD4"/>
      <c r="FLE4"/>
      <c r="FLF4"/>
      <c r="FLG4"/>
      <c r="FLH4"/>
      <c r="FLI4"/>
      <c r="FLJ4"/>
      <c r="FLK4"/>
      <c r="FLL4"/>
      <c r="FLM4"/>
      <c r="FLN4"/>
      <c r="FLO4"/>
      <c r="FLP4"/>
      <c r="FLQ4"/>
      <c r="FLR4"/>
      <c r="FLS4"/>
      <c r="FLT4"/>
      <c r="FLU4"/>
      <c r="FLV4"/>
      <c r="FLW4"/>
      <c r="FLX4"/>
      <c r="FLY4"/>
      <c r="FLZ4"/>
      <c r="FMA4"/>
      <c r="FMB4"/>
      <c r="FMC4"/>
      <c r="FMD4"/>
      <c r="FME4"/>
      <c r="FMF4"/>
      <c r="FMG4"/>
      <c r="FMH4"/>
      <c r="FMI4"/>
      <c r="FMJ4"/>
      <c r="FMK4"/>
      <c r="FML4"/>
      <c r="FMM4"/>
      <c r="FMN4"/>
      <c r="FMO4"/>
      <c r="FMP4"/>
      <c r="FMQ4"/>
      <c r="FMR4"/>
      <c r="FMS4"/>
      <c r="FMT4"/>
      <c r="FMU4"/>
      <c r="FMV4"/>
      <c r="FMW4"/>
      <c r="FMX4"/>
      <c r="FMY4"/>
      <c r="FMZ4"/>
      <c r="FNA4"/>
      <c r="FNB4"/>
      <c r="FNC4"/>
      <c r="FND4"/>
      <c r="FNE4"/>
      <c r="FNF4"/>
      <c r="FNG4"/>
      <c r="FNH4"/>
      <c r="FNI4"/>
      <c r="FNJ4"/>
      <c r="FNK4"/>
      <c r="FNL4"/>
      <c r="FNM4"/>
      <c r="FNN4"/>
      <c r="FNO4"/>
      <c r="FNP4"/>
      <c r="FNQ4"/>
      <c r="FNR4"/>
      <c r="FNS4"/>
      <c r="FNT4"/>
      <c r="FNU4"/>
      <c r="FNV4"/>
      <c r="FNW4"/>
      <c r="FNX4"/>
      <c r="FNY4"/>
      <c r="FNZ4"/>
      <c r="FOA4"/>
      <c r="FOB4"/>
      <c r="FOC4"/>
      <c r="FOD4"/>
      <c r="FOE4"/>
      <c r="FOF4"/>
      <c r="FOG4"/>
      <c r="FOH4"/>
      <c r="FOI4"/>
      <c r="FOJ4"/>
      <c r="FOK4"/>
      <c r="FOL4"/>
      <c r="FOM4"/>
      <c r="FON4"/>
      <c r="FOO4"/>
      <c r="FOP4"/>
      <c r="FOQ4"/>
      <c r="FOR4"/>
      <c r="FOS4"/>
      <c r="FOT4"/>
      <c r="FOU4"/>
      <c r="FOV4"/>
      <c r="FOW4"/>
      <c r="FOX4"/>
      <c r="FOY4"/>
      <c r="FOZ4"/>
      <c r="FPA4"/>
      <c r="FPB4"/>
      <c r="FPC4"/>
      <c r="FPD4"/>
      <c r="FPE4"/>
      <c r="FPF4"/>
      <c r="FPG4"/>
      <c r="FPH4"/>
      <c r="FPI4"/>
      <c r="FPJ4"/>
      <c r="FPK4"/>
      <c r="FPL4"/>
      <c r="FPM4"/>
      <c r="FPN4"/>
      <c r="FPO4"/>
      <c r="FPP4"/>
      <c r="FPQ4"/>
      <c r="FPR4"/>
      <c r="FPS4"/>
      <c r="FPT4"/>
      <c r="FPU4"/>
      <c r="FPV4"/>
      <c r="FPW4"/>
      <c r="FPX4"/>
      <c r="FPY4"/>
      <c r="FPZ4"/>
      <c r="FQA4"/>
      <c r="FQB4"/>
      <c r="FQC4"/>
      <c r="FQD4"/>
      <c r="FQE4"/>
      <c r="FQF4"/>
      <c r="FQG4"/>
      <c r="FQH4"/>
      <c r="FQI4"/>
      <c r="FQJ4"/>
      <c r="FQK4"/>
      <c r="FQL4"/>
      <c r="FQM4"/>
      <c r="FQN4"/>
      <c r="FQO4"/>
      <c r="FQP4"/>
      <c r="FQQ4"/>
      <c r="FQR4"/>
      <c r="FQS4"/>
      <c r="FQT4"/>
      <c r="FQU4"/>
      <c r="FQV4"/>
      <c r="FQW4"/>
      <c r="FQX4"/>
      <c r="FQY4"/>
      <c r="FQZ4"/>
      <c r="FRA4"/>
      <c r="FRB4"/>
      <c r="FRC4"/>
      <c r="FRD4"/>
      <c r="FRE4"/>
      <c r="FRF4"/>
      <c r="FRG4"/>
      <c r="FRH4"/>
      <c r="FRI4"/>
      <c r="FRJ4"/>
      <c r="FRK4"/>
      <c r="FRL4"/>
      <c r="FRM4"/>
      <c r="FRN4"/>
      <c r="FRO4"/>
      <c r="FRP4"/>
      <c r="FRQ4"/>
      <c r="FRR4"/>
      <c r="FRS4"/>
      <c r="FRT4"/>
      <c r="FRU4"/>
      <c r="FRV4"/>
      <c r="FRW4"/>
      <c r="FRX4"/>
      <c r="FRY4"/>
      <c r="FRZ4"/>
      <c r="FSA4"/>
      <c r="FSB4"/>
      <c r="FSC4"/>
      <c r="FSD4"/>
      <c r="FSE4"/>
      <c r="FSF4"/>
      <c r="FSG4"/>
      <c r="FSH4"/>
      <c r="FSI4"/>
      <c r="FSJ4"/>
      <c r="FSK4"/>
      <c r="FSL4"/>
      <c r="FSM4"/>
      <c r="FSN4"/>
      <c r="FSO4"/>
      <c r="FSP4"/>
      <c r="FSQ4"/>
      <c r="FSR4"/>
      <c r="FSS4"/>
      <c r="FST4"/>
      <c r="FSU4"/>
      <c r="FSV4"/>
      <c r="FSW4"/>
      <c r="FSX4"/>
      <c r="FSY4"/>
      <c r="FSZ4"/>
      <c r="FTA4"/>
      <c r="FTB4"/>
      <c r="FTC4"/>
      <c r="FTD4"/>
      <c r="FTE4"/>
      <c r="FTF4"/>
      <c r="FTG4"/>
      <c r="FTH4"/>
      <c r="FTI4"/>
      <c r="FTJ4"/>
      <c r="FTK4"/>
      <c r="FTL4"/>
      <c r="FTM4"/>
      <c r="FTN4"/>
      <c r="FTO4"/>
      <c r="FTP4"/>
      <c r="FTQ4"/>
      <c r="FTR4"/>
      <c r="FTS4"/>
      <c r="FTT4"/>
      <c r="FTU4"/>
      <c r="FTV4"/>
      <c r="FTW4"/>
      <c r="FTX4"/>
      <c r="FTY4"/>
      <c r="FTZ4"/>
      <c r="FUA4"/>
      <c r="FUB4"/>
      <c r="FUC4"/>
      <c r="FUD4"/>
      <c r="FUE4"/>
      <c r="FUF4"/>
      <c r="FUG4"/>
      <c r="FUH4"/>
      <c r="FUI4"/>
      <c r="FUJ4"/>
      <c r="FUK4"/>
      <c r="FUL4"/>
      <c r="FUM4"/>
      <c r="FUN4"/>
      <c r="FUO4"/>
      <c r="FUP4"/>
      <c r="FUQ4"/>
      <c r="FUR4"/>
      <c r="FUS4"/>
      <c r="FUT4"/>
      <c r="FUU4"/>
      <c r="FUV4"/>
      <c r="FUW4"/>
      <c r="FUX4"/>
      <c r="FUY4"/>
      <c r="FUZ4"/>
      <c r="FVA4"/>
      <c r="FVB4"/>
      <c r="FVC4"/>
      <c r="FVD4"/>
      <c r="FVE4"/>
      <c r="FVF4"/>
      <c r="FVG4"/>
      <c r="FVH4"/>
      <c r="FVI4"/>
      <c r="FVJ4"/>
      <c r="FVK4"/>
      <c r="FVL4"/>
      <c r="FVM4"/>
      <c r="FVN4"/>
      <c r="FVO4"/>
      <c r="FVP4"/>
      <c r="FVQ4"/>
      <c r="FVR4"/>
      <c r="FVS4"/>
      <c r="FVT4"/>
      <c r="FVU4"/>
      <c r="FVV4"/>
      <c r="FVW4"/>
      <c r="FVX4"/>
      <c r="FVY4"/>
      <c r="FVZ4"/>
      <c r="FWA4"/>
      <c r="FWB4"/>
      <c r="FWC4"/>
      <c r="FWD4"/>
      <c r="FWE4"/>
      <c r="FWF4"/>
      <c r="FWG4"/>
      <c r="FWH4"/>
      <c r="FWI4"/>
      <c r="FWJ4"/>
      <c r="FWK4"/>
      <c r="FWL4"/>
      <c r="FWM4"/>
      <c r="FWN4"/>
      <c r="FWO4"/>
      <c r="FWP4"/>
      <c r="FWQ4"/>
      <c r="FWR4"/>
      <c r="FWS4"/>
      <c r="FWT4"/>
      <c r="FWU4"/>
      <c r="FWV4"/>
      <c r="FWW4"/>
      <c r="FWX4"/>
      <c r="FWY4"/>
      <c r="FWZ4"/>
      <c r="FXA4"/>
      <c r="FXB4"/>
      <c r="FXC4"/>
      <c r="FXD4"/>
      <c r="FXE4"/>
      <c r="FXF4"/>
      <c r="FXG4"/>
      <c r="FXH4"/>
      <c r="FXI4"/>
      <c r="FXJ4"/>
      <c r="FXK4"/>
      <c r="FXL4"/>
      <c r="FXM4"/>
      <c r="FXN4"/>
      <c r="FXO4"/>
      <c r="FXP4"/>
      <c r="FXQ4"/>
      <c r="FXR4"/>
      <c r="FXS4"/>
      <c r="FXT4"/>
      <c r="FXU4"/>
      <c r="FXV4"/>
      <c r="FXW4"/>
      <c r="FXX4"/>
      <c r="FXY4"/>
      <c r="FXZ4"/>
      <c r="FYA4"/>
      <c r="FYB4"/>
      <c r="FYC4"/>
      <c r="FYD4"/>
      <c r="FYE4"/>
      <c r="FYF4"/>
      <c r="FYG4"/>
      <c r="FYH4"/>
      <c r="FYI4"/>
      <c r="FYJ4"/>
      <c r="FYK4"/>
      <c r="FYL4"/>
      <c r="FYM4"/>
      <c r="FYN4"/>
      <c r="FYO4"/>
      <c r="FYP4"/>
      <c r="FYQ4"/>
      <c r="FYR4"/>
      <c r="FYS4"/>
      <c r="FYT4"/>
      <c r="FYU4"/>
      <c r="FYV4"/>
      <c r="FYW4"/>
      <c r="FYX4"/>
      <c r="FYY4"/>
      <c r="FYZ4"/>
      <c r="FZA4"/>
      <c r="FZB4"/>
      <c r="FZC4"/>
      <c r="FZD4"/>
      <c r="FZE4"/>
      <c r="FZF4"/>
      <c r="FZG4"/>
      <c r="FZH4"/>
      <c r="FZI4"/>
      <c r="FZJ4"/>
      <c r="FZK4"/>
      <c r="FZL4"/>
      <c r="FZM4"/>
      <c r="FZN4"/>
      <c r="FZO4"/>
      <c r="FZP4"/>
      <c r="FZQ4"/>
      <c r="FZR4"/>
      <c r="FZS4"/>
      <c r="FZT4"/>
      <c r="FZU4"/>
      <c r="FZV4"/>
      <c r="FZW4"/>
      <c r="FZX4"/>
      <c r="FZY4"/>
      <c r="FZZ4"/>
      <c r="GAA4"/>
      <c r="GAB4"/>
      <c r="GAC4"/>
      <c r="GAD4"/>
      <c r="GAE4"/>
      <c r="GAF4"/>
      <c r="GAG4"/>
      <c r="GAH4"/>
      <c r="GAI4"/>
      <c r="GAJ4"/>
      <c r="GAK4"/>
      <c r="GAL4"/>
      <c r="GAM4"/>
      <c r="GAN4"/>
      <c r="GAO4"/>
      <c r="GAP4"/>
      <c r="GAQ4"/>
      <c r="GAR4"/>
      <c r="GAS4"/>
      <c r="GAT4"/>
      <c r="GAU4"/>
      <c r="GAV4"/>
      <c r="GAW4"/>
      <c r="GAX4"/>
      <c r="GAY4"/>
      <c r="GAZ4"/>
      <c r="GBA4"/>
      <c r="GBB4"/>
      <c r="GBC4"/>
      <c r="GBD4"/>
      <c r="GBE4"/>
      <c r="GBF4"/>
      <c r="GBG4"/>
      <c r="GBH4"/>
      <c r="GBI4"/>
      <c r="GBJ4"/>
      <c r="GBK4"/>
      <c r="GBL4"/>
      <c r="GBM4"/>
      <c r="GBN4"/>
      <c r="GBO4"/>
      <c r="GBP4"/>
      <c r="GBQ4"/>
      <c r="GBR4"/>
      <c r="GBS4"/>
      <c r="GBT4"/>
      <c r="GBU4"/>
      <c r="GBV4"/>
      <c r="GBW4"/>
      <c r="GBX4"/>
      <c r="GBY4"/>
      <c r="GBZ4"/>
      <c r="GCA4"/>
      <c r="GCB4"/>
      <c r="GCC4"/>
      <c r="GCD4"/>
      <c r="GCE4"/>
      <c r="GCF4"/>
      <c r="GCG4"/>
      <c r="GCH4"/>
      <c r="GCI4"/>
      <c r="GCJ4"/>
      <c r="GCK4"/>
      <c r="GCL4"/>
      <c r="GCM4"/>
      <c r="GCN4"/>
      <c r="GCO4"/>
      <c r="GCP4"/>
      <c r="GCQ4"/>
      <c r="GCR4"/>
      <c r="GCS4"/>
      <c r="GCT4"/>
      <c r="GCU4"/>
      <c r="GCV4"/>
      <c r="GCW4"/>
      <c r="GCX4"/>
      <c r="GCY4"/>
      <c r="GCZ4"/>
      <c r="GDA4"/>
      <c r="GDB4"/>
      <c r="GDC4"/>
      <c r="GDD4"/>
      <c r="GDE4"/>
      <c r="GDF4"/>
      <c r="GDG4"/>
      <c r="GDH4"/>
      <c r="GDI4"/>
      <c r="GDJ4"/>
      <c r="GDK4"/>
      <c r="GDL4"/>
      <c r="GDM4"/>
      <c r="GDN4"/>
      <c r="GDO4"/>
      <c r="GDP4"/>
      <c r="GDQ4"/>
      <c r="GDR4"/>
      <c r="GDS4"/>
      <c r="GDT4"/>
      <c r="GDU4"/>
      <c r="GDV4"/>
      <c r="GDW4"/>
      <c r="GDX4"/>
      <c r="GDY4"/>
      <c r="GDZ4"/>
      <c r="GEA4"/>
      <c r="GEB4"/>
      <c r="GEC4"/>
      <c r="GED4"/>
      <c r="GEE4"/>
      <c r="GEF4"/>
      <c r="GEG4"/>
      <c r="GEH4"/>
      <c r="GEI4"/>
      <c r="GEJ4"/>
      <c r="GEK4"/>
      <c r="GEL4"/>
      <c r="GEM4"/>
      <c r="GEN4"/>
      <c r="GEO4"/>
      <c r="GEP4"/>
      <c r="GEQ4"/>
      <c r="GER4"/>
      <c r="GES4"/>
      <c r="GET4"/>
      <c r="GEU4"/>
      <c r="GEV4"/>
      <c r="GEW4"/>
      <c r="GEX4"/>
      <c r="GEY4"/>
      <c r="GEZ4"/>
      <c r="GFA4"/>
      <c r="GFB4"/>
      <c r="GFC4"/>
      <c r="GFD4"/>
      <c r="GFE4"/>
      <c r="GFF4"/>
      <c r="GFG4"/>
      <c r="GFH4"/>
      <c r="GFI4"/>
      <c r="GFJ4"/>
      <c r="GFK4"/>
      <c r="GFL4"/>
      <c r="GFM4"/>
      <c r="GFN4"/>
      <c r="GFO4"/>
      <c r="GFP4"/>
      <c r="GFQ4"/>
      <c r="GFR4"/>
      <c r="GFS4"/>
      <c r="GFT4"/>
      <c r="GFU4"/>
      <c r="GFV4"/>
      <c r="GFW4"/>
      <c r="GFX4"/>
      <c r="GFY4"/>
      <c r="GFZ4"/>
      <c r="GGA4"/>
      <c r="GGB4"/>
      <c r="GGC4"/>
      <c r="GGD4"/>
      <c r="GGE4"/>
      <c r="GGF4"/>
      <c r="GGG4"/>
      <c r="GGH4"/>
      <c r="GGI4"/>
      <c r="GGJ4"/>
      <c r="GGK4"/>
      <c r="GGL4"/>
      <c r="GGM4"/>
      <c r="GGN4"/>
      <c r="GGO4"/>
      <c r="GGP4"/>
      <c r="GGQ4"/>
      <c r="GGR4"/>
      <c r="GGS4"/>
      <c r="GGT4"/>
      <c r="GGU4"/>
      <c r="GGV4"/>
      <c r="GGW4"/>
      <c r="GGX4"/>
      <c r="GGY4"/>
      <c r="GGZ4"/>
      <c r="GHA4"/>
      <c r="GHB4"/>
      <c r="GHC4"/>
      <c r="GHD4"/>
      <c r="GHE4"/>
      <c r="GHF4"/>
      <c r="GHG4"/>
      <c r="GHH4"/>
      <c r="GHI4"/>
      <c r="GHJ4"/>
      <c r="GHK4"/>
      <c r="GHL4"/>
      <c r="GHM4"/>
      <c r="GHN4"/>
      <c r="GHO4"/>
      <c r="GHP4"/>
      <c r="GHQ4"/>
      <c r="GHR4"/>
      <c r="GHS4"/>
      <c r="GHT4"/>
      <c r="GHU4"/>
      <c r="GHV4"/>
      <c r="GHW4"/>
      <c r="GHX4"/>
      <c r="GHY4"/>
      <c r="GHZ4"/>
      <c r="GIA4"/>
      <c r="GIB4"/>
      <c r="GIC4"/>
      <c r="GID4"/>
      <c r="GIE4"/>
      <c r="GIF4"/>
      <c r="GIG4"/>
      <c r="GIH4"/>
      <c r="GII4"/>
      <c r="GIJ4"/>
      <c r="GIK4"/>
      <c r="GIL4"/>
      <c r="GIM4"/>
      <c r="GIN4"/>
      <c r="GIO4"/>
      <c r="GIP4"/>
      <c r="GIQ4"/>
      <c r="GIR4"/>
      <c r="GIS4"/>
      <c r="GIT4"/>
      <c r="GIU4"/>
      <c r="GIV4"/>
      <c r="GIW4"/>
      <c r="GIX4"/>
      <c r="GIY4"/>
      <c r="GIZ4"/>
      <c r="GJA4"/>
      <c r="GJB4"/>
      <c r="GJC4"/>
      <c r="GJD4"/>
      <c r="GJE4"/>
      <c r="GJF4"/>
      <c r="GJG4"/>
      <c r="GJH4"/>
      <c r="GJI4"/>
      <c r="GJJ4"/>
      <c r="GJK4"/>
      <c r="GJL4"/>
      <c r="GJM4"/>
      <c r="GJN4"/>
      <c r="GJO4"/>
      <c r="GJP4"/>
      <c r="GJQ4"/>
      <c r="GJR4"/>
      <c r="GJS4"/>
      <c r="GJT4"/>
      <c r="GJU4"/>
      <c r="GJV4"/>
      <c r="GJW4"/>
      <c r="GJX4"/>
      <c r="GJY4"/>
      <c r="GJZ4"/>
      <c r="GKA4"/>
      <c r="GKB4"/>
      <c r="GKC4"/>
      <c r="GKD4"/>
      <c r="GKE4"/>
      <c r="GKF4"/>
      <c r="GKG4"/>
      <c r="GKH4"/>
      <c r="GKI4"/>
      <c r="GKJ4"/>
      <c r="GKK4"/>
      <c r="GKL4"/>
      <c r="GKM4"/>
      <c r="GKN4"/>
      <c r="GKO4"/>
      <c r="GKP4"/>
      <c r="GKQ4"/>
      <c r="GKR4"/>
      <c r="GKS4"/>
      <c r="GKT4"/>
      <c r="GKU4"/>
      <c r="GKV4"/>
      <c r="GKW4"/>
      <c r="GKX4"/>
      <c r="GKY4"/>
      <c r="GKZ4"/>
      <c r="GLA4"/>
      <c r="GLB4"/>
      <c r="GLC4"/>
      <c r="GLD4"/>
      <c r="GLE4"/>
      <c r="GLF4"/>
      <c r="GLG4"/>
      <c r="GLH4"/>
      <c r="GLI4"/>
      <c r="GLJ4"/>
      <c r="GLK4"/>
      <c r="GLL4"/>
      <c r="GLM4"/>
      <c r="GLN4"/>
      <c r="GLO4"/>
      <c r="GLP4"/>
      <c r="GLQ4"/>
      <c r="GLR4"/>
      <c r="GLS4"/>
      <c r="GLT4"/>
      <c r="GLU4"/>
      <c r="GLV4"/>
      <c r="GLW4"/>
      <c r="GLX4"/>
      <c r="GLY4"/>
      <c r="GLZ4"/>
      <c r="GMA4"/>
      <c r="GMB4"/>
      <c r="GMC4"/>
      <c r="GMD4"/>
      <c r="GME4"/>
      <c r="GMF4"/>
      <c r="GMG4"/>
      <c r="GMH4"/>
      <c r="GMI4"/>
      <c r="GMJ4"/>
      <c r="GMK4"/>
      <c r="GML4"/>
      <c r="GMM4"/>
      <c r="GMN4"/>
      <c r="GMO4"/>
      <c r="GMP4"/>
      <c r="GMQ4"/>
      <c r="GMR4"/>
      <c r="GMS4"/>
      <c r="GMT4"/>
      <c r="GMU4"/>
      <c r="GMV4"/>
      <c r="GMW4"/>
      <c r="GMX4"/>
      <c r="GMY4"/>
      <c r="GMZ4"/>
      <c r="GNA4"/>
      <c r="GNB4"/>
      <c r="GNC4"/>
      <c r="GND4"/>
      <c r="GNE4"/>
      <c r="GNF4"/>
      <c r="GNG4"/>
      <c r="GNH4"/>
      <c r="GNI4"/>
      <c r="GNJ4"/>
      <c r="GNK4"/>
      <c r="GNL4"/>
      <c r="GNM4"/>
      <c r="GNN4"/>
      <c r="GNO4"/>
      <c r="GNP4"/>
      <c r="GNQ4"/>
      <c r="GNR4"/>
      <c r="GNS4"/>
      <c r="GNT4"/>
      <c r="GNU4"/>
      <c r="GNV4"/>
      <c r="GNW4"/>
      <c r="GNX4"/>
      <c r="GNY4"/>
      <c r="GNZ4"/>
      <c r="GOA4"/>
      <c r="GOB4"/>
      <c r="GOC4"/>
      <c r="GOD4"/>
      <c r="GOE4"/>
      <c r="GOF4"/>
      <c r="GOG4"/>
      <c r="GOH4"/>
      <c r="GOI4"/>
      <c r="GOJ4"/>
      <c r="GOK4"/>
      <c r="GOL4"/>
      <c r="GOM4"/>
      <c r="GON4"/>
      <c r="GOO4"/>
      <c r="GOP4"/>
      <c r="GOQ4"/>
      <c r="GOR4"/>
      <c r="GOS4"/>
      <c r="GOT4"/>
      <c r="GOU4"/>
      <c r="GOV4"/>
      <c r="GOW4"/>
      <c r="GOX4"/>
      <c r="GOY4"/>
      <c r="GOZ4"/>
      <c r="GPA4"/>
      <c r="GPB4"/>
      <c r="GPC4"/>
      <c r="GPD4"/>
      <c r="GPE4"/>
      <c r="GPF4"/>
      <c r="GPG4"/>
      <c r="GPH4"/>
      <c r="GPI4"/>
      <c r="GPJ4"/>
      <c r="GPK4"/>
      <c r="GPL4"/>
      <c r="GPM4"/>
      <c r="GPN4"/>
      <c r="GPO4"/>
      <c r="GPP4"/>
      <c r="GPQ4"/>
      <c r="GPR4"/>
      <c r="GPS4"/>
      <c r="GPT4"/>
      <c r="GPU4"/>
      <c r="GPV4"/>
      <c r="GPW4"/>
      <c r="GPX4"/>
      <c r="GPY4"/>
      <c r="GPZ4"/>
      <c r="GQA4"/>
      <c r="GQB4"/>
      <c r="GQC4"/>
      <c r="GQD4"/>
      <c r="GQE4"/>
      <c r="GQF4"/>
      <c r="GQG4"/>
      <c r="GQH4"/>
      <c r="GQI4"/>
      <c r="GQJ4"/>
      <c r="GQK4"/>
      <c r="GQL4"/>
      <c r="GQM4"/>
      <c r="GQN4"/>
      <c r="GQO4"/>
      <c r="GQP4"/>
      <c r="GQQ4"/>
      <c r="GQR4"/>
      <c r="GQS4"/>
      <c r="GQT4"/>
      <c r="GQU4"/>
      <c r="GQV4"/>
      <c r="GQW4"/>
      <c r="GQX4"/>
      <c r="GQY4"/>
      <c r="GQZ4"/>
      <c r="GRA4"/>
      <c r="GRB4"/>
      <c r="GRC4"/>
      <c r="GRD4"/>
      <c r="GRE4"/>
      <c r="GRF4"/>
      <c r="GRG4"/>
      <c r="GRH4"/>
      <c r="GRI4"/>
      <c r="GRJ4"/>
      <c r="GRK4"/>
      <c r="GRL4"/>
      <c r="GRM4"/>
      <c r="GRN4"/>
      <c r="GRO4"/>
      <c r="GRP4"/>
      <c r="GRQ4"/>
      <c r="GRR4"/>
      <c r="GRS4"/>
      <c r="GRT4"/>
      <c r="GRU4"/>
      <c r="GRV4"/>
      <c r="GRW4"/>
      <c r="GRX4"/>
      <c r="GRY4"/>
      <c r="GRZ4"/>
      <c r="GSA4"/>
      <c r="GSB4"/>
      <c r="GSC4"/>
      <c r="GSD4"/>
      <c r="GSE4"/>
      <c r="GSF4"/>
      <c r="GSG4"/>
      <c r="GSH4"/>
      <c r="GSI4"/>
      <c r="GSJ4"/>
      <c r="GSK4"/>
      <c r="GSL4"/>
      <c r="GSM4"/>
      <c r="GSN4"/>
      <c r="GSO4"/>
      <c r="GSP4"/>
      <c r="GSQ4"/>
      <c r="GSR4"/>
      <c r="GSS4"/>
      <c r="GST4"/>
      <c r="GSU4"/>
      <c r="GSV4"/>
      <c r="GSW4"/>
      <c r="GSX4"/>
      <c r="GSY4"/>
      <c r="GSZ4"/>
      <c r="GTA4"/>
      <c r="GTB4"/>
      <c r="GTC4"/>
      <c r="GTD4"/>
      <c r="GTE4"/>
      <c r="GTF4"/>
      <c r="GTG4"/>
      <c r="GTH4"/>
      <c r="GTI4"/>
      <c r="GTJ4"/>
      <c r="GTK4"/>
      <c r="GTL4"/>
      <c r="GTM4"/>
      <c r="GTN4"/>
      <c r="GTO4"/>
      <c r="GTP4"/>
      <c r="GTQ4"/>
      <c r="GTR4"/>
      <c r="GTS4"/>
      <c r="GTT4"/>
      <c r="GTU4"/>
      <c r="GTV4"/>
      <c r="GTW4"/>
      <c r="GTX4"/>
      <c r="GTY4"/>
      <c r="GTZ4"/>
      <c r="GUA4"/>
      <c r="GUB4"/>
      <c r="GUC4"/>
      <c r="GUD4"/>
      <c r="GUE4"/>
      <c r="GUF4"/>
      <c r="GUG4"/>
      <c r="GUH4"/>
      <c r="GUI4"/>
      <c r="GUJ4"/>
      <c r="GUK4"/>
      <c r="GUL4"/>
      <c r="GUM4"/>
      <c r="GUN4"/>
      <c r="GUO4"/>
      <c r="GUP4"/>
      <c r="GUQ4"/>
      <c r="GUR4"/>
      <c r="GUS4"/>
      <c r="GUT4"/>
      <c r="GUU4"/>
      <c r="GUV4"/>
      <c r="GUW4"/>
      <c r="GUX4"/>
      <c r="GUY4"/>
      <c r="GUZ4"/>
      <c r="GVA4"/>
      <c r="GVB4"/>
      <c r="GVC4"/>
      <c r="GVD4"/>
      <c r="GVE4"/>
      <c r="GVF4"/>
      <c r="GVG4"/>
      <c r="GVH4"/>
      <c r="GVI4"/>
      <c r="GVJ4"/>
      <c r="GVK4"/>
      <c r="GVL4"/>
      <c r="GVM4"/>
      <c r="GVN4"/>
      <c r="GVO4"/>
      <c r="GVP4"/>
      <c r="GVQ4"/>
      <c r="GVR4"/>
      <c r="GVS4"/>
      <c r="GVT4"/>
      <c r="GVU4"/>
      <c r="GVV4"/>
      <c r="GVW4"/>
      <c r="GVX4"/>
      <c r="GVY4"/>
      <c r="GVZ4"/>
      <c r="GWA4"/>
      <c r="GWB4"/>
      <c r="GWC4"/>
      <c r="GWD4"/>
      <c r="GWE4"/>
      <c r="GWF4"/>
      <c r="GWG4"/>
      <c r="GWH4"/>
      <c r="GWI4"/>
      <c r="GWJ4"/>
      <c r="GWK4"/>
      <c r="GWL4"/>
      <c r="GWM4"/>
      <c r="GWN4"/>
      <c r="GWO4"/>
      <c r="GWP4"/>
      <c r="GWQ4"/>
      <c r="GWR4"/>
      <c r="GWS4"/>
      <c r="GWT4"/>
      <c r="GWU4"/>
      <c r="GWV4"/>
      <c r="GWW4"/>
      <c r="GWX4"/>
      <c r="GWY4"/>
      <c r="GWZ4"/>
      <c r="GXA4"/>
      <c r="GXB4"/>
      <c r="GXC4"/>
      <c r="GXD4"/>
      <c r="GXE4"/>
      <c r="GXF4"/>
      <c r="GXG4"/>
      <c r="GXH4"/>
      <c r="GXI4"/>
      <c r="GXJ4"/>
      <c r="GXK4"/>
      <c r="GXL4"/>
      <c r="GXM4"/>
      <c r="GXN4"/>
      <c r="GXO4"/>
      <c r="GXP4"/>
      <c r="GXQ4"/>
      <c r="GXR4"/>
      <c r="GXS4"/>
      <c r="GXT4"/>
      <c r="GXU4"/>
      <c r="GXV4"/>
      <c r="GXW4"/>
      <c r="GXX4"/>
      <c r="GXY4"/>
      <c r="GXZ4"/>
      <c r="GYA4"/>
      <c r="GYB4"/>
      <c r="GYC4"/>
      <c r="GYD4"/>
      <c r="GYE4"/>
      <c r="GYF4"/>
      <c r="GYG4"/>
      <c r="GYH4"/>
      <c r="GYI4"/>
      <c r="GYJ4"/>
      <c r="GYK4"/>
      <c r="GYL4"/>
      <c r="GYM4"/>
      <c r="GYN4"/>
      <c r="GYO4"/>
      <c r="GYP4"/>
      <c r="GYQ4"/>
      <c r="GYR4"/>
      <c r="GYS4"/>
      <c r="GYT4"/>
      <c r="GYU4"/>
      <c r="GYV4"/>
      <c r="GYW4"/>
      <c r="GYX4"/>
      <c r="GYY4"/>
      <c r="GYZ4"/>
      <c r="GZA4"/>
      <c r="GZB4"/>
      <c r="GZC4"/>
      <c r="GZD4"/>
      <c r="GZE4"/>
      <c r="GZF4"/>
      <c r="GZG4"/>
      <c r="GZH4"/>
      <c r="GZI4"/>
      <c r="GZJ4"/>
      <c r="GZK4"/>
      <c r="GZL4"/>
      <c r="GZM4"/>
      <c r="GZN4"/>
      <c r="GZO4"/>
      <c r="GZP4"/>
      <c r="GZQ4"/>
      <c r="GZR4"/>
      <c r="GZS4"/>
      <c r="GZT4"/>
      <c r="GZU4"/>
      <c r="GZV4"/>
      <c r="GZW4"/>
      <c r="GZX4"/>
      <c r="GZY4"/>
      <c r="GZZ4"/>
      <c r="HAA4"/>
      <c r="HAB4"/>
      <c r="HAC4"/>
      <c r="HAD4"/>
      <c r="HAE4"/>
      <c r="HAF4"/>
      <c r="HAG4"/>
      <c r="HAH4"/>
      <c r="HAI4"/>
      <c r="HAJ4"/>
      <c r="HAK4"/>
      <c r="HAL4"/>
      <c r="HAM4"/>
      <c r="HAN4"/>
      <c r="HAO4"/>
      <c r="HAP4"/>
      <c r="HAQ4"/>
      <c r="HAR4"/>
      <c r="HAS4"/>
      <c r="HAT4"/>
      <c r="HAU4"/>
      <c r="HAV4"/>
      <c r="HAW4"/>
      <c r="HAX4"/>
      <c r="HAY4"/>
      <c r="HAZ4"/>
      <c r="HBA4"/>
      <c r="HBB4"/>
      <c r="HBC4"/>
      <c r="HBD4"/>
      <c r="HBE4"/>
      <c r="HBF4"/>
      <c r="HBG4"/>
      <c r="HBH4"/>
      <c r="HBI4"/>
      <c r="HBJ4"/>
      <c r="HBK4"/>
      <c r="HBL4"/>
      <c r="HBM4"/>
      <c r="HBN4"/>
      <c r="HBO4"/>
      <c r="HBP4"/>
      <c r="HBQ4"/>
      <c r="HBR4"/>
      <c r="HBS4"/>
      <c r="HBT4"/>
      <c r="HBU4"/>
      <c r="HBV4"/>
      <c r="HBW4"/>
      <c r="HBX4"/>
      <c r="HBY4"/>
      <c r="HBZ4"/>
      <c r="HCA4"/>
      <c r="HCB4"/>
      <c r="HCC4"/>
      <c r="HCD4"/>
      <c r="HCE4"/>
      <c r="HCF4"/>
      <c r="HCG4"/>
      <c r="HCH4"/>
      <c r="HCI4"/>
      <c r="HCJ4"/>
      <c r="HCK4"/>
      <c r="HCL4"/>
      <c r="HCM4"/>
      <c r="HCN4"/>
      <c r="HCO4"/>
      <c r="HCP4"/>
      <c r="HCQ4"/>
      <c r="HCR4"/>
      <c r="HCS4"/>
      <c r="HCT4"/>
      <c r="HCU4"/>
      <c r="HCV4"/>
      <c r="HCW4"/>
      <c r="HCX4"/>
      <c r="HCY4"/>
      <c r="HCZ4"/>
      <c r="HDA4"/>
      <c r="HDB4"/>
      <c r="HDC4"/>
      <c r="HDD4"/>
      <c r="HDE4"/>
      <c r="HDF4"/>
      <c r="HDG4"/>
      <c r="HDH4"/>
      <c r="HDI4"/>
      <c r="HDJ4"/>
      <c r="HDK4"/>
      <c r="HDL4"/>
      <c r="HDM4"/>
      <c r="HDN4"/>
      <c r="HDO4"/>
      <c r="HDP4"/>
      <c r="HDQ4"/>
      <c r="HDR4"/>
      <c r="HDS4"/>
      <c r="HDT4"/>
      <c r="HDU4"/>
      <c r="HDV4"/>
      <c r="HDW4"/>
      <c r="HDX4"/>
      <c r="HDY4"/>
      <c r="HDZ4"/>
      <c r="HEA4"/>
      <c r="HEB4"/>
      <c r="HEC4"/>
      <c r="HED4"/>
      <c r="HEE4"/>
      <c r="HEF4"/>
      <c r="HEG4"/>
      <c r="HEH4"/>
      <c r="HEI4"/>
      <c r="HEJ4"/>
      <c r="HEK4"/>
      <c r="HEL4"/>
      <c r="HEM4"/>
      <c r="HEN4"/>
      <c r="HEO4"/>
      <c r="HEP4"/>
      <c r="HEQ4"/>
      <c r="HER4"/>
      <c r="HES4"/>
      <c r="HET4"/>
      <c r="HEU4"/>
      <c r="HEV4"/>
      <c r="HEW4"/>
      <c r="HEX4"/>
      <c r="HEY4"/>
      <c r="HEZ4"/>
      <c r="HFA4"/>
      <c r="HFB4"/>
      <c r="HFC4"/>
      <c r="HFD4"/>
      <c r="HFE4"/>
      <c r="HFF4"/>
      <c r="HFG4"/>
      <c r="HFH4"/>
      <c r="HFI4"/>
      <c r="HFJ4"/>
      <c r="HFK4"/>
      <c r="HFL4"/>
      <c r="HFM4"/>
      <c r="HFN4"/>
      <c r="HFO4"/>
      <c r="HFP4"/>
      <c r="HFQ4"/>
      <c r="HFR4"/>
      <c r="HFS4"/>
      <c r="HFT4"/>
      <c r="HFU4"/>
      <c r="HFV4"/>
      <c r="HFW4"/>
      <c r="HFX4"/>
      <c r="HFY4"/>
      <c r="HFZ4"/>
      <c r="HGA4"/>
      <c r="HGB4"/>
      <c r="HGC4"/>
      <c r="HGD4"/>
      <c r="HGE4"/>
      <c r="HGF4"/>
      <c r="HGG4"/>
      <c r="HGH4"/>
      <c r="HGI4"/>
      <c r="HGJ4"/>
      <c r="HGK4"/>
      <c r="HGL4"/>
      <c r="HGM4"/>
      <c r="HGN4"/>
      <c r="HGO4"/>
      <c r="HGP4"/>
      <c r="HGQ4"/>
      <c r="HGR4"/>
      <c r="HGS4"/>
      <c r="HGT4"/>
      <c r="HGU4"/>
      <c r="HGV4"/>
      <c r="HGW4"/>
      <c r="HGX4"/>
      <c r="HGY4"/>
      <c r="HGZ4"/>
      <c r="HHA4"/>
      <c r="HHB4"/>
      <c r="HHC4"/>
      <c r="HHD4"/>
      <c r="HHE4"/>
      <c r="HHF4"/>
      <c r="HHG4"/>
      <c r="HHH4"/>
      <c r="HHI4"/>
      <c r="HHJ4"/>
      <c r="HHK4"/>
      <c r="HHL4"/>
      <c r="HHM4"/>
      <c r="HHN4"/>
      <c r="HHO4"/>
      <c r="HHP4"/>
      <c r="HHQ4"/>
      <c r="HHR4"/>
      <c r="HHS4"/>
      <c r="HHT4"/>
      <c r="HHU4"/>
      <c r="HHV4"/>
      <c r="HHW4"/>
      <c r="HHX4"/>
      <c r="HHY4"/>
      <c r="HHZ4"/>
      <c r="HIA4"/>
      <c r="HIB4"/>
      <c r="HIC4"/>
      <c r="HID4"/>
      <c r="HIE4"/>
      <c r="HIF4"/>
      <c r="HIG4"/>
      <c r="HIH4"/>
      <c r="HII4"/>
      <c r="HIJ4"/>
      <c r="HIK4"/>
      <c r="HIL4"/>
      <c r="HIM4"/>
      <c r="HIN4"/>
      <c r="HIO4"/>
      <c r="HIP4"/>
      <c r="HIQ4"/>
      <c r="HIR4"/>
      <c r="HIS4"/>
      <c r="HIT4"/>
      <c r="HIU4"/>
      <c r="HIV4"/>
      <c r="HIW4"/>
      <c r="HIX4"/>
      <c r="HIY4"/>
      <c r="HIZ4"/>
      <c r="HJA4"/>
      <c r="HJB4"/>
      <c r="HJC4"/>
      <c r="HJD4"/>
      <c r="HJE4"/>
      <c r="HJF4"/>
      <c r="HJG4"/>
      <c r="HJH4"/>
      <c r="HJI4"/>
      <c r="HJJ4"/>
      <c r="HJK4"/>
      <c r="HJL4"/>
      <c r="HJM4"/>
      <c r="HJN4"/>
      <c r="HJO4"/>
      <c r="HJP4"/>
      <c r="HJQ4"/>
      <c r="HJR4"/>
      <c r="HJS4"/>
      <c r="HJT4"/>
      <c r="HJU4"/>
      <c r="HJV4"/>
      <c r="HJW4"/>
      <c r="HJX4"/>
      <c r="HJY4"/>
      <c r="HJZ4"/>
      <c r="HKA4"/>
      <c r="HKB4"/>
      <c r="HKC4"/>
      <c r="HKD4"/>
      <c r="HKE4"/>
      <c r="HKF4"/>
      <c r="HKG4"/>
      <c r="HKH4"/>
      <c r="HKI4"/>
      <c r="HKJ4"/>
      <c r="HKK4"/>
      <c r="HKL4"/>
      <c r="HKM4"/>
      <c r="HKN4"/>
      <c r="HKO4"/>
      <c r="HKP4"/>
      <c r="HKQ4"/>
      <c r="HKR4"/>
      <c r="HKS4"/>
      <c r="HKT4"/>
      <c r="HKU4"/>
      <c r="HKV4"/>
      <c r="HKW4"/>
      <c r="HKX4"/>
      <c r="HKY4"/>
      <c r="HKZ4"/>
      <c r="HLA4"/>
      <c r="HLB4"/>
      <c r="HLC4"/>
      <c r="HLD4"/>
      <c r="HLE4"/>
      <c r="HLF4"/>
      <c r="HLG4"/>
      <c r="HLH4"/>
      <c r="HLI4"/>
      <c r="HLJ4"/>
      <c r="HLK4"/>
      <c r="HLL4"/>
      <c r="HLM4"/>
      <c r="HLN4"/>
      <c r="HLO4"/>
      <c r="HLP4"/>
      <c r="HLQ4"/>
      <c r="HLR4"/>
      <c r="HLS4"/>
      <c r="HLT4"/>
      <c r="HLU4"/>
      <c r="HLV4"/>
      <c r="HLW4"/>
      <c r="HLX4"/>
      <c r="HLY4"/>
      <c r="HLZ4"/>
      <c r="HMA4"/>
      <c r="HMB4"/>
      <c r="HMC4"/>
      <c r="HMD4"/>
      <c r="HME4"/>
      <c r="HMF4"/>
      <c r="HMG4"/>
      <c r="HMH4"/>
      <c r="HMI4"/>
      <c r="HMJ4"/>
      <c r="HMK4"/>
      <c r="HML4"/>
      <c r="HMM4"/>
      <c r="HMN4"/>
      <c r="HMO4"/>
      <c r="HMP4"/>
      <c r="HMQ4"/>
      <c r="HMR4"/>
      <c r="HMS4"/>
      <c r="HMT4"/>
      <c r="HMU4"/>
      <c r="HMV4"/>
      <c r="HMW4"/>
      <c r="HMX4"/>
      <c r="HMY4"/>
      <c r="HMZ4"/>
      <c r="HNA4"/>
      <c r="HNB4"/>
      <c r="HNC4"/>
      <c r="HND4"/>
      <c r="HNE4"/>
      <c r="HNF4"/>
      <c r="HNG4"/>
      <c r="HNH4"/>
      <c r="HNI4"/>
      <c r="HNJ4"/>
      <c r="HNK4"/>
      <c r="HNL4"/>
      <c r="HNM4"/>
      <c r="HNN4"/>
      <c r="HNO4"/>
      <c r="HNP4"/>
      <c r="HNQ4"/>
      <c r="HNR4"/>
      <c r="HNS4"/>
      <c r="HNT4"/>
      <c r="HNU4"/>
      <c r="HNV4"/>
      <c r="HNW4"/>
      <c r="HNX4"/>
      <c r="HNY4"/>
      <c r="HNZ4"/>
      <c r="HOA4"/>
      <c r="HOB4"/>
      <c r="HOC4"/>
      <c r="HOD4"/>
      <c r="HOE4"/>
      <c r="HOF4"/>
      <c r="HOG4"/>
      <c r="HOH4"/>
      <c r="HOI4"/>
      <c r="HOJ4"/>
      <c r="HOK4"/>
      <c r="HOL4"/>
      <c r="HOM4"/>
      <c r="HON4"/>
      <c r="HOO4"/>
      <c r="HOP4"/>
      <c r="HOQ4"/>
      <c r="HOR4"/>
      <c r="HOS4"/>
      <c r="HOT4"/>
      <c r="HOU4"/>
      <c r="HOV4"/>
      <c r="HOW4"/>
      <c r="HOX4"/>
      <c r="HOY4"/>
      <c r="HOZ4"/>
      <c r="HPA4"/>
      <c r="HPB4"/>
      <c r="HPC4"/>
      <c r="HPD4"/>
      <c r="HPE4"/>
      <c r="HPF4"/>
      <c r="HPG4"/>
      <c r="HPH4"/>
      <c r="HPI4"/>
      <c r="HPJ4"/>
      <c r="HPK4"/>
      <c r="HPL4"/>
      <c r="HPM4"/>
      <c r="HPN4"/>
      <c r="HPO4"/>
      <c r="HPP4"/>
      <c r="HPQ4"/>
      <c r="HPR4"/>
      <c r="HPS4"/>
      <c r="HPT4"/>
      <c r="HPU4"/>
      <c r="HPV4"/>
      <c r="HPW4"/>
      <c r="HPX4"/>
      <c r="HPY4"/>
      <c r="HPZ4"/>
      <c r="HQA4"/>
      <c r="HQB4"/>
      <c r="HQC4"/>
      <c r="HQD4"/>
      <c r="HQE4"/>
      <c r="HQF4"/>
      <c r="HQG4"/>
      <c r="HQH4"/>
      <c r="HQI4"/>
      <c r="HQJ4"/>
      <c r="HQK4"/>
      <c r="HQL4"/>
      <c r="HQM4"/>
      <c r="HQN4"/>
      <c r="HQO4"/>
      <c r="HQP4"/>
      <c r="HQQ4"/>
      <c r="HQR4"/>
      <c r="HQS4"/>
      <c r="HQT4"/>
      <c r="HQU4"/>
      <c r="HQV4"/>
      <c r="HQW4"/>
      <c r="HQX4"/>
      <c r="HQY4"/>
      <c r="HQZ4"/>
      <c r="HRA4"/>
      <c r="HRB4"/>
      <c r="HRC4"/>
      <c r="HRD4"/>
      <c r="HRE4"/>
      <c r="HRF4"/>
      <c r="HRG4"/>
      <c r="HRH4"/>
      <c r="HRI4"/>
      <c r="HRJ4"/>
      <c r="HRK4"/>
      <c r="HRL4"/>
      <c r="HRM4"/>
      <c r="HRN4"/>
      <c r="HRO4"/>
      <c r="HRP4"/>
      <c r="HRQ4"/>
      <c r="HRR4"/>
      <c r="HRS4"/>
      <c r="HRT4"/>
      <c r="HRU4"/>
      <c r="HRV4"/>
      <c r="HRW4"/>
      <c r="HRX4"/>
      <c r="HRY4"/>
      <c r="HRZ4"/>
      <c r="HSA4"/>
      <c r="HSB4"/>
      <c r="HSC4"/>
      <c r="HSD4"/>
      <c r="HSE4"/>
      <c r="HSF4"/>
      <c r="HSG4"/>
      <c r="HSH4"/>
      <c r="HSI4"/>
      <c r="HSJ4"/>
      <c r="HSK4"/>
      <c r="HSL4"/>
      <c r="HSM4"/>
      <c r="HSN4"/>
      <c r="HSO4"/>
      <c r="HSP4"/>
      <c r="HSQ4"/>
      <c r="HSR4"/>
      <c r="HSS4"/>
      <c r="HST4"/>
      <c r="HSU4"/>
      <c r="HSV4"/>
      <c r="HSW4"/>
      <c r="HSX4"/>
      <c r="HSY4"/>
      <c r="HSZ4"/>
      <c r="HTA4"/>
      <c r="HTB4"/>
      <c r="HTC4"/>
      <c r="HTD4"/>
      <c r="HTE4"/>
      <c r="HTF4"/>
      <c r="HTG4"/>
      <c r="HTH4"/>
      <c r="HTI4"/>
      <c r="HTJ4"/>
      <c r="HTK4"/>
      <c r="HTL4"/>
      <c r="HTM4"/>
      <c r="HTN4"/>
      <c r="HTO4"/>
      <c r="HTP4"/>
      <c r="HTQ4"/>
      <c r="HTR4"/>
      <c r="HTS4"/>
      <c r="HTT4"/>
      <c r="HTU4"/>
      <c r="HTV4"/>
      <c r="HTW4"/>
      <c r="HTX4"/>
      <c r="HTY4"/>
      <c r="HTZ4"/>
      <c r="HUA4"/>
      <c r="HUB4"/>
      <c r="HUC4"/>
      <c r="HUD4"/>
      <c r="HUE4"/>
      <c r="HUF4"/>
      <c r="HUG4"/>
      <c r="HUH4"/>
      <c r="HUI4"/>
      <c r="HUJ4"/>
      <c r="HUK4"/>
      <c r="HUL4"/>
      <c r="HUM4"/>
      <c r="HUN4"/>
      <c r="HUO4"/>
      <c r="HUP4"/>
      <c r="HUQ4"/>
      <c r="HUR4"/>
      <c r="HUS4"/>
      <c r="HUT4"/>
      <c r="HUU4"/>
      <c r="HUV4"/>
      <c r="HUW4"/>
      <c r="HUX4"/>
      <c r="HUY4"/>
      <c r="HUZ4"/>
      <c r="HVA4"/>
      <c r="HVB4"/>
      <c r="HVC4"/>
      <c r="HVD4"/>
      <c r="HVE4"/>
      <c r="HVF4"/>
      <c r="HVG4"/>
      <c r="HVH4"/>
      <c r="HVI4"/>
      <c r="HVJ4"/>
      <c r="HVK4"/>
      <c r="HVL4"/>
      <c r="HVM4"/>
      <c r="HVN4"/>
      <c r="HVO4"/>
      <c r="HVP4"/>
      <c r="HVQ4"/>
      <c r="HVR4"/>
      <c r="HVS4"/>
      <c r="HVT4"/>
      <c r="HVU4"/>
      <c r="HVV4"/>
      <c r="HVW4"/>
      <c r="HVX4"/>
      <c r="HVY4"/>
      <c r="HVZ4"/>
      <c r="HWA4"/>
      <c r="HWB4"/>
      <c r="HWC4"/>
      <c r="HWD4"/>
      <c r="HWE4"/>
      <c r="HWF4"/>
      <c r="HWG4"/>
      <c r="HWH4"/>
      <c r="HWI4"/>
      <c r="HWJ4"/>
      <c r="HWK4"/>
      <c r="HWL4"/>
      <c r="HWM4"/>
      <c r="HWN4"/>
      <c r="HWO4"/>
      <c r="HWP4"/>
      <c r="HWQ4"/>
      <c r="HWR4"/>
      <c r="HWS4"/>
      <c r="HWT4"/>
      <c r="HWU4"/>
      <c r="HWV4"/>
      <c r="HWW4"/>
      <c r="HWX4"/>
      <c r="HWY4"/>
      <c r="HWZ4"/>
      <c r="HXA4"/>
      <c r="HXB4"/>
      <c r="HXC4"/>
      <c r="HXD4"/>
      <c r="HXE4"/>
      <c r="HXF4"/>
      <c r="HXG4"/>
      <c r="HXH4"/>
      <c r="HXI4"/>
      <c r="HXJ4"/>
      <c r="HXK4"/>
      <c r="HXL4"/>
      <c r="HXM4"/>
      <c r="HXN4"/>
      <c r="HXO4"/>
      <c r="HXP4"/>
      <c r="HXQ4"/>
      <c r="HXR4"/>
      <c r="HXS4"/>
      <c r="HXT4"/>
      <c r="HXU4"/>
      <c r="HXV4"/>
      <c r="HXW4"/>
      <c r="HXX4"/>
      <c r="HXY4"/>
      <c r="HXZ4"/>
      <c r="HYA4"/>
      <c r="HYB4"/>
      <c r="HYC4"/>
      <c r="HYD4"/>
      <c r="HYE4"/>
      <c r="HYF4"/>
      <c r="HYG4"/>
      <c r="HYH4"/>
      <c r="HYI4"/>
      <c r="HYJ4"/>
      <c r="HYK4"/>
      <c r="HYL4"/>
      <c r="HYM4"/>
      <c r="HYN4"/>
      <c r="HYO4"/>
      <c r="HYP4"/>
      <c r="HYQ4"/>
      <c r="HYR4"/>
      <c r="HYS4"/>
      <c r="HYT4"/>
      <c r="HYU4"/>
      <c r="HYV4"/>
      <c r="HYW4"/>
      <c r="HYX4"/>
      <c r="HYY4"/>
      <c r="HYZ4"/>
      <c r="HZA4"/>
      <c r="HZB4"/>
      <c r="HZC4"/>
      <c r="HZD4"/>
      <c r="HZE4"/>
      <c r="HZF4"/>
      <c r="HZG4"/>
      <c r="HZH4"/>
      <c r="HZI4"/>
      <c r="HZJ4"/>
      <c r="HZK4"/>
      <c r="HZL4"/>
      <c r="HZM4"/>
      <c r="HZN4"/>
      <c r="HZO4"/>
      <c r="HZP4"/>
      <c r="HZQ4"/>
      <c r="HZR4"/>
      <c r="HZS4"/>
      <c r="HZT4"/>
      <c r="HZU4"/>
      <c r="HZV4"/>
      <c r="HZW4"/>
      <c r="HZX4"/>
      <c r="HZY4"/>
      <c r="HZZ4"/>
      <c r="IAA4"/>
      <c r="IAB4"/>
      <c r="IAC4"/>
      <c r="IAD4"/>
      <c r="IAE4"/>
      <c r="IAF4"/>
      <c r="IAG4"/>
      <c r="IAH4"/>
      <c r="IAI4"/>
      <c r="IAJ4"/>
      <c r="IAK4"/>
      <c r="IAL4"/>
      <c r="IAM4"/>
      <c r="IAN4"/>
      <c r="IAO4"/>
      <c r="IAP4"/>
      <c r="IAQ4"/>
      <c r="IAR4"/>
      <c r="IAS4"/>
      <c r="IAT4"/>
      <c r="IAU4"/>
      <c r="IAV4"/>
      <c r="IAW4"/>
      <c r="IAX4"/>
      <c r="IAY4"/>
      <c r="IAZ4"/>
      <c r="IBA4"/>
      <c r="IBB4"/>
      <c r="IBC4"/>
      <c r="IBD4"/>
      <c r="IBE4"/>
      <c r="IBF4"/>
      <c r="IBG4"/>
      <c r="IBH4"/>
      <c r="IBI4"/>
      <c r="IBJ4"/>
      <c r="IBK4"/>
      <c r="IBL4"/>
      <c r="IBM4"/>
      <c r="IBN4"/>
      <c r="IBO4"/>
      <c r="IBP4"/>
      <c r="IBQ4"/>
      <c r="IBR4"/>
      <c r="IBS4"/>
      <c r="IBT4"/>
      <c r="IBU4"/>
      <c r="IBV4"/>
      <c r="IBW4"/>
      <c r="IBX4"/>
      <c r="IBY4"/>
      <c r="IBZ4"/>
      <c r="ICA4"/>
      <c r="ICB4"/>
      <c r="ICC4"/>
      <c r="ICD4"/>
      <c r="ICE4"/>
      <c r="ICF4"/>
      <c r="ICG4"/>
      <c r="ICH4"/>
      <c r="ICI4"/>
      <c r="ICJ4"/>
      <c r="ICK4"/>
      <c r="ICL4"/>
      <c r="ICM4"/>
      <c r="ICN4"/>
      <c r="ICO4"/>
      <c r="ICP4"/>
      <c r="ICQ4"/>
      <c r="ICR4"/>
      <c r="ICS4"/>
      <c r="ICT4"/>
      <c r="ICU4"/>
      <c r="ICV4"/>
      <c r="ICW4"/>
      <c r="ICX4"/>
      <c r="ICY4"/>
      <c r="ICZ4"/>
      <c r="IDA4"/>
      <c r="IDB4"/>
      <c r="IDC4"/>
      <c r="IDD4"/>
      <c r="IDE4"/>
      <c r="IDF4"/>
      <c r="IDG4"/>
      <c r="IDH4"/>
      <c r="IDI4"/>
      <c r="IDJ4"/>
      <c r="IDK4"/>
      <c r="IDL4"/>
      <c r="IDM4"/>
      <c r="IDN4"/>
      <c r="IDO4"/>
      <c r="IDP4"/>
      <c r="IDQ4"/>
      <c r="IDR4"/>
      <c r="IDS4"/>
      <c r="IDT4"/>
      <c r="IDU4"/>
      <c r="IDV4"/>
      <c r="IDW4"/>
      <c r="IDX4"/>
      <c r="IDY4"/>
      <c r="IDZ4"/>
      <c r="IEA4"/>
      <c r="IEB4"/>
      <c r="IEC4"/>
      <c r="IED4"/>
      <c r="IEE4"/>
      <c r="IEF4"/>
      <c r="IEG4"/>
      <c r="IEH4"/>
      <c r="IEI4"/>
      <c r="IEJ4"/>
      <c r="IEK4"/>
      <c r="IEL4"/>
      <c r="IEM4"/>
      <c r="IEN4"/>
      <c r="IEO4"/>
      <c r="IEP4"/>
      <c r="IEQ4"/>
      <c r="IER4"/>
      <c r="IES4"/>
      <c r="IET4"/>
      <c r="IEU4"/>
      <c r="IEV4"/>
      <c r="IEW4"/>
      <c r="IEX4"/>
      <c r="IEY4"/>
      <c r="IEZ4"/>
      <c r="IFA4"/>
      <c r="IFB4"/>
      <c r="IFC4"/>
      <c r="IFD4"/>
      <c r="IFE4"/>
      <c r="IFF4"/>
      <c r="IFG4"/>
      <c r="IFH4"/>
      <c r="IFI4"/>
      <c r="IFJ4"/>
      <c r="IFK4"/>
      <c r="IFL4"/>
      <c r="IFM4"/>
      <c r="IFN4"/>
      <c r="IFO4"/>
      <c r="IFP4"/>
      <c r="IFQ4"/>
      <c r="IFR4"/>
      <c r="IFS4"/>
      <c r="IFT4"/>
      <c r="IFU4"/>
      <c r="IFV4"/>
      <c r="IFW4"/>
      <c r="IFX4"/>
      <c r="IFY4"/>
      <c r="IFZ4"/>
      <c r="IGA4"/>
      <c r="IGB4"/>
      <c r="IGC4"/>
      <c r="IGD4"/>
      <c r="IGE4"/>
      <c r="IGF4"/>
      <c r="IGG4"/>
      <c r="IGH4"/>
      <c r="IGI4"/>
      <c r="IGJ4"/>
      <c r="IGK4"/>
      <c r="IGL4"/>
      <c r="IGM4"/>
      <c r="IGN4"/>
      <c r="IGO4"/>
      <c r="IGP4"/>
      <c r="IGQ4"/>
      <c r="IGR4"/>
      <c r="IGS4"/>
      <c r="IGT4"/>
      <c r="IGU4"/>
      <c r="IGV4"/>
      <c r="IGW4"/>
      <c r="IGX4"/>
      <c r="IGY4"/>
      <c r="IGZ4"/>
      <c r="IHA4"/>
      <c r="IHB4"/>
      <c r="IHC4"/>
      <c r="IHD4"/>
      <c r="IHE4"/>
      <c r="IHF4"/>
      <c r="IHG4"/>
      <c r="IHH4"/>
      <c r="IHI4"/>
      <c r="IHJ4"/>
      <c r="IHK4"/>
      <c r="IHL4"/>
      <c r="IHM4"/>
      <c r="IHN4"/>
      <c r="IHO4"/>
      <c r="IHP4"/>
      <c r="IHQ4"/>
      <c r="IHR4"/>
      <c r="IHS4"/>
      <c r="IHT4"/>
      <c r="IHU4"/>
      <c r="IHV4"/>
      <c r="IHW4"/>
      <c r="IHX4"/>
      <c r="IHY4"/>
      <c r="IHZ4"/>
      <c r="IIA4"/>
      <c r="IIB4"/>
      <c r="IIC4"/>
      <c r="IID4"/>
      <c r="IIE4"/>
      <c r="IIF4"/>
      <c r="IIG4"/>
      <c r="IIH4"/>
      <c r="III4"/>
      <c r="IIJ4"/>
      <c r="IIK4"/>
      <c r="IIL4"/>
      <c r="IIM4"/>
      <c r="IIN4"/>
      <c r="IIO4"/>
      <c r="IIP4"/>
      <c r="IIQ4"/>
      <c r="IIR4"/>
      <c r="IIS4"/>
      <c r="IIT4"/>
      <c r="IIU4"/>
      <c r="IIV4"/>
      <c r="IIW4"/>
      <c r="IIX4"/>
      <c r="IIY4"/>
      <c r="IIZ4"/>
      <c r="IJA4"/>
      <c r="IJB4"/>
      <c r="IJC4"/>
      <c r="IJD4"/>
      <c r="IJE4"/>
      <c r="IJF4"/>
      <c r="IJG4"/>
      <c r="IJH4"/>
      <c r="IJI4"/>
      <c r="IJJ4"/>
      <c r="IJK4"/>
      <c r="IJL4"/>
      <c r="IJM4"/>
      <c r="IJN4"/>
      <c r="IJO4"/>
      <c r="IJP4"/>
      <c r="IJQ4"/>
      <c r="IJR4"/>
      <c r="IJS4"/>
      <c r="IJT4"/>
      <c r="IJU4"/>
      <c r="IJV4"/>
      <c r="IJW4"/>
      <c r="IJX4"/>
      <c r="IJY4"/>
      <c r="IJZ4"/>
      <c r="IKA4"/>
      <c r="IKB4"/>
      <c r="IKC4"/>
      <c r="IKD4"/>
      <c r="IKE4"/>
      <c r="IKF4"/>
      <c r="IKG4"/>
      <c r="IKH4"/>
      <c r="IKI4"/>
      <c r="IKJ4"/>
      <c r="IKK4"/>
      <c r="IKL4"/>
      <c r="IKM4"/>
      <c r="IKN4"/>
      <c r="IKO4"/>
      <c r="IKP4"/>
      <c r="IKQ4"/>
      <c r="IKR4"/>
      <c r="IKS4"/>
      <c r="IKT4"/>
      <c r="IKU4"/>
      <c r="IKV4"/>
      <c r="IKW4"/>
      <c r="IKX4"/>
      <c r="IKY4"/>
      <c r="IKZ4"/>
      <c r="ILA4"/>
      <c r="ILB4"/>
      <c r="ILC4"/>
      <c r="ILD4"/>
      <c r="ILE4"/>
      <c r="ILF4"/>
      <c r="ILG4"/>
      <c r="ILH4"/>
      <c r="ILI4"/>
      <c r="ILJ4"/>
      <c r="ILK4"/>
      <c r="ILL4"/>
      <c r="ILM4"/>
      <c r="ILN4"/>
      <c r="ILO4"/>
      <c r="ILP4"/>
      <c r="ILQ4"/>
      <c r="ILR4"/>
      <c r="ILS4"/>
      <c r="ILT4"/>
      <c r="ILU4"/>
      <c r="ILV4"/>
      <c r="ILW4"/>
      <c r="ILX4"/>
      <c r="ILY4"/>
      <c r="ILZ4"/>
      <c r="IMA4"/>
      <c r="IMB4"/>
      <c r="IMC4"/>
      <c r="IMD4"/>
      <c r="IME4"/>
      <c r="IMF4"/>
      <c r="IMG4"/>
      <c r="IMH4"/>
      <c r="IMI4"/>
      <c r="IMJ4"/>
      <c r="IMK4"/>
      <c r="IML4"/>
      <c r="IMM4"/>
      <c r="IMN4"/>
      <c r="IMO4"/>
      <c r="IMP4"/>
      <c r="IMQ4"/>
      <c r="IMR4"/>
      <c r="IMS4"/>
      <c r="IMT4"/>
      <c r="IMU4"/>
      <c r="IMV4"/>
      <c r="IMW4"/>
      <c r="IMX4"/>
      <c r="IMY4"/>
      <c r="IMZ4"/>
      <c r="INA4"/>
      <c r="INB4"/>
      <c r="INC4"/>
      <c r="IND4"/>
      <c r="INE4"/>
      <c r="INF4"/>
      <c r="ING4"/>
      <c r="INH4"/>
      <c r="INI4"/>
      <c r="INJ4"/>
      <c r="INK4"/>
      <c r="INL4"/>
      <c r="INM4"/>
      <c r="INN4"/>
      <c r="INO4"/>
      <c r="INP4"/>
      <c r="INQ4"/>
      <c r="INR4"/>
      <c r="INS4"/>
      <c r="INT4"/>
      <c r="INU4"/>
      <c r="INV4"/>
      <c r="INW4"/>
      <c r="INX4"/>
      <c r="INY4"/>
      <c r="INZ4"/>
      <c r="IOA4"/>
      <c r="IOB4"/>
      <c r="IOC4"/>
      <c r="IOD4"/>
      <c r="IOE4"/>
      <c r="IOF4"/>
      <c r="IOG4"/>
      <c r="IOH4"/>
      <c r="IOI4"/>
      <c r="IOJ4"/>
      <c r="IOK4"/>
      <c r="IOL4"/>
      <c r="IOM4"/>
      <c r="ION4"/>
      <c r="IOO4"/>
      <c r="IOP4"/>
      <c r="IOQ4"/>
      <c r="IOR4"/>
      <c r="IOS4"/>
      <c r="IOT4"/>
      <c r="IOU4"/>
      <c r="IOV4"/>
      <c r="IOW4"/>
      <c r="IOX4"/>
      <c r="IOY4"/>
      <c r="IOZ4"/>
      <c r="IPA4"/>
      <c r="IPB4"/>
      <c r="IPC4"/>
      <c r="IPD4"/>
      <c r="IPE4"/>
      <c r="IPF4"/>
      <c r="IPG4"/>
      <c r="IPH4"/>
      <c r="IPI4"/>
      <c r="IPJ4"/>
      <c r="IPK4"/>
      <c r="IPL4"/>
      <c r="IPM4"/>
      <c r="IPN4"/>
      <c r="IPO4"/>
      <c r="IPP4"/>
      <c r="IPQ4"/>
      <c r="IPR4"/>
      <c r="IPS4"/>
      <c r="IPT4"/>
      <c r="IPU4"/>
      <c r="IPV4"/>
      <c r="IPW4"/>
      <c r="IPX4"/>
      <c r="IPY4"/>
      <c r="IPZ4"/>
      <c r="IQA4"/>
      <c r="IQB4"/>
      <c r="IQC4"/>
      <c r="IQD4"/>
      <c r="IQE4"/>
      <c r="IQF4"/>
      <c r="IQG4"/>
      <c r="IQH4"/>
      <c r="IQI4"/>
      <c r="IQJ4"/>
      <c r="IQK4"/>
      <c r="IQL4"/>
      <c r="IQM4"/>
      <c r="IQN4"/>
      <c r="IQO4"/>
      <c r="IQP4"/>
      <c r="IQQ4"/>
      <c r="IQR4"/>
      <c r="IQS4"/>
      <c r="IQT4"/>
      <c r="IQU4"/>
      <c r="IQV4"/>
      <c r="IQW4"/>
      <c r="IQX4"/>
      <c r="IQY4"/>
      <c r="IQZ4"/>
      <c r="IRA4"/>
      <c r="IRB4"/>
      <c r="IRC4"/>
      <c r="IRD4"/>
      <c r="IRE4"/>
      <c r="IRF4"/>
      <c r="IRG4"/>
      <c r="IRH4"/>
      <c r="IRI4"/>
      <c r="IRJ4"/>
      <c r="IRK4"/>
      <c r="IRL4"/>
      <c r="IRM4"/>
      <c r="IRN4"/>
      <c r="IRO4"/>
      <c r="IRP4"/>
      <c r="IRQ4"/>
      <c r="IRR4"/>
      <c r="IRS4"/>
      <c r="IRT4"/>
      <c r="IRU4"/>
      <c r="IRV4"/>
      <c r="IRW4"/>
      <c r="IRX4"/>
      <c r="IRY4"/>
      <c r="IRZ4"/>
      <c r="ISA4"/>
      <c r="ISB4"/>
      <c r="ISC4"/>
      <c r="ISD4"/>
      <c r="ISE4"/>
      <c r="ISF4"/>
      <c r="ISG4"/>
      <c r="ISH4"/>
      <c r="ISI4"/>
      <c r="ISJ4"/>
      <c r="ISK4"/>
      <c r="ISL4"/>
      <c r="ISM4"/>
      <c r="ISN4"/>
      <c r="ISO4"/>
      <c r="ISP4"/>
      <c r="ISQ4"/>
      <c r="ISR4"/>
      <c r="ISS4"/>
      <c r="IST4"/>
      <c r="ISU4"/>
      <c r="ISV4"/>
      <c r="ISW4"/>
      <c r="ISX4"/>
      <c r="ISY4"/>
      <c r="ISZ4"/>
      <c r="ITA4"/>
      <c r="ITB4"/>
      <c r="ITC4"/>
      <c r="ITD4"/>
      <c r="ITE4"/>
      <c r="ITF4"/>
      <c r="ITG4"/>
      <c r="ITH4"/>
      <c r="ITI4"/>
      <c r="ITJ4"/>
      <c r="ITK4"/>
      <c r="ITL4"/>
      <c r="ITM4"/>
      <c r="ITN4"/>
      <c r="ITO4"/>
      <c r="ITP4"/>
      <c r="ITQ4"/>
      <c r="ITR4"/>
      <c r="ITS4"/>
      <c r="ITT4"/>
      <c r="ITU4"/>
      <c r="ITV4"/>
      <c r="ITW4"/>
      <c r="ITX4"/>
      <c r="ITY4"/>
      <c r="ITZ4"/>
      <c r="IUA4"/>
      <c r="IUB4"/>
      <c r="IUC4"/>
      <c r="IUD4"/>
      <c r="IUE4"/>
      <c r="IUF4"/>
      <c r="IUG4"/>
      <c r="IUH4"/>
      <c r="IUI4"/>
      <c r="IUJ4"/>
      <c r="IUK4"/>
      <c r="IUL4"/>
      <c r="IUM4"/>
      <c r="IUN4"/>
      <c r="IUO4"/>
      <c r="IUP4"/>
      <c r="IUQ4"/>
      <c r="IUR4"/>
      <c r="IUS4"/>
      <c r="IUT4"/>
      <c r="IUU4"/>
      <c r="IUV4"/>
      <c r="IUW4"/>
      <c r="IUX4"/>
      <c r="IUY4"/>
      <c r="IUZ4"/>
      <c r="IVA4"/>
      <c r="IVB4"/>
      <c r="IVC4"/>
      <c r="IVD4"/>
      <c r="IVE4"/>
      <c r="IVF4"/>
      <c r="IVG4"/>
      <c r="IVH4"/>
      <c r="IVI4"/>
      <c r="IVJ4"/>
      <c r="IVK4"/>
      <c r="IVL4"/>
      <c r="IVM4"/>
      <c r="IVN4"/>
      <c r="IVO4"/>
      <c r="IVP4"/>
      <c r="IVQ4"/>
      <c r="IVR4"/>
      <c r="IVS4"/>
      <c r="IVT4"/>
      <c r="IVU4"/>
      <c r="IVV4"/>
      <c r="IVW4"/>
      <c r="IVX4"/>
      <c r="IVY4"/>
      <c r="IVZ4"/>
      <c r="IWA4"/>
      <c r="IWB4"/>
      <c r="IWC4"/>
      <c r="IWD4"/>
      <c r="IWE4"/>
      <c r="IWF4"/>
      <c r="IWG4"/>
      <c r="IWH4"/>
      <c r="IWI4"/>
      <c r="IWJ4"/>
      <c r="IWK4"/>
      <c r="IWL4"/>
      <c r="IWM4"/>
      <c r="IWN4"/>
      <c r="IWO4"/>
      <c r="IWP4"/>
      <c r="IWQ4"/>
      <c r="IWR4"/>
      <c r="IWS4"/>
      <c r="IWT4"/>
      <c r="IWU4"/>
      <c r="IWV4"/>
      <c r="IWW4"/>
      <c r="IWX4"/>
      <c r="IWY4"/>
      <c r="IWZ4"/>
      <c r="IXA4"/>
      <c r="IXB4"/>
      <c r="IXC4"/>
      <c r="IXD4"/>
      <c r="IXE4"/>
      <c r="IXF4"/>
      <c r="IXG4"/>
      <c r="IXH4"/>
      <c r="IXI4"/>
      <c r="IXJ4"/>
      <c r="IXK4"/>
      <c r="IXL4"/>
      <c r="IXM4"/>
      <c r="IXN4"/>
      <c r="IXO4"/>
      <c r="IXP4"/>
      <c r="IXQ4"/>
      <c r="IXR4"/>
      <c r="IXS4"/>
      <c r="IXT4"/>
      <c r="IXU4"/>
      <c r="IXV4"/>
      <c r="IXW4"/>
      <c r="IXX4"/>
      <c r="IXY4"/>
      <c r="IXZ4"/>
      <c r="IYA4"/>
      <c r="IYB4"/>
      <c r="IYC4"/>
      <c r="IYD4"/>
      <c r="IYE4"/>
      <c r="IYF4"/>
      <c r="IYG4"/>
      <c r="IYH4"/>
      <c r="IYI4"/>
      <c r="IYJ4"/>
      <c r="IYK4"/>
      <c r="IYL4"/>
      <c r="IYM4"/>
      <c r="IYN4"/>
      <c r="IYO4"/>
      <c r="IYP4"/>
      <c r="IYQ4"/>
      <c r="IYR4"/>
      <c r="IYS4"/>
      <c r="IYT4"/>
      <c r="IYU4"/>
      <c r="IYV4"/>
      <c r="IYW4"/>
      <c r="IYX4"/>
      <c r="IYY4"/>
      <c r="IYZ4"/>
      <c r="IZA4"/>
      <c r="IZB4"/>
      <c r="IZC4"/>
      <c r="IZD4"/>
      <c r="IZE4"/>
      <c r="IZF4"/>
      <c r="IZG4"/>
      <c r="IZH4"/>
      <c r="IZI4"/>
      <c r="IZJ4"/>
      <c r="IZK4"/>
      <c r="IZL4"/>
      <c r="IZM4"/>
      <c r="IZN4"/>
      <c r="IZO4"/>
      <c r="IZP4"/>
      <c r="IZQ4"/>
      <c r="IZR4"/>
      <c r="IZS4"/>
      <c r="IZT4"/>
      <c r="IZU4"/>
      <c r="IZV4"/>
      <c r="IZW4"/>
      <c r="IZX4"/>
      <c r="IZY4"/>
      <c r="IZZ4"/>
      <c r="JAA4"/>
      <c r="JAB4"/>
      <c r="JAC4"/>
      <c r="JAD4"/>
      <c r="JAE4"/>
      <c r="JAF4"/>
      <c r="JAG4"/>
      <c r="JAH4"/>
      <c r="JAI4"/>
      <c r="JAJ4"/>
      <c r="JAK4"/>
      <c r="JAL4"/>
      <c r="JAM4"/>
      <c r="JAN4"/>
      <c r="JAO4"/>
      <c r="JAP4"/>
      <c r="JAQ4"/>
      <c r="JAR4"/>
      <c r="JAS4"/>
      <c r="JAT4"/>
      <c r="JAU4"/>
      <c r="JAV4"/>
      <c r="JAW4"/>
      <c r="JAX4"/>
      <c r="JAY4"/>
      <c r="JAZ4"/>
      <c r="JBA4"/>
      <c r="JBB4"/>
      <c r="JBC4"/>
      <c r="JBD4"/>
      <c r="JBE4"/>
      <c r="JBF4"/>
      <c r="JBG4"/>
      <c r="JBH4"/>
      <c r="JBI4"/>
      <c r="JBJ4"/>
      <c r="JBK4"/>
      <c r="JBL4"/>
      <c r="JBM4"/>
      <c r="JBN4"/>
      <c r="JBO4"/>
      <c r="JBP4"/>
      <c r="JBQ4"/>
      <c r="JBR4"/>
      <c r="JBS4"/>
      <c r="JBT4"/>
      <c r="JBU4"/>
      <c r="JBV4"/>
      <c r="JBW4"/>
      <c r="JBX4"/>
      <c r="JBY4"/>
      <c r="JBZ4"/>
      <c r="JCA4"/>
      <c r="JCB4"/>
      <c r="JCC4"/>
      <c r="JCD4"/>
      <c r="JCE4"/>
      <c r="JCF4"/>
      <c r="JCG4"/>
      <c r="JCH4"/>
      <c r="JCI4"/>
      <c r="JCJ4"/>
      <c r="JCK4"/>
      <c r="JCL4"/>
      <c r="JCM4"/>
      <c r="JCN4"/>
      <c r="JCO4"/>
      <c r="JCP4"/>
      <c r="JCQ4"/>
      <c r="JCR4"/>
      <c r="JCS4"/>
      <c r="JCT4"/>
      <c r="JCU4"/>
      <c r="JCV4"/>
      <c r="JCW4"/>
      <c r="JCX4"/>
      <c r="JCY4"/>
      <c r="JCZ4"/>
      <c r="JDA4"/>
      <c r="JDB4"/>
      <c r="JDC4"/>
      <c r="JDD4"/>
      <c r="JDE4"/>
      <c r="JDF4"/>
      <c r="JDG4"/>
      <c r="JDH4"/>
      <c r="JDI4"/>
      <c r="JDJ4"/>
      <c r="JDK4"/>
      <c r="JDL4"/>
      <c r="JDM4"/>
      <c r="JDN4"/>
      <c r="JDO4"/>
      <c r="JDP4"/>
      <c r="JDQ4"/>
      <c r="JDR4"/>
      <c r="JDS4"/>
      <c r="JDT4"/>
      <c r="JDU4"/>
      <c r="JDV4"/>
      <c r="JDW4"/>
      <c r="JDX4"/>
      <c r="JDY4"/>
      <c r="JDZ4"/>
      <c r="JEA4"/>
      <c r="JEB4"/>
      <c r="JEC4"/>
      <c r="JED4"/>
      <c r="JEE4"/>
      <c r="JEF4"/>
      <c r="JEG4"/>
      <c r="JEH4"/>
      <c r="JEI4"/>
      <c r="JEJ4"/>
      <c r="JEK4"/>
      <c r="JEL4"/>
      <c r="JEM4"/>
      <c r="JEN4"/>
      <c r="JEO4"/>
      <c r="JEP4"/>
      <c r="JEQ4"/>
      <c r="JER4"/>
      <c r="JES4"/>
      <c r="JET4"/>
      <c r="JEU4"/>
      <c r="JEV4"/>
      <c r="JEW4"/>
      <c r="JEX4"/>
      <c r="JEY4"/>
      <c r="JEZ4"/>
      <c r="JFA4"/>
      <c r="JFB4"/>
      <c r="JFC4"/>
      <c r="JFD4"/>
      <c r="JFE4"/>
      <c r="JFF4"/>
      <c r="JFG4"/>
      <c r="JFH4"/>
      <c r="JFI4"/>
      <c r="JFJ4"/>
      <c r="JFK4"/>
      <c r="JFL4"/>
      <c r="JFM4"/>
      <c r="JFN4"/>
      <c r="JFO4"/>
      <c r="JFP4"/>
      <c r="JFQ4"/>
      <c r="JFR4"/>
      <c r="JFS4"/>
      <c r="JFT4"/>
      <c r="JFU4"/>
      <c r="JFV4"/>
      <c r="JFW4"/>
      <c r="JFX4"/>
      <c r="JFY4"/>
      <c r="JFZ4"/>
      <c r="JGA4"/>
      <c r="JGB4"/>
      <c r="JGC4"/>
      <c r="JGD4"/>
      <c r="JGE4"/>
      <c r="JGF4"/>
      <c r="JGG4"/>
      <c r="JGH4"/>
      <c r="JGI4"/>
      <c r="JGJ4"/>
      <c r="JGK4"/>
      <c r="JGL4"/>
      <c r="JGM4"/>
      <c r="JGN4"/>
      <c r="JGO4"/>
      <c r="JGP4"/>
      <c r="JGQ4"/>
      <c r="JGR4"/>
      <c r="JGS4"/>
      <c r="JGT4"/>
      <c r="JGU4"/>
      <c r="JGV4"/>
      <c r="JGW4"/>
      <c r="JGX4"/>
      <c r="JGY4"/>
      <c r="JGZ4"/>
      <c r="JHA4"/>
      <c r="JHB4"/>
      <c r="JHC4"/>
      <c r="JHD4"/>
      <c r="JHE4"/>
      <c r="JHF4"/>
      <c r="JHG4"/>
      <c r="JHH4"/>
      <c r="JHI4"/>
      <c r="JHJ4"/>
      <c r="JHK4"/>
      <c r="JHL4"/>
      <c r="JHM4"/>
      <c r="JHN4"/>
      <c r="JHO4"/>
      <c r="JHP4"/>
      <c r="JHQ4"/>
      <c r="JHR4"/>
      <c r="JHS4"/>
      <c r="JHT4"/>
      <c r="JHU4"/>
      <c r="JHV4"/>
      <c r="JHW4"/>
      <c r="JHX4"/>
      <c r="JHY4"/>
      <c r="JHZ4"/>
      <c r="JIA4"/>
      <c r="JIB4"/>
      <c r="JIC4"/>
      <c r="JID4"/>
      <c r="JIE4"/>
      <c r="JIF4"/>
      <c r="JIG4"/>
      <c r="JIH4"/>
      <c r="JII4"/>
      <c r="JIJ4"/>
      <c r="JIK4"/>
      <c r="JIL4"/>
      <c r="JIM4"/>
      <c r="JIN4"/>
      <c r="JIO4"/>
      <c r="JIP4"/>
      <c r="JIQ4"/>
      <c r="JIR4"/>
      <c r="JIS4"/>
      <c r="JIT4"/>
      <c r="JIU4"/>
      <c r="JIV4"/>
      <c r="JIW4"/>
      <c r="JIX4"/>
      <c r="JIY4"/>
      <c r="JIZ4"/>
      <c r="JJA4"/>
      <c r="JJB4"/>
      <c r="JJC4"/>
      <c r="JJD4"/>
      <c r="JJE4"/>
      <c r="JJF4"/>
      <c r="JJG4"/>
      <c r="JJH4"/>
      <c r="JJI4"/>
      <c r="JJJ4"/>
      <c r="JJK4"/>
      <c r="JJL4"/>
      <c r="JJM4"/>
      <c r="JJN4"/>
      <c r="JJO4"/>
      <c r="JJP4"/>
      <c r="JJQ4"/>
      <c r="JJR4"/>
      <c r="JJS4"/>
      <c r="JJT4"/>
      <c r="JJU4"/>
      <c r="JJV4"/>
      <c r="JJW4"/>
      <c r="JJX4"/>
      <c r="JJY4"/>
      <c r="JJZ4"/>
      <c r="JKA4"/>
      <c r="JKB4"/>
      <c r="JKC4"/>
      <c r="JKD4"/>
      <c r="JKE4"/>
      <c r="JKF4"/>
      <c r="JKG4"/>
      <c r="JKH4"/>
      <c r="JKI4"/>
      <c r="JKJ4"/>
      <c r="JKK4"/>
      <c r="JKL4"/>
      <c r="JKM4"/>
      <c r="JKN4"/>
      <c r="JKO4"/>
      <c r="JKP4"/>
      <c r="JKQ4"/>
      <c r="JKR4"/>
      <c r="JKS4"/>
      <c r="JKT4"/>
      <c r="JKU4"/>
      <c r="JKV4"/>
      <c r="JKW4"/>
      <c r="JKX4"/>
      <c r="JKY4"/>
      <c r="JKZ4"/>
      <c r="JLA4"/>
      <c r="JLB4"/>
      <c r="JLC4"/>
      <c r="JLD4"/>
      <c r="JLE4"/>
      <c r="JLF4"/>
      <c r="JLG4"/>
      <c r="JLH4"/>
      <c r="JLI4"/>
      <c r="JLJ4"/>
      <c r="JLK4"/>
      <c r="JLL4"/>
      <c r="JLM4"/>
      <c r="JLN4"/>
      <c r="JLO4"/>
      <c r="JLP4"/>
      <c r="JLQ4"/>
      <c r="JLR4"/>
      <c r="JLS4"/>
      <c r="JLT4"/>
      <c r="JLU4"/>
      <c r="JLV4"/>
      <c r="JLW4"/>
      <c r="JLX4"/>
      <c r="JLY4"/>
      <c r="JLZ4"/>
      <c r="JMA4"/>
      <c r="JMB4"/>
      <c r="JMC4"/>
      <c r="JMD4"/>
      <c r="JME4"/>
      <c r="JMF4"/>
      <c r="JMG4"/>
      <c r="JMH4"/>
      <c r="JMI4"/>
      <c r="JMJ4"/>
      <c r="JMK4"/>
      <c r="JML4"/>
      <c r="JMM4"/>
      <c r="JMN4"/>
      <c r="JMO4"/>
      <c r="JMP4"/>
      <c r="JMQ4"/>
      <c r="JMR4"/>
      <c r="JMS4"/>
      <c r="JMT4"/>
      <c r="JMU4"/>
      <c r="JMV4"/>
      <c r="JMW4"/>
      <c r="JMX4"/>
      <c r="JMY4"/>
      <c r="JMZ4"/>
      <c r="JNA4"/>
      <c r="JNB4"/>
      <c r="JNC4"/>
      <c r="JND4"/>
      <c r="JNE4"/>
      <c r="JNF4"/>
      <c r="JNG4"/>
      <c r="JNH4"/>
      <c r="JNI4"/>
      <c r="JNJ4"/>
      <c r="JNK4"/>
      <c r="JNL4"/>
      <c r="JNM4"/>
      <c r="JNN4"/>
      <c r="JNO4"/>
      <c r="JNP4"/>
      <c r="JNQ4"/>
      <c r="JNR4"/>
      <c r="JNS4"/>
      <c r="JNT4"/>
      <c r="JNU4"/>
      <c r="JNV4"/>
      <c r="JNW4"/>
      <c r="JNX4"/>
      <c r="JNY4"/>
      <c r="JNZ4"/>
      <c r="JOA4"/>
      <c r="JOB4"/>
      <c r="JOC4"/>
      <c r="JOD4"/>
      <c r="JOE4"/>
      <c r="JOF4"/>
      <c r="JOG4"/>
      <c r="JOH4"/>
      <c r="JOI4"/>
      <c r="JOJ4"/>
      <c r="JOK4"/>
      <c r="JOL4"/>
      <c r="JOM4"/>
      <c r="JON4"/>
      <c r="JOO4"/>
      <c r="JOP4"/>
      <c r="JOQ4"/>
      <c r="JOR4"/>
      <c r="JOS4"/>
      <c r="JOT4"/>
      <c r="JOU4"/>
      <c r="JOV4"/>
      <c r="JOW4"/>
      <c r="JOX4"/>
      <c r="JOY4"/>
      <c r="JOZ4"/>
      <c r="JPA4"/>
      <c r="JPB4"/>
      <c r="JPC4"/>
      <c r="JPD4"/>
      <c r="JPE4"/>
      <c r="JPF4"/>
      <c r="JPG4"/>
      <c r="JPH4"/>
      <c r="JPI4"/>
      <c r="JPJ4"/>
      <c r="JPK4"/>
      <c r="JPL4"/>
      <c r="JPM4"/>
      <c r="JPN4"/>
      <c r="JPO4"/>
      <c r="JPP4"/>
      <c r="JPQ4"/>
      <c r="JPR4"/>
      <c r="JPS4"/>
      <c r="JPT4"/>
      <c r="JPU4"/>
      <c r="JPV4"/>
      <c r="JPW4"/>
      <c r="JPX4"/>
      <c r="JPY4"/>
      <c r="JPZ4"/>
      <c r="JQA4"/>
      <c r="JQB4"/>
      <c r="JQC4"/>
      <c r="JQD4"/>
      <c r="JQE4"/>
      <c r="JQF4"/>
      <c r="JQG4"/>
      <c r="JQH4"/>
      <c r="JQI4"/>
      <c r="JQJ4"/>
      <c r="JQK4"/>
      <c r="JQL4"/>
      <c r="JQM4"/>
      <c r="JQN4"/>
      <c r="JQO4"/>
      <c r="JQP4"/>
      <c r="JQQ4"/>
      <c r="JQR4"/>
      <c r="JQS4"/>
      <c r="JQT4"/>
      <c r="JQU4"/>
      <c r="JQV4"/>
      <c r="JQW4"/>
      <c r="JQX4"/>
      <c r="JQY4"/>
      <c r="JQZ4"/>
      <c r="JRA4"/>
      <c r="JRB4"/>
      <c r="JRC4"/>
      <c r="JRD4"/>
      <c r="JRE4"/>
      <c r="JRF4"/>
      <c r="JRG4"/>
      <c r="JRH4"/>
      <c r="JRI4"/>
      <c r="JRJ4"/>
      <c r="JRK4"/>
      <c r="JRL4"/>
      <c r="JRM4"/>
      <c r="JRN4"/>
      <c r="JRO4"/>
      <c r="JRP4"/>
      <c r="JRQ4"/>
      <c r="JRR4"/>
      <c r="JRS4"/>
      <c r="JRT4"/>
      <c r="JRU4"/>
      <c r="JRV4"/>
      <c r="JRW4"/>
      <c r="JRX4"/>
      <c r="JRY4"/>
      <c r="JRZ4"/>
      <c r="JSA4"/>
      <c r="JSB4"/>
      <c r="JSC4"/>
      <c r="JSD4"/>
      <c r="JSE4"/>
      <c r="JSF4"/>
      <c r="JSG4"/>
      <c r="JSH4"/>
      <c r="JSI4"/>
      <c r="JSJ4"/>
      <c r="JSK4"/>
      <c r="JSL4"/>
      <c r="JSM4"/>
      <c r="JSN4"/>
      <c r="JSO4"/>
      <c r="JSP4"/>
      <c r="JSQ4"/>
      <c r="JSR4"/>
      <c r="JSS4"/>
      <c r="JST4"/>
      <c r="JSU4"/>
      <c r="JSV4"/>
      <c r="JSW4"/>
      <c r="JSX4"/>
      <c r="JSY4"/>
      <c r="JSZ4"/>
      <c r="JTA4"/>
      <c r="JTB4"/>
      <c r="JTC4"/>
      <c r="JTD4"/>
      <c r="JTE4"/>
      <c r="JTF4"/>
      <c r="JTG4"/>
      <c r="JTH4"/>
      <c r="JTI4"/>
      <c r="JTJ4"/>
      <c r="JTK4"/>
      <c r="JTL4"/>
      <c r="JTM4"/>
      <c r="JTN4"/>
      <c r="JTO4"/>
      <c r="JTP4"/>
      <c r="JTQ4"/>
      <c r="JTR4"/>
      <c r="JTS4"/>
      <c r="JTT4"/>
      <c r="JTU4"/>
      <c r="JTV4"/>
      <c r="JTW4"/>
      <c r="JTX4"/>
      <c r="JTY4"/>
      <c r="JTZ4"/>
      <c r="JUA4"/>
      <c r="JUB4"/>
      <c r="JUC4"/>
      <c r="JUD4"/>
      <c r="JUE4"/>
      <c r="JUF4"/>
      <c r="JUG4"/>
      <c r="JUH4"/>
      <c r="JUI4"/>
      <c r="JUJ4"/>
      <c r="JUK4"/>
      <c r="JUL4"/>
      <c r="JUM4"/>
      <c r="JUN4"/>
      <c r="JUO4"/>
      <c r="JUP4"/>
      <c r="JUQ4"/>
      <c r="JUR4"/>
      <c r="JUS4"/>
      <c r="JUT4"/>
      <c r="JUU4"/>
      <c r="JUV4"/>
      <c r="JUW4"/>
      <c r="JUX4"/>
      <c r="JUY4"/>
      <c r="JUZ4"/>
      <c r="JVA4"/>
      <c r="JVB4"/>
      <c r="JVC4"/>
      <c r="JVD4"/>
      <c r="JVE4"/>
      <c r="JVF4"/>
      <c r="JVG4"/>
      <c r="JVH4"/>
      <c r="JVI4"/>
      <c r="JVJ4"/>
      <c r="JVK4"/>
      <c r="JVL4"/>
      <c r="JVM4"/>
      <c r="JVN4"/>
      <c r="JVO4"/>
      <c r="JVP4"/>
      <c r="JVQ4"/>
      <c r="JVR4"/>
      <c r="JVS4"/>
      <c r="JVT4"/>
      <c r="JVU4"/>
      <c r="JVV4"/>
      <c r="JVW4"/>
      <c r="JVX4"/>
      <c r="JVY4"/>
      <c r="JVZ4"/>
      <c r="JWA4"/>
      <c r="JWB4"/>
      <c r="JWC4"/>
      <c r="JWD4"/>
      <c r="JWE4"/>
      <c r="JWF4"/>
      <c r="JWG4"/>
      <c r="JWH4"/>
      <c r="JWI4"/>
      <c r="JWJ4"/>
      <c r="JWK4"/>
      <c r="JWL4"/>
      <c r="JWM4"/>
      <c r="JWN4"/>
      <c r="JWO4"/>
      <c r="JWP4"/>
      <c r="JWQ4"/>
      <c r="JWR4"/>
      <c r="JWS4"/>
      <c r="JWT4"/>
      <c r="JWU4"/>
      <c r="JWV4"/>
      <c r="JWW4"/>
      <c r="JWX4"/>
      <c r="JWY4"/>
      <c r="JWZ4"/>
      <c r="JXA4"/>
      <c r="JXB4"/>
      <c r="JXC4"/>
      <c r="JXD4"/>
      <c r="JXE4"/>
      <c r="JXF4"/>
      <c r="JXG4"/>
      <c r="JXH4"/>
      <c r="JXI4"/>
      <c r="JXJ4"/>
      <c r="JXK4"/>
      <c r="JXL4"/>
      <c r="JXM4"/>
      <c r="JXN4"/>
      <c r="JXO4"/>
      <c r="JXP4"/>
      <c r="JXQ4"/>
      <c r="JXR4"/>
      <c r="JXS4"/>
      <c r="JXT4"/>
      <c r="JXU4"/>
      <c r="JXV4"/>
      <c r="JXW4"/>
      <c r="JXX4"/>
      <c r="JXY4"/>
      <c r="JXZ4"/>
      <c r="JYA4"/>
      <c r="JYB4"/>
      <c r="JYC4"/>
      <c r="JYD4"/>
      <c r="JYE4"/>
      <c r="JYF4"/>
      <c r="JYG4"/>
      <c r="JYH4"/>
      <c r="JYI4"/>
      <c r="JYJ4"/>
      <c r="JYK4"/>
      <c r="JYL4"/>
      <c r="JYM4"/>
      <c r="JYN4"/>
      <c r="JYO4"/>
      <c r="JYP4"/>
      <c r="JYQ4"/>
      <c r="JYR4"/>
      <c r="JYS4"/>
      <c r="JYT4"/>
      <c r="JYU4"/>
      <c r="JYV4"/>
      <c r="JYW4"/>
      <c r="JYX4"/>
      <c r="JYY4"/>
      <c r="JYZ4"/>
      <c r="JZA4"/>
      <c r="JZB4"/>
      <c r="JZC4"/>
      <c r="JZD4"/>
      <c r="JZE4"/>
      <c r="JZF4"/>
      <c r="JZG4"/>
      <c r="JZH4"/>
      <c r="JZI4"/>
      <c r="JZJ4"/>
      <c r="JZK4"/>
      <c r="JZL4"/>
      <c r="JZM4"/>
      <c r="JZN4"/>
      <c r="JZO4"/>
      <c r="JZP4"/>
      <c r="JZQ4"/>
      <c r="JZR4"/>
      <c r="JZS4"/>
      <c r="JZT4"/>
      <c r="JZU4"/>
      <c r="JZV4"/>
      <c r="JZW4"/>
      <c r="JZX4"/>
      <c r="JZY4"/>
      <c r="JZZ4"/>
      <c r="KAA4"/>
      <c r="KAB4"/>
      <c r="KAC4"/>
      <c r="KAD4"/>
      <c r="KAE4"/>
      <c r="KAF4"/>
      <c r="KAG4"/>
      <c r="KAH4"/>
      <c r="KAI4"/>
      <c r="KAJ4"/>
      <c r="KAK4"/>
      <c r="KAL4"/>
      <c r="KAM4"/>
      <c r="KAN4"/>
      <c r="KAO4"/>
      <c r="KAP4"/>
      <c r="KAQ4"/>
      <c r="KAR4"/>
      <c r="KAS4"/>
      <c r="KAT4"/>
      <c r="KAU4"/>
      <c r="KAV4"/>
      <c r="KAW4"/>
      <c r="KAX4"/>
      <c r="KAY4"/>
      <c r="KAZ4"/>
      <c r="KBA4"/>
      <c r="KBB4"/>
      <c r="KBC4"/>
      <c r="KBD4"/>
      <c r="KBE4"/>
      <c r="KBF4"/>
      <c r="KBG4"/>
      <c r="KBH4"/>
      <c r="KBI4"/>
      <c r="KBJ4"/>
      <c r="KBK4"/>
      <c r="KBL4"/>
      <c r="KBM4"/>
      <c r="KBN4"/>
      <c r="KBO4"/>
      <c r="KBP4"/>
      <c r="KBQ4"/>
      <c r="KBR4"/>
      <c r="KBS4"/>
      <c r="KBT4"/>
      <c r="KBU4"/>
      <c r="KBV4"/>
      <c r="KBW4"/>
      <c r="KBX4"/>
      <c r="KBY4"/>
      <c r="KBZ4"/>
      <c r="KCA4"/>
      <c r="KCB4"/>
      <c r="KCC4"/>
      <c r="KCD4"/>
      <c r="KCE4"/>
      <c r="KCF4"/>
      <c r="KCG4"/>
      <c r="KCH4"/>
      <c r="KCI4"/>
      <c r="KCJ4"/>
      <c r="KCK4"/>
      <c r="KCL4"/>
      <c r="KCM4"/>
      <c r="KCN4"/>
      <c r="KCO4"/>
      <c r="KCP4"/>
      <c r="KCQ4"/>
      <c r="KCR4"/>
      <c r="KCS4"/>
      <c r="KCT4"/>
      <c r="KCU4"/>
      <c r="KCV4"/>
      <c r="KCW4"/>
      <c r="KCX4"/>
      <c r="KCY4"/>
      <c r="KCZ4"/>
      <c r="KDA4"/>
      <c r="KDB4"/>
      <c r="KDC4"/>
      <c r="KDD4"/>
      <c r="KDE4"/>
      <c r="KDF4"/>
      <c r="KDG4"/>
      <c r="KDH4"/>
      <c r="KDI4"/>
      <c r="KDJ4"/>
      <c r="KDK4"/>
      <c r="KDL4"/>
      <c r="KDM4"/>
      <c r="KDN4"/>
      <c r="KDO4"/>
      <c r="KDP4"/>
      <c r="KDQ4"/>
      <c r="KDR4"/>
      <c r="KDS4"/>
      <c r="KDT4"/>
      <c r="KDU4"/>
      <c r="KDV4"/>
      <c r="KDW4"/>
      <c r="KDX4"/>
      <c r="KDY4"/>
      <c r="KDZ4"/>
      <c r="KEA4"/>
      <c r="KEB4"/>
      <c r="KEC4"/>
      <c r="KED4"/>
      <c r="KEE4"/>
      <c r="KEF4"/>
      <c r="KEG4"/>
      <c r="KEH4"/>
      <c r="KEI4"/>
      <c r="KEJ4"/>
      <c r="KEK4"/>
      <c r="KEL4"/>
      <c r="KEM4"/>
      <c r="KEN4"/>
      <c r="KEO4"/>
      <c r="KEP4"/>
      <c r="KEQ4"/>
      <c r="KER4"/>
      <c r="KES4"/>
      <c r="KET4"/>
      <c r="KEU4"/>
      <c r="KEV4"/>
      <c r="KEW4"/>
      <c r="KEX4"/>
      <c r="KEY4"/>
      <c r="KEZ4"/>
      <c r="KFA4"/>
      <c r="KFB4"/>
      <c r="KFC4"/>
      <c r="KFD4"/>
      <c r="KFE4"/>
      <c r="KFF4"/>
      <c r="KFG4"/>
      <c r="KFH4"/>
      <c r="KFI4"/>
      <c r="KFJ4"/>
      <c r="KFK4"/>
      <c r="KFL4"/>
      <c r="KFM4"/>
      <c r="KFN4"/>
      <c r="KFO4"/>
      <c r="KFP4"/>
      <c r="KFQ4"/>
      <c r="KFR4"/>
      <c r="KFS4"/>
      <c r="KFT4"/>
      <c r="KFU4"/>
      <c r="KFV4"/>
      <c r="KFW4"/>
      <c r="KFX4"/>
      <c r="KFY4"/>
      <c r="KFZ4"/>
      <c r="KGA4"/>
      <c r="KGB4"/>
      <c r="KGC4"/>
      <c r="KGD4"/>
      <c r="KGE4"/>
      <c r="KGF4"/>
      <c r="KGG4"/>
      <c r="KGH4"/>
      <c r="KGI4"/>
      <c r="KGJ4"/>
      <c r="KGK4"/>
      <c r="KGL4"/>
      <c r="KGM4"/>
      <c r="KGN4"/>
      <c r="KGO4"/>
      <c r="KGP4"/>
      <c r="KGQ4"/>
      <c r="KGR4"/>
      <c r="KGS4"/>
      <c r="KGT4"/>
      <c r="KGU4"/>
      <c r="KGV4"/>
      <c r="KGW4"/>
      <c r="KGX4"/>
      <c r="KGY4"/>
      <c r="KGZ4"/>
      <c r="KHA4"/>
      <c r="KHB4"/>
      <c r="KHC4"/>
      <c r="KHD4"/>
      <c r="KHE4"/>
      <c r="KHF4"/>
      <c r="KHG4"/>
      <c r="KHH4"/>
      <c r="KHI4"/>
      <c r="KHJ4"/>
      <c r="KHK4"/>
      <c r="KHL4"/>
      <c r="KHM4"/>
      <c r="KHN4"/>
      <c r="KHO4"/>
      <c r="KHP4"/>
      <c r="KHQ4"/>
      <c r="KHR4"/>
      <c r="KHS4"/>
      <c r="KHT4"/>
      <c r="KHU4"/>
      <c r="KHV4"/>
      <c r="KHW4"/>
      <c r="KHX4"/>
      <c r="KHY4"/>
      <c r="KHZ4"/>
      <c r="KIA4"/>
      <c r="KIB4"/>
      <c r="KIC4"/>
      <c r="KID4"/>
      <c r="KIE4"/>
      <c r="KIF4"/>
      <c r="KIG4"/>
      <c r="KIH4"/>
      <c r="KII4"/>
      <c r="KIJ4"/>
      <c r="KIK4"/>
      <c r="KIL4"/>
      <c r="KIM4"/>
      <c r="KIN4"/>
      <c r="KIO4"/>
      <c r="KIP4"/>
      <c r="KIQ4"/>
      <c r="KIR4"/>
      <c r="KIS4"/>
      <c r="KIT4"/>
      <c r="KIU4"/>
      <c r="KIV4"/>
      <c r="KIW4"/>
      <c r="KIX4"/>
      <c r="KIY4"/>
      <c r="KIZ4"/>
      <c r="KJA4"/>
      <c r="KJB4"/>
      <c r="KJC4"/>
      <c r="KJD4"/>
      <c r="KJE4"/>
      <c r="KJF4"/>
      <c r="KJG4"/>
      <c r="KJH4"/>
      <c r="KJI4"/>
      <c r="KJJ4"/>
      <c r="KJK4"/>
      <c r="KJL4"/>
      <c r="KJM4"/>
      <c r="KJN4"/>
      <c r="KJO4"/>
      <c r="KJP4"/>
      <c r="KJQ4"/>
      <c r="KJR4"/>
      <c r="KJS4"/>
      <c r="KJT4"/>
      <c r="KJU4"/>
      <c r="KJV4"/>
      <c r="KJW4"/>
      <c r="KJX4"/>
      <c r="KJY4"/>
      <c r="KJZ4"/>
      <c r="KKA4"/>
      <c r="KKB4"/>
      <c r="KKC4"/>
      <c r="KKD4"/>
      <c r="KKE4"/>
      <c r="KKF4"/>
      <c r="KKG4"/>
      <c r="KKH4"/>
      <c r="KKI4"/>
      <c r="KKJ4"/>
      <c r="KKK4"/>
      <c r="KKL4"/>
      <c r="KKM4"/>
      <c r="KKN4"/>
      <c r="KKO4"/>
      <c r="KKP4"/>
      <c r="KKQ4"/>
      <c r="KKR4"/>
      <c r="KKS4"/>
      <c r="KKT4"/>
      <c r="KKU4"/>
      <c r="KKV4"/>
      <c r="KKW4"/>
      <c r="KKX4"/>
      <c r="KKY4"/>
      <c r="KKZ4"/>
      <c r="KLA4"/>
      <c r="KLB4"/>
      <c r="KLC4"/>
      <c r="KLD4"/>
      <c r="KLE4"/>
      <c r="KLF4"/>
      <c r="KLG4"/>
      <c r="KLH4"/>
      <c r="KLI4"/>
      <c r="KLJ4"/>
      <c r="KLK4"/>
      <c r="KLL4"/>
      <c r="KLM4"/>
      <c r="KLN4"/>
      <c r="KLO4"/>
      <c r="KLP4"/>
      <c r="KLQ4"/>
      <c r="KLR4"/>
      <c r="KLS4"/>
      <c r="KLT4"/>
      <c r="KLU4"/>
      <c r="KLV4"/>
      <c r="KLW4"/>
      <c r="KLX4"/>
      <c r="KLY4"/>
      <c r="KLZ4"/>
      <c r="KMA4"/>
      <c r="KMB4"/>
      <c r="KMC4"/>
      <c r="KMD4"/>
      <c r="KME4"/>
      <c r="KMF4"/>
      <c r="KMG4"/>
      <c r="KMH4"/>
      <c r="KMI4"/>
      <c r="KMJ4"/>
      <c r="KMK4"/>
      <c r="KML4"/>
      <c r="KMM4"/>
      <c r="KMN4"/>
      <c r="KMO4"/>
      <c r="KMP4"/>
      <c r="KMQ4"/>
      <c r="KMR4"/>
      <c r="KMS4"/>
      <c r="KMT4"/>
      <c r="KMU4"/>
      <c r="KMV4"/>
      <c r="KMW4"/>
      <c r="KMX4"/>
      <c r="KMY4"/>
      <c r="KMZ4"/>
      <c r="KNA4"/>
      <c r="KNB4"/>
      <c r="KNC4"/>
      <c r="KND4"/>
      <c r="KNE4"/>
      <c r="KNF4"/>
      <c r="KNG4"/>
      <c r="KNH4"/>
      <c r="KNI4"/>
      <c r="KNJ4"/>
      <c r="KNK4"/>
      <c r="KNL4"/>
      <c r="KNM4"/>
      <c r="KNN4"/>
      <c r="KNO4"/>
      <c r="KNP4"/>
      <c r="KNQ4"/>
      <c r="KNR4"/>
      <c r="KNS4"/>
      <c r="KNT4"/>
      <c r="KNU4"/>
      <c r="KNV4"/>
      <c r="KNW4"/>
      <c r="KNX4"/>
      <c r="KNY4"/>
      <c r="KNZ4"/>
      <c r="KOA4"/>
      <c r="KOB4"/>
      <c r="KOC4"/>
      <c r="KOD4"/>
      <c r="KOE4"/>
      <c r="KOF4"/>
      <c r="KOG4"/>
      <c r="KOH4"/>
      <c r="KOI4"/>
      <c r="KOJ4"/>
      <c r="KOK4"/>
      <c r="KOL4"/>
      <c r="KOM4"/>
      <c r="KON4"/>
      <c r="KOO4"/>
      <c r="KOP4"/>
      <c r="KOQ4"/>
      <c r="KOR4"/>
      <c r="KOS4"/>
      <c r="KOT4"/>
      <c r="KOU4"/>
      <c r="KOV4"/>
      <c r="KOW4"/>
      <c r="KOX4"/>
      <c r="KOY4"/>
      <c r="KOZ4"/>
      <c r="KPA4"/>
      <c r="KPB4"/>
      <c r="KPC4"/>
      <c r="KPD4"/>
      <c r="KPE4"/>
      <c r="KPF4"/>
      <c r="KPG4"/>
      <c r="KPH4"/>
      <c r="KPI4"/>
      <c r="KPJ4"/>
      <c r="KPK4"/>
      <c r="KPL4"/>
      <c r="KPM4"/>
      <c r="KPN4"/>
      <c r="KPO4"/>
      <c r="KPP4"/>
      <c r="KPQ4"/>
      <c r="KPR4"/>
      <c r="KPS4"/>
      <c r="KPT4"/>
      <c r="KPU4"/>
      <c r="KPV4"/>
      <c r="KPW4"/>
      <c r="KPX4"/>
      <c r="KPY4"/>
      <c r="KPZ4"/>
      <c r="KQA4"/>
      <c r="KQB4"/>
      <c r="KQC4"/>
      <c r="KQD4"/>
      <c r="KQE4"/>
      <c r="KQF4"/>
      <c r="KQG4"/>
      <c r="KQH4"/>
      <c r="KQI4"/>
      <c r="KQJ4"/>
      <c r="KQK4"/>
      <c r="KQL4"/>
      <c r="KQM4"/>
      <c r="KQN4"/>
      <c r="KQO4"/>
      <c r="KQP4"/>
      <c r="KQQ4"/>
      <c r="KQR4"/>
      <c r="KQS4"/>
      <c r="KQT4"/>
      <c r="KQU4"/>
      <c r="KQV4"/>
      <c r="KQW4"/>
      <c r="KQX4"/>
      <c r="KQY4"/>
      <c r="KQZ4"/>
      <c r="KRA4"/>
      <c r="KRB4"/>
      <c r="KRC4"/>
      <c r="KRD4"/>
      <c r="KRE4"/>
      <c r="KRF4"/>
      <c r="KRG4"/>
      <c r="KRH4"/>
      <c r="KRI4"/>
      <c r="KRJ4"/>
      <c r="KRK4"/>
      <c r="KRL4"/>
      <c r="KRM4"/>
      <c r="KRN4"/>
      <c r="KRO4"/>
      <c r="KRP4"/>
      <c r="KRQ4"/>
      <c r="KRR4"/>
      <c r="KRS4"/>
      <c r="KRT4"/>
      <c r="KRU4"/>
      <c r="KRV4"/>
      <c r="KRW4"/>
      <c r="KRX4"/>
      <c r="KRY4"/>
      <c r="KRZ4"/>
      <c r="KSA4"/>
      <c r="KSB4"/>
      <c r="KSC4"/>
      <c r="KSD4"/>
      <c r="KSE4"/>
      <c r="KSF4"/>
      <c r="KSG4"/>
      <c r="KSH4"/>
      <c r="KSI4"/>
      <c r="KSJ4"/>
      <c r="KSK4"/>
      <c r="KSL4"/>
      <c r="KSM4"/>
      <c r="KSN4"/>
      <c r="KSO4"/>
      <c r="KSP4"/>
      <c r="KSQ4"/>
      <c r="KSR4"/>
      <c r="KSS4"/>
      <c r="KST4"/>
      <c r="KSU4"/>
      <c r="KSV4"/>
      <c r="KSW4"/>
      <c r="KSX4"/>
      <c r="KSY4"/>
      <c r="KSZ4"/>
      <c r="KTA4"/>
      <c r="KTB4"/>
      <c r="KTC4"/>
      <c r="KTD4"/>
      <c r="KTE4"/>
      <c r="KTF4"/>
      <c r="KTG4"/>
      <c r="KTH4"/>
      <c r="KTI4"/>
      <c r="KTJ4"/>
      <c r="KTK4"/>
      <c r="KTL4"/>
      <c r="KTM4"/>
      <c r="KTN4"/>
      <c r="KTO4"/>
      <c r="KTP4"/>
      <c r="KTQ4"/>
      <c r="KTR4"/>
      <c r="KTS4"/>
      <c r="KTT4"/>
      <c r="KTU4"/>
      <c r="KTV4"/>
      <c r="KTW4"/>
      <c r="KTX4"/>
      <c r="KTY4"/>
      <c r="KTZ4"/>
      <c r="KUA4"/>
      <c r="KUB4"/>
      <c r="KUC4"/>
      <c r="KUD4"/>
      <c r="KUE4"/>
      <c r="KUF4"/>
      <c r="KUG4"/>
      <c r="KUH4"/>
      <c r="KUI4"/>
      <c r="KUJ4"/>
      <c r="KUK4"/>
      <c r="KUL4"/>
      <c r="KUM4"/>
      <c r="KUN4"/>
      <c r="KUO4"/>
      <c r="KUP4"/>
      <c r="KUQ4"/>
      <c r="KUR4"/>
      <c r="KUS4"/>
      <c r="KUT4"/>
      <c r="KUU4"/>
      <c r="KUV4"/>
      <c r="KUW4"/>
      <c r="KUX4"/>
      <c r="KUY4"/>
      <c r="KUZ4"/>
      <c r="KVA4"/>
      <c r="KVB4"/>
      <c r="KVC4"/>
      <c r="KVD4"/>
      <c r="KVE4"/>
      <c r="KVF4"/>
      <c r="KVG4"/>
      <c r="KVH4"/>
      <c r="KVI4"/>
      <c r="KVJ4"/>
      <c r="KVK4"/>
      <c r="KVL4"/>
      <c r="KVM4"/>
      <c r="KVN4"/>
      <c r="KVO4"/>
      <c r="KVP4"/>
      <c r="KVQ4"/>
      <c r="KVR4"/>
      <c r="KVS4"/>
      <c r="KVT4"/>
      <c r="KVU4"/>
      <c r="KVV4"/>
      <c r="KVW4"/>
      <c r="KVX4"/>
      <c r="KVY4"/>
      <c r="KVZ4"/>
      <c r="KWA4"/>
      <c r="KWB4"/>
      <c r="KWC4"/>
      <c r="KWD4"/>
      <c r="KWE4"/>
      <c r="KWF4"/>
      <c r="KWG4"/>
      <c r="KWH4"/>
      <c r="KWI4"/>
      <c r="KWJ4"/>
      <c r="KWK4"/>
      <c r="KWL4"/>
      <c r="KWM4"/>
      <c r="KWN4"/>
      <c r="KWO4"/>
      <c r="KWP4"/>
      <c r="KWQ4"/>
      <c r="KWR4"/>
      <c r="KWS4"/>
      <c r="KWT4"/>
      <c r="KWU4"/>
      <c r="KWV4"/>
      <c r="KWW4"/>
      <c r="KWX4"/>
      <c r="KWY4"/>
      <c r="KWZ4"/>
      <c r="KXA4"/>
      <c r="KXB4"/>
      <c r="KXC4"/>
      <c r="KXD4"/>
      <c r="KXE4"/>
      <c r="KXF4"/>
      <c r="KXG4"/>
      <c r="KXH4"/>
      <c r="KXI4"/>
      <c r="KXJ4"/>
      <c r="KXK4"/>
      <c r="KXL4"/>
      <c r="KXM4"/>
      <c r="KXN4"/>
      <c r="KXO4"/>
      <c r="KXP4"/>
      <c r="KXQ4"/>
      <c r="KXR4"/>
      <c r="KXS4"/>
      <c r="KXT4"/>
      <c r="KXU4"/>
      <c r="KXV4"/>
      <c r="KXW4"/>
      <c r="KXX4"/>
      <c r="KXY4"/>
      <c r="KXZ4"/>
      <c r="KYA4"/>
      <c r="KYB4"/>
      <c r="KYC4"/>
      <c r="KYD4"/>
      <c r="KYE4"/>
      <c r="KYF4"/>
      <c r="KYG4"/>
      <c r="KYH4"/>
      <c r="KYI4"/>
      <c r="KYJ4"/>
      <c r="KYK4"/>
      <c r="KYL4"/>
      <c r="KYM4"/>
      <c r="KYN4"/>
      <c r="KYO4"/>
      <c r="KYP4"/>
      <c r="KYQ4"/>
      <c r="KYR4"/>
      <c r="KYS4"/>
      <c r="KYT4"/>
      <c r="KYU4"/>
      <c r="KYV4"/>
      <c r="KYW4"/>
      <c r="KYX4"/>
      <c r="KYY4"/>
      <c r="KYZ4"/>
      <c r="KZA4"/>
      <c r="KZB4"/>
      <c r="KZC4"/>
      <c r="KZD4"/>
      <c r="KZE4"/>
      <c r="KZF4"/>
      <c r="KZG4"/>
      <c r="KZH4"/>
      <c r="KZI4"/>
      <c r="KZJ4"/>
      <c r="KZK4"/>
      <c r="KZL4"/>
      <c r="KZM4"/>
      <c r="KZN4"/>
      <c r="KZO4"/>
      <c r="KZP4"/>
      <c r="KZQ4"/>
      <c r="KZR4"/>
      <c r="KZS4"/>
      <c r="KZT4"/>
      <c r="KZU4"/>
      <c r="KZV4"/>
      <c r="KZW4"/>
      <c r="KZX4"/>
      <c r="KZY4"/>
      <c r="KZZ4"/>
      <c r="LAA4"/>
      <c r="LAB4"/>
      <c r="LAC4"/>
      <c r="LAD4"/>
      <c r="LAE4"/>
      <c r="LAF4"/>
      <c r="LAG4"/>
      <c r="LAH4"/>
      <c r="LAI4"/>
      <c r="LAJ4"/>
      <c r="LAK4"/>
      <c r="LAL4"/>
      <c r="LAM4"/>
      <c r="LAN4"/>
      <c r="LAO4"/>
      <c r="LAP4"/>
      <c r="LAQ4"/>
      <c r="LAR4"/>
      <c r="LAS4"/>
      <c r="LAT4"/>
      <c r="LAU4"/>
      <c r="LAV4"/>
      <c r="LAW4"/>
      <c r="LAX4"/>
      <c r="LAY4"/>
      <c r="LAZ4"/>
      <c r="LBA4"/>
      <c r="LBB4"/>
      <c r="LBC4"/>
      <c r="LBD4"/>
      <c r="LBE4"/>
      <c r="LBF4"/>
      <c r="LBG4"/>
      <c r="LBH4"/>
      <c r="LBI4"/>
      <c r="LBJ4"/>
      <c r="LBK4"/>
      <c r="LBL4"/>
      <c r="LBM4"/>
      <c r="LBN4"/>
      <c r="LBO4"/>
      <c r="LBP4"/>
      <c r="LBQ4"/>
      <c r="LBR4"/>
      <c r="LBS4"/>
      <c r="LBT4"/>
      <c r="LBU4"/>
      <c r="LBV4"/>
      <c r="LBW4"/>
      <c r="LBX4"/>
      <c r="LBY4"/>
      <c r="LBZ4"/>
      <c r="LCA4"/>
      <c r="LCB4"/>
      <c r="LCC4"/>
      <c r="LCD4"/>
      <c r="LCE4"/>
      <c r="LCF4"/>
      <c r="LCG4"/>
      <c r="LCH4"/>
      <c r="LCI4"/>
      <c r="LCJ4"/>
      <c r="LCK4"/>
      <c r="LCL4"/>
      <c r="LCM4"/>
      <c r="LCN4"/>
      <c r="LCO4"/>
      <c r="LCP4"/>
      <c r="LCQ4"/>
      <c r="LCR4"/>
      <c r="LCS4"/>
      <c r="LCT4"/>
      <c r="LCU4"/>
      <c r="LCV4"/>
      <c r="LCW4"/>
      <c r="LCX4"/>
      <c r="LCY4"/>
      <c r="LCZ4"/>
      <c r="LDA4"/>
      <c r="LDB4"/>
      <c r="LDC4"/>
      <c r="LDD4"/>
      <c r="LDE4"/>
      <c r="LDF4"/>
      <c r="LDG4"/>
      <c r="LDH4"/>
      <c r="LDI4"/>
      <c r="LDJ4"/>
      <c r="LDK4"/>
      <c r="LDL4"/>
      <c r="LDM4"/>
      <c r="LDN4"/>
      <c r="LDO4"/>
      <c r="LDP4"/>
      <c r="LDQ4"/>
      <c r="LDR4"/>
      <c r="LDS4"/>
      <c r="LDT4"/>
      <c r="LDU4"/>
      <c r="LDV4"/>
      <c r="LDW4"/>
      <c r="LDX4"/>
      <c r="LDY4"/>
      <c r="LDZ4"/>
      <c r="LEA4"/>
      <c r="LEB4"/>
      <c r="LEC4"/>
      <c r="LED4"/>
      <c r="LEE4"/>
      <c r="LEF4"/>
      <c r="LEG4"/>
      <c r="LEH4"/>
      <c r="LEI4"/>
      <c r="LEJ4"/>
      <c r="LEK4"/>
      <c r="LEL4"/>
      <c r="LEM4"/>
      <c r="LEN4"/>
      <c r="LEO4"/>
      <c r="LEP4"/>
      <c r="LEQ4"/>
      <c r="LER4"/>
      <c r="LES4"/>
      <c r="LET4"/>
      <c r="LEU4"/>
      <c r="LEV4"/>
      <c r="LEW4"/>
      <c r="LEX4"/>
      <c r="LEY4"/>
      <c r="LEZ4"/>
      <c r="LFA4"/>
      <c r="LFB4"/>
      <c r="LFC4"/>
      <c r="LFD4"/>
      <c r="LFE4"/>
      <c r="LFF4"/>
      <c r="LFG4"/>
      <c r="LFH4"/>
      <c r="LFI4"/>
      <c r="LFJ4"/>
      <c r="LFK4"/>
      <c r="LFL4"/>
      <c r="LFM4"/>
      <c r="LFN4"/>
      <c r="LFO4"/>
      <c r="LFP4"/>
      <c r="LFQ4"/>
      <c r="LFR4"/>
      <c r="LFS4"/>
      <c r="LFT4"/>
      <c r="LFU4"/>
      <c r="LFV4"/>
      <c r="LFW4"/>
      <c r="LFX4"/>
      <c r="LFY4"/>
      <c r="LFZ4"/>
      <c r="LGA4"/>
      <c r="LGB4"/>
      <c r="LGC4"/>
      <c r="LGD4"/>
      <c r="LGE4"/>
      <c r="LGF4"/>
      <c r="LGG4"/>
      <c r="LGH4"/>
      <c r="LGI4"/>
      <c r="LGJ4"/>
      <c r="LGK4"/>
      <c r="LGL4"/>
      <c r="LGM4"/>
      <c r="LGN4"/>
      <c r="LGO4"/>
      <c r="LGP4"/>
      <c r="LGQ4"/>
      <c r="LGR4"/>
      <c r="LGS4"/>
      <c r="LGT4"/>
      <c r="LGU4"/>
      <c r="LGV4"/>
      <c r="LGW4"/>
      <c r="LGX4"/>
      <c r="LGY4"/>
      <c r="LGZ4"/>
      <c r="LHA4"/>
      <c r="LHB4"/>
      <c r="LHC4"/>
      <c r="LHD4"/>
      <c r="LHE4"/>
      <c r="LHF4"/>
      <c r="LHG4"/>
      <c r="LHH4"/>
      <c r="LHI4"/>
      <c r="LHJ4"/>
      <c r="LHK4"/>
      <c r="LHL4"/>
      <c r="LHM4"/>
      <c r="LHN4"/>
      <c r="LHO4"/>
      <c r="LHP4"/>
      <c r="LHQ4"/>
      <c r="LHR4"/>
      <c r="LHS4"/>
      <c r="LHT4"/>
      <c r="LHU4"/>
      <c r="LHV4"/>
      <c r="LHW4"/>
      <c r="LHX4"/>
      <c r="LHY4"/>
      <c r="LHZ4"/>
      <c r="LIA4"/>
      <c r="LIB4"/>
      <c r="LIC4"/>
      <c r="LID4"/>
      <c r="LIE4"/>
      <c r="LIF4"/>
      <c r="LIG4"/>
      <c r="LIH4"/>
      <c r="LII4"/>
      <c r="LIJ4"/>
      <c r="LIK4"/>
      <c r="LIL4"/>
      <c r="LIM4"/>
      <c r="LIN4"/>
      <c r="LIO4"/>
      <c r="LIP4"/>
      <c r="LIQ4"/>
      <c r="LIR4"/>
      <c r="LIS4"/>
      <c r="LIT4"/>
      <c r="LIU4"/>
      <c r="LIV4"/>
      <c r="LIW4"/>
      <c r="LIX4"/>
      <c r="LIY4"/>
      <c r="LIZ4"/>
      <c r="LJA4"/>
      <c r="LJB4"/>
      <c r="LJC4"/>
      <c r="LJD4"/>
      <c r="LJE4"/>
      <c r="LJF4"/>
      <c r="LJG4"/>
      <c r="LJH4"/>
      <c r="LJI4"/>
      <c r="LJJ4"/>
      <c r="LJK4"/>
      <c r="LJL4"/>
      <c r="LJM4"/>
      <c r="LJN4"/>
      <c r="LJO4"/>
      <c r="LJP4"/>
      <c r="LJQ4"/>
      <c r="LJR4"/>
      <c r="LJS4"/>
      <c r="LJT4"/>
      <c r="LJU4"/>
      <c r="LJV4"/>
      <c r="LJW4"/>
      <c r="LJX4"/>
      <c r="LJY4"/>
      <c r="LJZ4"/>
      <c r="LKA4"/>
      <c r="LKB4"/>
      <c r="LKC4"/>
      <c r="LKD4"/>
      <c r="LKE4"/>
      <c r="LKF4"/>
      <c r="LKG4"/>
      <c r="LKH4"/>
      <c r="LKI4"/>
      <c r="LKJ4"/>
      <c r="LKK4"/>
      <c r="LKL4"/>
      <c r="LKM4"/>
      <c r="LKN4"/>
      <c r="LKO4"/>
      <c r="LKP4"/>
      <c r="LKQ4"/>
      <c r="LKR4"/>
      <c r="LKS4"/>
      <c r="LKT4"/>
      <c r="LKU4"/>
      <c r="LKV4"/>
      <c r="LKW4"/>
      <c r="LKX4"/>
      <c r="LKY4"/>
      <c r="LKZ4"/>
      <c r="LLA4"/>
      <c r="LLB4"/>
      <c r="LLC4"/>
      <c r="LLD4"/>
      <c r="LLE4"/>
      <c r="LLF4"/>
      <c r="LLG4"/>
      <c r="LLH4"/>
      <c r="LLI4"/>
      <c r="LLJ4"/>
      <c r="LLK4"/>
      <c r="LLL4"/>
      <c r="LLM4"/>
      <c r="LLN4"/>
      <c r="LLO4"/>
      <c r="LLP4"/>
      <c r="LLQ4"/>
      <c r="LLR4"/>
      <c r="LLS4"/>
      <c r="LLT4"/>
      <c r="LLU4"/>
      <c r="LLV4"/>
      <c r="LLW4"/>
      <c r="LLX4"/>
      <c r="LLY4"/>
      <c r="LLZ4"/>
      <c r="LMA4"/>
      <c r="LMB4"/>
      <c r="LMC4"/>
      <c r="LMD4"/>
      <c r="LME4"/>
      <c r="LMF4"/>
      <c r="LMG4"/>
      <c r="LMH4"/>
      <c r="LMI4"/>
      <c r="LMJ4"/>
      <c r="LMK4"/>
      <c r="LML4"/>
      <c r="LMM4"/>
      <c r="LMN4"/>
      <c r="LMO4"/>
      <c r="LMP4"/>
      <c r="LMQ4"/>
      <c r="LMR4"/>
      <c r="LMS4"/>
      <c r="LMT4"/>
      <c r="LMU4"/>
      <c r="LMV4"/>
      <c r="LMW4"/>
      <c r="LMX4"/>
      <c r="LMY4"/>
      <c r="LMZ4"/>
      <c r="LNA4"/>
      <c r="LNB4"/>
      <c r="LNC4"/>
      <c r="LND4"/>
      <c r="LNE4"/>
      <c r="LNF4"/>
      <c r="LNG4"/>
      <c r="LNH4"/>
      <c r="LNI4"/>
      <c r="LNJ4"/>
      <c r="LNK4"/>
      <c r="LNL4"/>
      <c r="LNM4"/>
      <c r="LNN4"/>
      <c r="LNO4"/>
      <c r="LNP4"/>
      <c r="LNQ4"/>
      <c r="LNR4"/>
      <c r="LNS4"/>
      <c r="LNT4"/>
      <c r="LNU4"/>
      <c r="LNV4"/>
      <c r="LNW4"/>
      <c r="LNX4"/>
      <c r="LNY4"/>
      <c r="LNZ4"/>
      <c r="LOA4"/>
      <c r="LOB4"/>
      <c r="LOC4"/>
      <c r="LOD4"/>
      <c r="LOE4"/>
      <c r="LOF4"/>
      <c r="LOG4"/>
      <c r="LOH4"/>
      <c r="LOI4"/>
      <c r="LOJ4"/>
      <c r="LOK4"/>
      <c r="LOL4"/>
      <c r="LOM4"/>
      <c r="LON4"/>
      <c r="LOO4"/>
      <c r="LOP4"/>
      <c r="LOQ4"/>
      <c r="LOR4"/>
      <c r="LOS4"/>
      <c r="LOT4"/>
      <c r="LOU4"/>
      <c r="LOV4"/>
      <c r="LOW4"/>
      <c r="LOX4"/>
      <c r="LOY4"/>
      <c r="LOZ4"/>
      <c r="LPA4"/>
      <c r="LPB4"/>
      <c r="LPC4"/>
      <c r="LPD4"/>
      <c r="LPE4"/>
      <c r="LPF4"/>
      <c r="LPG4"/>
      <c r="LPH4"/>
      <c r="LPI4"/>
      <c r="LPJ4"/>
      <c r="LPK4"/>
      <c r="LPL4"/>
      <c r="LPM4"/>
      <c r="LPN4"/>
      <c r="LPO4"/>
      <c r="LPP4"/>
      <c r="LPQ4"/>
      <c r="LPR4"/>
      <c r="LPS4"/>
      <c r="LPT4"/>
      <c r="LPU4"/>
      <c r="LPV4"/>
      <c r="LPW4"/>
      <c r="LPX4"/>
      <c r="LPY4"/>
      <c r="LPZ4"/>
      <c r="LQA4"/>
      <c r="LQB4"/>
      <c r="LQC4"/>
      <c r="LQD4"/>
      <c r="LQE4"/>
      <c r="LQF4"/>
      <c r="LQG4"/>
      <c r="LQH4"/>
      <c r="LQI4"/>
      <c r="LQJ4"/>
      <c r="LQK4"/>
      <c r="LQL4"/>
      <c r="LQM4"/>
      <c r="LQN4"/>
      <c r="LQO4"/>
      <c r="LQP4"/>
      <c r="LQQ4"/>
      <c r="LQR4"/>
      <c r="LQS4"/>
      <c r="LQT4"/>
      <c r="LQU4"/>
      <c r="LQV4"/>
      <c r="LQW4"/>
      <c r="LQX4"/>
      <c r="LQY4"/>
      <c r="LQZ4"/>
      <c r="LRA4"/>
      <c r="LRB4"/>
      <c r="LRC4"/>
      <c r="LRD4"/>
      <c r="LRE4"/>
      <c r="LRF4"/>
      <c r="LRG4"/>
      <c r="LRH4"/>
      <c r="LRI4"/>
      <c r="LRJ4"/>
      <c r="LRK4"/>
      <c r="LRL4"/>
      <c r="LRM4"/>
      <c r="LRN4"/>
      <c r="LRO4"/>
      <c r="LRP4"/>
      <c r="LRQ4"/>
      <c r="LRR4"/>
      <c r="LRS4"/>
      <c r="LRT4"/>
      <c r="LRU4"/>
      <c r="LRV4"/>
      <c r="LRW4"/>
      <c r="LRX4"/>
      <c r="LRY4"/>
      <c r="LRZ4"/>
      <c r="LSA4"/>
      <c r="LSB4"/>
      <c r="LSC4"/>
      <c r="LSD4"/>
      <c r="LSE4"/>
      <c r="LSF4"/>
      <c r="LSG4"/>
      <c r="LSH4"/>
      <c r="LSI4"/>
      <c r="LSJ4"/>
      <c r="LSK4"/>
      <c r="LSL4"/>
      <c r="LSM4"/>
      <c r="LSN4"/>
      <c r="LSO4"/>
      <c r="LSP4"/>
      <c r="LSQ4"/>
      <c r="LSR4"/>
      <c r="LSS4"/>
      <c r="LST4"/>
      <c r="LSU4"/>
      <c r="LSV4"/>
      <c r="LSW4"/>
      <c r="LSX4"/>
      <c r="LSY4"/>
      <c r="LSZ4"/>
      <c r="LTA4"/>
      <c r="LTB4"/>
      <c r="LTC4"/>
      <c r="LTD4"/>
      <c r="LTE4"/>
      <c r="LTF4"/>
      <c r="LTG4"/>
      <c r="LTH4"/>
      <c r="LTI4"/>
      <c r="LTJ4"/>
      <c r="LTK4"/>
      <c r="LTL4"/>
      <c r="LTM4"/>
      <c r="LTN4"/>
      <c r="LTO4"/>
      <c r="LTP4"/>
      <c r="LTQ4"/>
      <c r="LTR4"/>
      <c r="LTS4"/>
      <c r="LTT4"/>
      <c r="LTU4"/>
      <c r="LTV4"/>
      <c r="LTW4"/>
      <c r="LTX4"/>
      <c r="LTY4"/>
      <c r="LTZ4"/>
      <c r="LUA4"/>
      <c r="LUB4"/>
      <c r="LUC4"/>
      <c r="LUD4"/>
      <c r="LUE4"/>
      <c r="LUF4"/>
      <c r="LUG4"/>
      <c r="LUH4"/>
      <c r="LUI4"/>
      <c r="LUJ4"/>
      <c r="LUK4"/>
      <c r="LUL4"/>
      <c r="LUM4"/>
      <c r="LUN4"/>
      <c r="LUO4"/>
      <c r="LUP4"/>
      <c r="LUQ4"/>
      <c r="LUR4"/>
      <c r="LUS4"/>
      <c r="LUT4"/>
      <c r="LUU4"/>
      <c r="LUV4"/>
      <c r="LUW4"/>
      <c r="LUX4"/>
      <c r="LUY4"/>
      <c r="LUZ4"/>
      <c r="LVA4"/>
      <c r="LVB4"/>
      <c r="LVC4"/>
      <c r="LVD4"/>
      <c r="LVE4"/>
      <c r="LVF4"/>
      <c r="LVG4"/>
      <c r="LVH4"/>
      <c r="LVI4"/>
      <c r="LVJ4"/>
      <c r="LVK4"/>
      <c r="LVL4"/>
      <c r="LVM4"/>
      <c r="LVN4"/>
      <c r="LVO4"/>
      <c r="LVP4"/>
      <c r="LVQ4"/>
      <c r="LVR4"/>
      <c r="LVS4"/>
      <c r="LVT4"/>
      <c r="LVU4"/>
      <c r="LVV4"/>
      <c r="LVW4"/>
      <c r="LVX4"/>
      <c r="LVY4"/>
      <c r="LVZ4"/>
      <c r="LWA4"/>
      <c r="LWB4"/>
      <c r="LWC4"/>
      <c r="LWD4"/>
      <c r="LWE4"/>
      <c r="LWF4"/>
      <c r="LWG4"/>
      <c r="LWH4"/>
      <c r="LWI4"/>
      <c r="LWJ4"/>
      <c r="LWK4"/>
      <c r="LWL4"/>
      <c r="LWM4"/>
      <c r="LWN4"/>
      <c r="LWO4"/>
      <c r="LWP4"/>
      <c r="LWQ4"/>
      <c r="LWR4"/>
      <c r="LWS4"/>
      <c r="LWT4"/>
      <c r="LWU4"/>
      <c r="LWV4"/>
      <c r="LWW4"/>
      <c r="LWX4"/>
      <c r="LWY4"/>
      <c r="LWZ4"/>
      <c r="LXA4"/>
      <c r="LXB4"/>
      <c r="LXC4"/>
      <c r="LXD4"/>
      <c r="LXE4"/>
      <c r="LXF4"/>
      <c r="LXG4"/>
      <c r="LXH4"/>
      <c r="LXI4"/>
      <c r="LXJ4"/>
      <c r="LXK4"/>
      <c r="LXL4"/>
      <c r="LXM4"/>
      <c r="LXN4"/>
      <c r="LXO4"/>
      <c r="LXP4"/>
      <c r="LXQ4"/>
      <c r="LXR4"/>
      <c r="LXS4"/>
      <c r="LXT4"/>
      <c r="LXU4"/>
      <c r="LXV4"/>
      <c r="LXW4"/>
      <c r="LXX4"/>
      <c r="LXY4"/>
      <c r="LXZ4"/>
      <c r="LYA4"/>
      <c r="LYB4"/>
      <c r="LYC4"/>
      <c r="LYD4"/>
      <c r="LYE4"/>
      <c r="LYF4"/>
      <c r="LYG4"/>
      <c r="LYH4"/>
      <c r="LYI4"/>
      <c r="LYJ4"/>
      <c r="LYK4"/>
      <c r="LYL4"/>
      <c r="LYM4"/>
      <c r="LYN4"/>
      <c r="LYO4"/>
      <c r="LYP4"/>
      <c r="LYQ4"/>
      <c r="LYR4"/>
      <c r="LYS4"/>
      <c r="LYT4"/>
      <c r="LYU4"/>
      <c r="LYV4"/>
      <c r="LYW4"/>
      <c r="LYX4"/>
      <c r="LYY4"/>
      <c r="LYZ4"/>
      <c r="LZA4"/>
      <c r="LZB4"/>
      <c r="LZC4"/>
      <c r="LZD4"/>
      <c r="LZE4"/>
      <c r="LZF4"/>
      <c r="LZG4"/>
      <c r="LZH4"/>
      <c r="LZI4"/>
      <c r="LZJ4"/>
      <c r="LZK4"/>
      <c r="LZL4"/>
      <c r="LZM4"/>
      <c r="LZN4"/>
      <c r="LZO4"/>
      <c r="LZP4"/>
      <c r="LZQ4"/>
      <c r="LZR4"/>
      <c r="LZS4"/>
      <c r="LZT4"/>
      <c r="LZU4"/>
      <c r="LZV4"/>
      <c r="LZW4"/>
      <c r="LZX4"/>
      <c r="LZY4"/>
      <c r="LZZ4"/>
      <c r="MAA4"/>
      <c r="MAB4"/>
      <c r="MAC4"/>
      <c r="MAD4"/>
      <c r="MAE4"/>
      <c r="MAF4"/>
      <c r="MAG4"/>
      <c r="MAH4"/>
      <c r="MAI4"/>
      <c r="MAJ4"/>
      <c r="MAK4"/>
      <c r="MAL4"/>
      <c r="MAM4"/>
      <c r="MAN4"/>
      <c r="MAO4"/>
      <c r="MAP4"/>
      <c r="MAQ4"/>
      <c r="MAR4"/>
      <c r="MAS4"/>
      <c r="MAT4"/>
      <c r="MAU4"/>
      <c r="MAV4"/>
      <c r="MAW4"/>
      <c r="MAX4"/>
      <c r="MAY4"/>
      <c r="MAZ4"/>
      <c r="MBA4"/>
      <c r="MBB4"/>
      <c r="MBC4"/>
      <c r="MBD4"/>
      <c r="MBE4"/>
      <c r="MBF4"/>
      <c r="MBG4"/>
      <c r="MBH4"/>
      <c r="MBI4"/>
      <c r="MBJ4"/>
      <c r="MBK4"/>
      <c r="MBL4"/>
      <c r="MBM4"/>
      <c r="MBN4"/>
      <c r="MBO4"/>
      <c r="MBP4"/>
      <c r="MBQ4"/>
      <c r="MBR4"/>
      <c r="MBS4"/>
      <c r="MBT4"/>
      <c r="MBU4"/>
      <c r="MBV4"/>
      <c r="MBW4"/>
      <c r="MBX4"/>
      <c r="MBY4"/>
      <c r="MBZ4"/>
      <c r="MCA4"/>
      <c r="MCB4"/>
      <c r="MCC4"/>
      <c r="MCD4"/>
      <c r="MCE4"/>
      <c r="MCF4"/>
      <c r="MCG4"/>
      <c r="MCH4"/>
      <c r="MCI4"/>
      <c r="MCJ4"/>
      <c r="MCK4"/>
      <c r="MCL4"/>
      <c r="MCM4"/>
      <c r="MCN4"/>
      <c r="MCO4"/>
      <c r="MCP4"/>
      <c r="MCQ4"/>
      <c r="MCR4"/>
      <c r="MCS4"/>
      <c r="MCT4"/>
      <c r="MCU4"/>
      <c r="MCV4"/>
      <c r="MCW4"/>
      <c r="MCX4"/>
      <c r="MCY4"/>
      <c r="MCZ4"/>
      <c r="MDA4"/>
      <c r="MDB4"/>
      <c r="MDC4"/>
      <c r="MDD4"/>
      <c r="MDE4"/>
      <c r="MDF4"/>
      <c r="MDG4"/>
      <c r="MDH4"/>
      <c r="MDI4"/>
      <c r="MDJ4"/>
      <c r="MDK4"/>
      <c r="MDL4"/>
      <c r="MDM4"/>
      <c r="MDN4"/>
      <c r="MDO4"/>
      <c r="MDP4"/>
      <c r="MDQ4"/>
      <c r="MDR4"/>
      <c r="MDS4"/>
      <c r="MDT4"/>
      <c r="MDU4"/>
      <c r="MDV4"/>
      <c r="MDW4"/>
      <c r="MDX4"/>
      <c r="MDY4"/>
      <c r="MDZ4"/>
      <c r="MEA4"/>
      <c r="MEB4"/>
      <c r="MEC4"/>
      <c r="MED4"/>
      <c r="MEE4"/>
      <c r="MEF4"/>
      <c r="MEG4"/>
      <c r="MEH4"/>
      <c r="MEI4"/>
      <c r="MEJ4"/>
      <c r="MEK4"/>
      <c r="MEL4"/>
      <c r="MEM4"/>
      <c r="MEN4"/>
      <c r="MEO4"/>
      <c r="MEP4"/>
      <c r="MEQ4"/>
      <c r="MER4"/>
      <c r="MES4"/>
      <c r="MET4"/>
      <c r="MEU4"/>
      <c r="MEV4"/>
      <c r="MEW4"/>
      <c r="MEX4"/>
      <c r="MEY4"/>
      <c r="MEZ4"/>
      <c r="MFA4"/>
      <c r="MFB4"/>
      <c r="MFC4"/>
      <c r="MFD4"/>
      <c r="MFE4"/>
      <c r="MFF4"/>
      <c r="MFG4"/>
      <c r="MFH4"/>
      <c r="MFI4"/>
      <c r="MFJ4"/>
      <c r="MFK4"/>
      <c r="MFL4"/>
      <c r="MFM4"/>
      <c r="MFN4"/>
      <c r="MFO4"/>
      <c r="MFP4"/>
      <c r="MFQ4"/>
      <c r="MFR4"/>
      <c r="MFS4"/>
      <c r="MFT4"/>
      <c r="MFU4"/>
      <c r="MFV4"/>
      <c r="MFW4"/>
      <c r="MFX4"/>
      <c r="MFY4"/>
      <c r="MFZ4"/>
      <c r="MGA4"/>
      <c r="MGB4"/>
      <c r="MGC4"/>
      <c r="MGD4"/>
      <c r="MGE4"/>
      <c r="MGF4"/>
      <c r="MGG4"/>
      <c r="MGH4"/>
      <c r="MGI4"/>
      <c r="MGJ4"/>
      <c r="MGK4"/>
      <c r="MGL4"/>
      <c r="MGM4"/>
      <c r="MGN4"/>
      <c r="MGO4"/>
      <c r="MGP4"/>
      <c r="MGQ4"/>
      <c r="MGR4"/>
      <c r="MGS4"/>
      <c r="MGT4"/>
      <c r="MGU4"/>
      <c r="MGV4"/>
      <c r="MGW4"/>
      <c r="MGX4"/>
      <c r="MGY4"/>
      <c r="MGZ4"/>
      <c r="MHA4"/>
      <c r="MHB4"/>
      <c r="MHC4"/>
      <c r="MHD4"/>
      <c r="MHE4"/>
      <c r="MHF4"/>
      <c r="MHG4"/>
      <c r="MHH4"/>
      <c r="MHI4"/>
      <c r="MHJ4"/>
      <c r="MHK4"/>
      <c r="MHL4"/>
      <c r="MHM4"/>
      <c r="MHN4"/>
      <c r="MHO4"/>
      <c r="MHP4"/>
      <c r="MHQ4"/>
      <c r="MHR4"/>
      <c r="MHS4"/>
      <c r="MHT4"/>
      <c r="MHU4"/>
      <c r="MHV4"/>
      <c r="MHW4"/>
      <c r="MHX4"/>
      <c r="MHY4"/>
      <c r="MHZ4"/>
      <c r="MIA4"/>
      <c r="MIB4"/>
      <c r="MIC4"/>
      <c r="MID4"/>
      <c r="MIE4"/>
      <c r="MIF4"/>
      <c r="MIG4"/>
      <c r="MIH4"/>
      <c r="MII4"/>
      <c r="MIJ4"/>
      <c r="MIK4"/>
      <c r="MIL4"/>
      <c r="MIM4"/>
      <c r="MIN4"/>
      <c r="MIO4"/>
      <c r="MIP4"/>
      <c r="MIQ4"/>
      <c r="MIR4"/>
      <c r="MIS4"/>
      <c r="MIT4"/>
      <c r="MIU4"/>
      <c r="MIV4"/>
      <c r="MIW4"/>
      <c r="MIX4"/>
      <c r="MIY4"/>
      <c r="MIZ4"/>
      <c r="MJA4"/>
      <c r="MJB4"/>
      <c r="MJC4"/>
      <c r="MJD4"/>
      <c r="MJE4"/>
      <c r="MJF4"/>
      <c r="MJG4"/>
      <c r="MJH4"/>
      <c r="MJI4"/>
      <c r="MJJ4"/>
      <c r="MJK4"/>
      <c r="MJL4"/>
      <c r="MJM4"/>
      <c r="MJN4"/>
      <c r="MJO4"/>
      <c r="MJP4"/>
      <c r="MJQ4"/>
      <c r="MJR4"/>
      <c r="MJS4"/>
      <c r="MJT4"/>
      <c r="MJU4"/>
      <c r="MJV4"/>
      <c r="MJW4"/>
      <c r="MJX4"/>
      <c r="MJY4"/>
      <c r="MJZ4"/>
      <c r="MKA4"/>
      <c r="MKB4"/>
      <c r="MKC4"/>
      <c r="MKD4"/>
      <c r="MKE4"/>
      <c r="MKF4"/>
      <c r="MKG4"/>
      <c r="MKH4"/>
      <c r="MKI4"/>
      <c r="MKJ4"/>
      <c r="MKK4"/>
      <c r="MKL4"/>
      <c r="MKM4"/>
      <c r="MKN4"/>
      <c r="MKO4"/>
      <c r="MKP4"/>
      <c r="MKQ4"/>
      <c r="MKR4"/>
      <c r="MKS4"/>
      <c r="MKT4"/>
      <c r="MKU4"/>
      <c r="MKV4"/>
      <c r="MKW4"/>
      <c r="MKX4"/>
      <c r="MKY4"/>
      <c r="MKZ4"/>
      <c r="MLA4"/>
      <c r="MLB4"/>
      <c r="MLC4"/>
      <c r="MLD4"/>
      <c r="MLE4"/>
      <c r="MLF4"/>
      <c r="MLG4"/>
      <c r="MLH4"/>
      <c r="MLI4"/>
      <c r="MLJ4"/>
      <c r="MLK4"/>
      <c r="MLL4"/>
      <c r="MLM4"/>
      <c r="MLN4"/>
      <c r="MLO4"/>
      <c r="MLP4"/>
      <c r="MLQ4"/>
      <c r="MLR4"/>
      <c r="MLS4"/>
      <c r="MLT4"/>
      <c r="MLU4"/>
      <c r="MLV4"/>
      <c r="MLW4"/>
      <c r="MLX4"/>
      <c r="MLY4"/>
      <c r="MLZ4"/>
      <c r="MMA4"/>
      <c r="MMB4"/>
      <c r="MMC4"/>
      <c r="MMD4"/>
      <c r="MME4"/>
      <c r="MMF4"/>
      <c r="MMG4"/>
      <c r="MMH4"/>
      <c r="MMI4"/>
      <c r="MMJ4"/>
      <c r="MMK4"/>
      <c r="MML4"/>
      <c r="MMM4"/>
      <c r="MMN4"/>
      <c r="MMO4"/>
      <c r="MMP4"/>
      <c r="MMQ4"/>
      <c r="MMR4"/>
      <c r="MMS4"/>
      <c r="MMT4"/>
      <c r="MMU4"/>
      <c r="MMV4"/>
      <c r="MMW4"/>
      <c r="MMX4"/>
      <c r="MMY4"/>
      <c r="MMZ4"/>
      <c r="MNA4"/>
      <c r="MNB4"/>
      <c r="MNC4"/>
      <c r="MND4"/>
      <c r="MNE4"/>
      <c r="MNF4"/>
      <c r="MNG4"/>
      <c r="MNH4"/>
      <c r="MNI4"/>
      <c r="MNJ4"/>
      <c r="MNK4"/>
      <c r="MNL4"/>
      <c r="MNM4"/>
      <c r="MNN4"/>
      <c r="MNO4"/>
      <c r="MNP4"/>
      <c r="MNQ4"/>
      <c r="MNR4"/>
      <c r="MNS4"/>
      <c r="MNT4"/>
      <c r="MNU4"/>
      <c r="MNV4"/>
      <c r="MNW4"/>
      <c r="MNX4"/>
      <c r="MNY4"/>
      <c r="MNZ4"/>
      <c r="MOA4"/>
      <c r="MOB4"/>
      <c r="MOC4"/>
      <c r="MOD4"/>
      <c r="MOE4"/>
      <c r="MOF4"/>
      <c r="MOG4"/>
      <c r="MOH4"/>
      <c r="MOI4"/>
      <c r="MOJ4"/>
      <c r="MOK4"/>
      <c r="MOL4"/>
      <c r="MOM4"/>
      <c r="MON4"/>
      <c r="MOO4"/>
      <c r="MOP4"/>
      <c r="MOQ4"/>
      <c r="MOR4"/>
      <c r="MOS4"/>
      <c r="MOT4"/>
      <c r="MOU4"/>
      <c r="MOV4"/>
      <c r="MOW4"/>
      <c r="MOX4"/>
      <c r="MOY4"/>
      <c r="MOZ4"/>
      <c r="MPA4"/>
      <c r="MPB4"/>
      <c r="MPC4"/>
      <c r="MPD4"/>
      <c r="MPE4"/>
      <c r="MPF4"/>
      <c r="MPG4"/>
      <c r="MPH4"/>
      <c r="MPI4"/>
      <c r="MPJ4"/>
      <c r="MPK4"/>
      <c r="MPL4"/>
      <c r="MPM4"/>
      <c r="MPN4"/>
      <c r="MPO4"/>
      <c r="MPP4"/>
      <c r="MPQ4"/>
      <c r="MPR4"/>
      <c r="MPS4"/>
      <c r="MPT4"/>
      <c r="MPU4"/>
      <c r="MPV4"/>
      <c r="MPW4"/>
      <c r="MPX4"/>
      <c r="MPY4"/>
      <c r="MPZ4"/>
      <c r="MQA4"/>
      <c r="MQB4"/>
      <c r="MQC4"/>
      <c r="MQD4"/>
      <c r="MQE4"/>
      <c r="MQF4"/>
      <c r="MQG4"/>
      <c r="MQH4"/>
      <c r="MQI4"/>
      <c r="MQJ4"/>
      <c r="MQK4"/>
      <c r="MQL4"/>
      <c r="MQM4"/>
      <c r="MQN4"/>
      <c r="MQO4"/>
      <c r="MQP4"/>
      <c r="MQQ4"/>
      <c r="MQR4"/>
      <c r="MQS4"/>
      <c r="MQT4"/>
      <c r="MQU4"/>
      <c r="MQV4"/>
      <c r="MQW4"/>
      <c r="MQX4"/>
      <c r="MQY4"/>
      <c r="MQZ4"/>
      <c r="MRA4"/>
      <c r="MRB4"/>
      <c r="MRC4"/>
      <c r="MRD4"/>
      <c r="MRE4"/>
      <c r="MRF4"/>
      <c r="MRG4"/>
      <c r="MRH4"/>
      <c r="MRI4"/>
      <c r="MRJ4"/>
      <c r="MRK4"/>
      <c r="MRL4"/>
      <c r="MRM4"/>
      <c r="MRN4"/>
      <c r="MRO4"/>
      <c r="MRP4"/>
      <c r="MRQ4"/>
      <c r="MRR4"/>
      <c r="MRS4"/>
      <c r="MRT4"/>
      <c r="MRU4"/>
      <c r="MRV4"/>
      <c r="MRW4"/>
      <c r="MRX4"/>
      <c r="MRY4"/>
      <c r="MRZ4"/>
      <c r="MSA4"/>
      <c r="MSB4"/>
      <c r="MSC4"/>
      <c r="MSD4"/>
      <c r="MSE4"/>
      <c r="MSF4"/>
      <c r="MSG4"/>
      <c r="MSH4"/>
      <c r="MSI4"/>
      <c r="MSJ4"/>
      <c r="MSK4"/>
      <c r="MSL4"/>
      <c r="MSM4"/>
      <c r="MSN4"/>
      <c r="MSO4"/>
      <c r="MSP4"/>
      <c r="MSQ4"/>
      <c r="MSR4"/>
      <c r="MSS4"/>
      <c r="MST4"/>
      <c r="MSU4"/>
      <c r="MSV4"/>
      <c r="MSW4"/>
      <c r="MSX4"/>
      <c r="MSY4"/>
      <c r="MSZ4"/>
      <c r="MTA4"/>
      <c r="MTB4"/>
      <c r="MTC4"/>
      <c r="MTD4"/>
      <c r="MTE4"/>
      <c r="MTF4"/>
      <c r="MTG4"/>
      <c r="MTH4"/>
      <c r="MTI4"/>
      <c r="MTJ4"/>
      <c r="MTK4"/>
      <c r="MTL4"/>
      <c r="MTM4"/>
      <c r="MTN4"/>
      <c r="MTO4"/>
      <c r="MTP4"/>
      <c r="MTQ4"/>
      <c r="MTR4"/>
      <c r="MTS4"/>
      <c r="MTT4"/>
      <c r="MTU4"/>
      <c r="MTV4"/>
      <c r="MTW4"/>
      <c r="MTX4"/>
      <c r="MTY4"/>
      <c r="MTZ4"/>
      <c r="MUA4"/>
      <c r="MUB4"/>
      <c r="MUC4"/>
      <c r="MUD4"/>
      <c r="MUE4"/>
      <c r="MUF4"/>
      <c r="MUG4"/>
      <c r="MUH4"/>
      <c r="MUI4"/>
      <c r="MUJ4"/>
      <c r="MUK4"/>
      <c r="MUL4"/>
      <c r="MUM4"/>
      <c r="MUN4"/>
      <c r="MUO4"/>
      <c r="MUP4"/>
      <c r="MUQ4"/>
      <c r="MUR4"/>
      <c r="MUS4"/>
      <c r="MUT4"/>
      <c r="MUU4"/>
      <c r="MUV4"/>
      <c r="MUW4"/>
      <c r="MUX4"/>
      <c r="MUY4"/>
      <c r="MUZ4"/>
      <c r="MVA4"/>
      <c r="MVB4"/>
      <c r="MVC4"/>
      <c r="MVD4"/>
      <c r="MVE4"/>
      <c r="MVF4"/>
      <c r="MVG4"/>
      <c r="MVH4"/>
      <c r="MVI4"/>
      <c r="MVJ4"/>
      <c r="MVK4"/>
      <c r="MVL4"/>
      <c r="MVM4"/>
      <c r="MVN4"/>
      <c r="MVO4"/>
      <c r="MVP4"/>
      <c r="MVQ4"/>
      <c r="MVR4"/>
      <c r="MVS4"/>
      <c r="MVT4"/>
      <c r="MVU4"/>
      <c r="MVV4"/>
      <c r="MVW4"/>
      <c r="MVX4"/>
      <c r="MVY4"/>
      <c r="MVZ4"/>
      <c r="MWA4"/>
      <c r="MWB4"/>
      <c r="MWC4"/>
      <c r="MWD4"/>
      <c r="MWE4"/>
      <c r="MWF4"/>
      <c r="MWG4"/>
      <c r="MWH4"/>
      <c r="MWI4"/>
      <c r="MWJ4"/>
      <c r="MWK4"/>
      <c r="MWL4"/>
      <c r="MWM4"/>
      <c r="MWN4"/>
      <c r="MWO4"/>
      <c r="MWP4"/>
      <c r="MWQ4"/>
      <c r="MWR4"/>
      <c r="MWS4"/>
      <c r="MWT4"/>
      <c r="MWU4"/>
      <c r="MWV4"/>
      <c r="MWW4"/>
      <c r="MWX4"/>
      <c r="MWY4"/>
      <c r="MWZ4"/>
      <c r="MXA4"/>
      <c r="MXB4"/>
      <c r="MXC4"/>
      <c r="MXD4"/>
      <c r="MXE4"/>
      <c r="MXF4"/>
      <c r="MXG4"/>
      <c r="MXH4"/>
      <c r="MXI4"/>
      <c r="MXJ4"/>
      <c r="MXK4"/>
      <c r="MXL4"/>
      <c r="MXM4"/>
      <c r="MXN4"/>
      <c r="MXO4"/>
      <c r="MXP4"/>
      <c r="MXQ4"/>
      <c r="MXR4"/>
      <c r="MXS4"/>
      <c r="MXT4"/>
      <c r="MXU4"/>
      <c r="MXV4"/>
      <c r="MXW4"/>
      <c r="MXX4"/>
      <c r="MXY4"/>
      <c r="MXZ4"/>
      <c r="MYA4"/>
      <c r="MYB4"/>
      <c r="MYC4"/>
      <c r="MYD4"/>
      <c r="MYE4"/>
      <c r="MYF4"/>
      <c r="MYG4"/>
      <c r="MYH4"/>
      <c r="MYI4"/>
      <c r="MYJ4"/>
      <c r="MYK4"/>
      <c r="MYL4"/>
      <c r="MYM4"/>
      <c r="MYN4"/>
      <c r="MYO4"/>
      <c r="MYP4"/>
      <c r="MYQ4"/>
      <c r="MYR4"/>
      <c r="MYS4"/>
      <c r="MYT4"/>
      <c r="MYU4"/>
      <c r="MYV4"/>
      <c r="MYW4"/>
      <c r="MYX4"/>
      <c r="MYY4"/>
      <c r="MYZ4"/>
      <c r="MZA4"/>
      <c r="MZB4"/>
      <c r="MZC4"/>
      <c r="MZD4"/>
      <c r="MZE4"/>
      <c r="MZF4"/>
      <c r="MZG4"/>
      <c r="MZH4"/>
      <c r="MZI4"/>
      <c r="MZJ4"/>
      <c r="MZK4"/>
      <c r="MZL4"/>
      <c r="MZM4"/>
      <c r="MZN4"/>
      <c r="MZO4"/>
      <c r="MZP4"/>
      <c r="MZQ4"/>
      <c r="MZR4"/>
      <c r="MZS4"/>
      <c r="MZT4"/>
      <c r="MZU4"/>
      <c r="MZV4"/>
      <c r="MZW4"/>
      <c r="MZX4"/>
      <c r="MZY4"/>
      <c r="MZZ4"/>
      <c r="NAA4"/>
      <c r="NAB4"/>
      <c r="NAC4"/>
      <c r="NAD4"/>
      <c r="NAE4"/>
      <c r="NAF4"/>
      <c r="NAG4"/>
      <c r="NAH4"/>
      <c r="NAI4"/>
      <c r="NAJ4"/>
      <c r="NAK4"/>
      <c r="NAL4"/>
      <c r="NAM4"/>
      <c r="NAN4"/>
      <c r="NAO4"/>
      <c r="NAP4"/>
      <c r="NAQ4"/>
      <c r="NAR4"/>
      <c r="NAS4"/>
      <c r="NAT4"/>
      <c r="NAU4"/>
      <c r="NAV4"/>
      <c r="NAW4"/>
      <c r="NAX4"/>
      <c r="NAY4"/>
      <c r="NAZ4"/>
      <c r="NBA4"/>
      <c r="NBB4"/>
      <c r="NBC4"/>
      <c r="NBD4"/>
      <c r="NBE4"/>
      <c r="NBF4"/>
      <c r="NBG4"/>
      <c r="NBH4"/>
      <c r="NBI4"/>
      <c r="NBJ4"/>
      <c r="NBK4"/>
      <c r="NBL4"/>
      <c r="NBM4"/>
      <c r="NBN4"/>
      <c r="NBO4"/>
      <c r="NBP4"/>
      <c r="NBQ4"/>
      <c r="NBR4"/>
      <c r="NBS4"/>
      <c r="NBT4"/>
      <c r="NBU4"/>
      <c r="NBV4"/>
      <c r="NBW4"/>
      <c r="NBX4"/>
      <c r="NBY4"/>
      <c r="NBZ4"/>
      <c r="NCA4"/>
      <c r="NCB4"/>
      <c r="NCC4"/>
      <c r="NCD4"/>
      <c r="NCE4"/>
      <c r="NCF4"/>
      <c r="NCG4"/>
      <c r="NCH4"/>
      <c r="NCI4"/>
      <c r="NCJ4"/>
      <c r="NCK4"/>
      <c r="NCL4"/>
      <c r="NCM4"/>
      <c r="NCN4"/>
      <c r="NCO4"/>
      <c r="NCP4"/>
      <c r="NCQ4"/>
      <c r="NCR4"/>
      <c r="NCS4"/>
      <c r="NCT4"/>
      <c r="NCU4"/>
      <c r="NCV4"/>
      <c r="NCW4"/>
      <c r="NCX4"/>
      <c r="NCY4"/>
      <c r="NCZ4"/>
      <c r="NDA4"/>
      <c r="NDB4"/>
      <c r="NDC4"/>
      <c r="NDD4"/>
      <c r="NDE4"/>
      <c r="NDF4"/>
      <c r="NDG4"/>
      <c r="NDH4"/>
      <c r="NDI4"/>
      <c r="NDJ4"/>
      <c r="NDK4"/>
      <c r="NDL4"/>
      <c r="NDM4"/>
      <c r="NDN4"/>
      <c r="NDO4"/>
      <c r="NDP4"/>
      <c r="NDQ4"/>
      <c r="NDR4"/>
      <c r="NDS4"/>
      <c r="NDT4"/>
      <c r="NDU4"/>
      <c r="NDV4"/>
      <c r="NDW4"/>
      <c r="NDX4"/>
      <c r="NDY4"/>
      <c r="NDZ4"/>
      <c r="NEA4"/>
      <c r="NEB4"/>
      <c r="NEC4"/>
      <c r="NED4"/>
      <c r="NEE4"/>
      <c r="NEF4"/>
      <c r="NEG4"/>
      <c r="NEH4"/>
      <c r="NEI4"/>
      <c r="NEJ4"/>
      <c r="NEK4"/>
      <c r="NEL4"/>
      <c r="NEM4"/>
      <c r="NEN4"/>
      <c r="NEO4"/>
      <c r="NEP4"/>
      <c r="NEQ4"/>
      <c r="NER4"/>
      <c r="NES4"/>
      <c r="NET4"/>
      <c r="NEU4"/>
      <c r="NEV4"/>
      <c r="NEW4"/>
      <c r="NEX4"/>
      <c r="NEY4"/>
      <c r="NEZ4"/>
      <c r="NFA4"/>
      <c r="NFB4"/>
      <c r="NFC4"/>
      <c r="NFD4"/>
      <c r="NFE4"/>
      <c r="NFF4"/>
      <c r="NFG4"/>
      <c r="NFH4"/>
      <c r="NFI4"/>
      <c r="NFJ4"/>
      <c r="NFK4"/>
      <c r="NFL4"/>
      <c r="NFM4"/>
      <c r="NFN4"/>
      <c r="NFO4"/>
      <c r="NFP4"/>
      <c r="NFQ4"/>
      <c r="NFR4"/>
      <c r="NFS4"/>
      <c r="NFT4"/>
      <c r="NFU4"/>
      <c r="NFV4"/>
      <c r="NFW4"/>
      <c r="NFX4"/>
      <c r="NFY4"/>
      <c r="NFZ4"/>
      <c r="NGA4"/>
      <c r="NGB4"/>
      <c r="NGC4"/>
      <c r="NGD4"/>
      <c r="NGE4"/>
      <c r="NGF4"/>
      <c r="NGG4"/>
      <c r="NGH4"/>
      <c r="NGI4"/>
      <c r="NGJ4"/>
      <c r="NGK4"/>
      <c r="NGL4"/>
      <c r="NGM4"/>
      <c r="NGN4"/>
      <c r="NGO4"/>
      <c r="NGP4"/>
      <c r="NGQ4"/>
      <c r="NGR4"/>
      <c r="NGS4"/>
      <c r="NGT4"/>
      <c r="NGU4"/>
      <c r="NGV4"/>
      <c r="NGW4"/>
      <c r="NGX4"/>
      <c r="NGY4"/>
      <c r="NGZ4"/>
      <c r="NHA4"/>
      <c r="NHB4"/>
      <c r="NHC4"/>
      <c r="NHD4"/>
      <c r="NHE4"/>
      <c r="NHF4"/>
      <c r="NHG4"/>
      <c r="NHH4"/>
      <c r="NHI4"/>
      <c r="NHJ4"/>
      <c r="NHK4"/>
      <c r="NHL4"/>
      <c r="NHM4"/>
      <c r="NHN4"/>
      <c r="NHO4"/>
      <c r="NHP4"/>
      <c r="NHQ4"/>
      <c r="NHR4"/>
      <c r="NHS4"/>
      <c r="NHT4"/>
      <c r="NHU4"/>
      <c r="NHV4"/>
      <c r="NHW4"/>
      <c r="NHX4"/>
      <c r="NHY4"/>
      <c r="NHZ4"/>
      <c r="NIA4"/>
      <c r="NIB4"/>
      <c r="NIC4"/>
      <c r="NID4"/>
      <c r="NIE4"/>
      <c r="NIF4"/>
      <c r="NIG4"/>
      <c r="NIH4"/>
      <c r="NII4"/>
      <c r="NIJ4"/>
      <c r="NIK4"/>
      <c r="NIL4"/>
      <c r="NIM4"/>
      <c r="NIN4"/>
      <c r="NIO4"/>
      <c r="NIP4"/>
      <c r="NIQ4"/>
      <c r="NIR4"/>
      <c r="NIS4"/>
      <c r="NIT4"/>
      <c r="NIU4"/>
      <c r="NIV4"/>
      <c r="NIW4"/>
      <c r="NIX4"/>
      <c r="NIY4"/>
      <c r="NIZ4"/>
      <c r="NJA4"/>
      <c r="NJB4"/>
      <c r="NJC4"/>
      <c r="NJD4"/>
      <c r="NJE4"/>
      <c r="NJF4"/>
      <c r="NJG4"/>
      <c r="NJH4"/>
      <c r="NJI4"/>
      <c r="NJJ4"/>
      <c r="NJK4"/>
      <c r="NJL4"/>
      <c r="NJM4"/>
      <c r="NJN4"/>
      <c r="NJO4"/>
      <c r="NJP4"/>
      <c r="NJQ4"/>
      <c r="NJR4"/>
      <c r="NJS4"/>
      <c r="NJT4"/>
      <c r="NJU4"/>
      <c r="NJV4"/>
      <c r="NJW4"/>
      <c r="NJX4"/>
      <c r="NJY4"/>
      <c r="NJZ4"/>
      <c r="NKA4"/>
      <c r="NKB4"/>
      <c r="NKC4"/>
      <c r="NKD4"/>
      <c r="NKE4"/>
      <c r="NKF4"/>
      <c r="NKG4"/>
      <c r="NKH4"/>
      <c r="NKI4"/>
      <c r="NKJ4"/>
      <c r="NKK4"/>
      <c r="NKL4"/>
      <c r="NKM4"/>
      <c r="NKN4"/>
      <c r="NKO4"/>
      <c r="NKP4"/>
      <c r="NKQ4"/>
      <c r="NKR4"/>
      <c r="NKS4"/>
      <c r="NKT4"/>
      <c r="NKU4"/>
      <c r="NKV4"/>
      <c r="NKW4"/>
      <c r="NKX4"/>
      <c r="NKY4"/>
      <c r="NKZ4"/>
      <c r="NLA4"/>
      <c r="NLB4"/>
      <c r="NLC4"/>
      <c r="NLD4"/>
      <c r="NLE4"/>
      <c r="NLF4"/>
      <c r="NLG4"/>
      <c r="NLH4"/>
      <c r="NLI4"/>
      <c r="NLJ4"/>
      <c r="NLK4"/>
      <c r="NLL4"/>
      <c r="NLM4"/>
      <c r="NLN4"/>
      <c r="NLO4"/>
      <c r="NLP4"/>
      <c r="NLQ4"/>
      <c r="NLR4"/>
      <c r="NLS4"/>
      <c r="NLT4"/>
      <c r="NLU4"/>
      <c r="NLV4"/>
      <c r="NLW4"/>
      <c r="NLX4"/>
      <c r="NLY4"/>
      <c r="NLZ4"/>
      <c r="NMA4"/>
      <c r="NMB4"/>
      <c r="NMC4"/>
      <c r="NMD4"/>
      <c r="NME4"/>
      <c r="NMF4"/>
      <c r="NMG4"/>
      <c r="NMH4"/>
      <c r="NMI4"/>
      <c r="NMJ4"/>
      <c r="NMK4"/>
      <c r="NML4"/>
      <c r="NMM4"/>
      <c r="NMN4"/>
      <c r="NMO4"/>
      <c r="NMP4"/>
      <c r="NMQ4"/>
      <c r="NMR4"/>
      <c r="NMS4"/>
      <c r="NMT4"/>
      <c r="NMU4"/>
      <c r="NMV4"/>
      <c r="NMW4"/>
      <c r="NMX4"/>
      <c r="NMY4"/>
      <c r="NMZ4"/>
      <c r="NNA4"/>
      <c r="NNB4"/>
      <c r="NNC4"/>
      <c r="NND4"/>
      <c r="NNE4"/>
      <c r="NNF4"/>
      <c r="NNG4"/>
      <c r="NNH4"/>
      <c r="NNI4"/>
      <c r="NNJ4"/>
      <c r="NNK4"/>
      <c r="NNL4"/>
      <c r="NNM4"/>
      <c r="NNN4"/>
      <c r="NNO4"/>
      <c r="NNP4"/>
      <c r="NNQ4"/>
      <c r="NNR4"/>
      <c r="NNS4"/>
      <c r="NNT4"/>
      <c r="NNU4"/>
      <c r="NNV4"/>
      <c r="NNW4"/>
      <c r="NNX4"/>
      <c r="NNY4"/>
      <c r="NNZ4"/>
      <c r="NOA4"/>
      <c r="NOB4"/>
      <c r="NOC4"/>
      <c r="NOD4"/>
      <c r="NOE4"/>
      <c r="NOF4"/>
      <c r="NOG4"/>
      <c r="NOH4"/>
      <c r="NOI4"/>
      <c r="NOJ4"/>
      <c r="NOK4"/>
      <c r="NOL4"/>
      <c r="NOM4"/>
      <c r="NON4"/>
      <c r="NOO4"/>
      <c r="NOP4"/>
      <c r="NOQ4"/>
      <c r="NOR4"/>
      <c r="NOS4"/>
      <c r="NOT4"/>
      <c r="NOU4"/>
      <c r="NOV4"/>
      <c r="NOW4"/>
      <c r="NOX4"/>
      <c r="NOY4"/>
      <c r="NOZ4"/>
      <c r="NPA4"/>
      <c r="NPB4"/>
      <c r="NPC4"/>
      <c r="NPD4"/>
      <c r="NPE4"/>
      <c r="NPF4"/>
      <c r="NPG4"/>
      <c r="NPH4"/>
      <c r="NPI4"/>
      <c r="NPJ4"/>
      <c r="NPK4"/>
      <c r="NPL4"/>
      <c r="NPM4"/>
      <c r="NPN4"/>
      <c r="NPO4"/>
      <c r="NPP4"/>
      <c r="NPQ4"/>
      <c r="NPR4"/>
      <c r="NPS4"/>
      <c r="NPT4"/>
      <c r="NPU4"/>
      <c r="NPV4"/>
      <c r="NPW4"/>
      <c r="NPX4"/>
      <c r="NPY4"/>
      <c r="NPZ4"/>
      <c r="NQA4"/>
      <c r="NQB4"/>
      <c r="NQC4"/>
      <c r="NQD4"/>
      <c r="NQE4"/>
      <c r="NQF4"/>
      <c r="NQG4"/>
      <c r="NQH4"/>
      <c r="NQI4"/>
      <c r="NQJ4"/>
      <c r="NQK4"/>
      <c r="NQL4"/>
      <c r="NQM4"/>
      <c r="NQN4"/>
      <c r="NQO4"/>
      <c r="NQP4"/>
      <c r="NQQ4"/>
      <c r="NQR4"/>
      <c r="NQS4"/>
      <c r="NQT4"/>
      <c r="NQU4"/>
      <c r="NQV4"/>
      <c r="NQW4"/>
      <c r="NQX4"/>
      <c r="NQY4"/>
      <c r="NQZ4"/>
      <c r="NRA4"/>
      <c r="NRB4"/>
      <c r="NRC4"/>
      <c r="NRD4"/>
      <c r="NRE4"/>
      <c r="NRF4"/>
      <c r="NRG4"/>
      <c r="NRH4"/>
      <c r="NRI4"/>
      <c r="NRJ4"/>
      <c r="NRK4"/>
      <c r="NRL4"/>
      <c r="NRM4"/>
      <c r="NRN4"/>
      <c r="NRO4"/>
      <c r="NRP4"/>
      <c r="NRQ4"/>
      <c r="NRR4"/>
      <c r="NRS4"/>
      <c r="NRT4"/>
      <c r="NRU4"/>
      <c r="NRV4"/>
      <c r="NRW4"/>
      <c r="NRX4"/>
      <c r="NRY4"/>
      <c r="NRZ4"/>
      <c r="NSA4"/>
      <c r="NSB4"/>
      <c r="NSC4"/>
      <c r="NSD4"/>
      <c r="NSE4"/>
      <c r="NSF4"/>
      <c r="NSG4"/>
      <c r="NSH4"/>
      <c r="NSI4"/>
      <c r="NSJ4"/>
      <c r="NSK4"/>
      <c r="NSL4"/>
      <c r="NSM4"/>
      <c r="NSN4"/>
      <c r="NSO4"/>
      <c r="NSP4"/>
      <c r="NSQ4"/>
      <c r="NSR4"/>
      <c r="NSS4"/>
      <c r="NST4"/>
      <c r="NSU4"/>
      <c r="NSV4"/>
      <c r="NSW4"/>
      <c r="NSX4"/>
      <c r="NSY4"/>
      <c r="NSZ4"/>
      <c r="NTA4"/>
      <c r="NTB4"/>
      <c r="NTC4"/>
      <c r="NTD4"/>
      <c r="NTE4"/>
      <c r="NTF4"/>
      <c r="NTG4"/>
      <c r="NTH4"/>
      <c r="NTI4"/>
      <c r="NTJ4"/>
      <c r="NTK4"/>
      <c r="NTL4"/>
      <c r="NTM4"/>
      <c r="NTN4"/>
      <c r="NTO4"/>
      <c r="NTP4"/>
      <c r="NTQ4"/>
      <c r="NTR4"/>
      <c r="NTS4"/>
      <c r="NTT4"/>
      <c r="NTU4"/>
      <c r="NTV4"/>
      <c r="NTW4"/>
      <c r="NTX4"/>
      <c r="NTY4"/>
      <c r="NTZ4"/>
      <c r="NUA4"/>
      <c r="NUB4"/>
      <c r="NUC4"/>
      <c r="NUD4"/>
      <c r="NUE4"/>
      <c r="NUF4"/>
      <c r="NUG4"/>
      <c r="NUH4"/>
      <c r="NUI4"/>
      <c r="NUJ4"/>
      <c r="NUK4"/>
      <c r="NUL4"/>
      <c r="NUM4"/>
      <c r="NUN4"/>
      <c r="NUO4"/>
      <c r="NUP4"/>
      <c r="NUQ4"/>
      <c r="NUR4"/>
      <c r="NUS4"/>
      <c r="NUT4"/>
      <c r="NUU4"/>
      <c r="NUV4"/>
      <c r="NUW4"/>
      <c r="NUX4"/>
      <c r="NUY4"/>
      <c r="NUZ4"/>
      <c r="NVA4"/>
      <c r="NVB4"/>
      <c r="NVC4"/>
      <c r="NVD4"/>
      <c r="NVE4"/>
      <c r="NVF4"/>
      <c r="NVG4"/>
      <c r="NVH4"/>
      <c r="NVI4"/>
      <c r="NVJ4"/>
      <c r="NVK4"/>
      <c r="NVL4"/>
      <c r="NVM4"/>
      <c r="NVN4"/>
      <c r="NVO4"/>
      <c r="NVP4"/>
      <c r="NVQ4"/>
      <c r="NVR4"/>
      <c r="NVS4"/>
      <c r="NVT4"/>
      <c r="NVU4"/>
      <c r="NVV4"/>
      <c r="NVW4"/>
      <c r="NVX4"/>
      <c r="NVY4"/>
      <c r="NVZ4"/>
      <c r="NWA4"/>
      <c r="NWB4"/>
      <c r="NWC4"/>
      <c r="NWD4"/>
      <c r="NWE4"/>
      <c r="NWF4"/>
      <c r="NWG4"/>
      <c r="NWH4"/>
      <c r="NWI4"/>
      <c r="NWJ4"/>
      <c r="NWK4"/>
      <c r="NWL4"/>
      <c r="NWM4"/>
      <c r="NWN4"/>
      <c r="NWO4"/>
      <c r="NWP4"/>
      <c r="NWQ4"/>
      <c r="NWR4"/>
      <c r="NWS4"/>
      <c r="NWT4"/>
      <c r="NWU4"/>
      <c r="NWV4"/>
      <c r="NWW4"/>
      <c r="NWX4"/>
      <c r="NWY4"/>
      <c r="NWZ4"/>
      <c r="NXA4"/>
      <c r="NXB4"/>
      <c r="NXC4"/>
      <c r="NXD4"/>
      <c r="NXE4"/>
      <c r="NXF4"/>
      <c r="NXG4"/>
      <c r="NXH4"/>
      <c r="NXI4"/>
      <c r="NXJ4"/>
      <c r="NXK4"/>
      <c r="NXL4"/>
      <c r="NXM4"/>
      <c r="NXN4"/>
      <c r="NXO4"/>
      <c r="NXP4"/>
      <c r="NXQ4"/>
      <c r="NXR4"/>
      <c r="NXS4"/>
      <c r="NXT4"/>
      <c r="NXU4"/>
      <c r="NXV4"/>
      <c r="NXW4"/>
      <c r="NXX4"/>
      <c r="NXY4"/>
      <c r="NXZ4"/>
      <c r="NYA4"/>
      <c r="NYB4"/>
      <c r="NYC4"/>
      <c r="NYD4"/>
      <c r="NYE4"/>
      <c r="NYF4"/>
      <c r="NYG4"/>
      <c r="NYH4"/>
      <c r="NYI4"/>
      <c r="NYJ4"/>
      <c r="NYK4"/>
      <c r="NYL4"/>
      <c r="NYM4"/>
      <c r="NYN4"/>
      <c r="NYO4"/>
      <c r="NYP4"/>
      <c r="NYQ4"/>
      <c r="NYR4"/>
      <c r="NYS4"/>
      <c r="NYT4"/>
      <c r="NYU4"/>
      <c r="NYV4"/>
      <c r="NYW4"/>
      <c r="NYX4"/>
      <c r="NYY4"/>
      <c r="NYZ4"/>
      <c r="NZA4"/>
      <c r="NZB4"/>
      <c r="NZC4"/>
      <c r="NZD4"/>
      <c r="NZE4"/>
      <c r="NZF4"/>
      <c r="NZG4"/>
      <c r="NZH4"/>
      <c r="NZI4"/>
      <c r="NZJ4"/>
      <c r="NZK4"/>
      <c r="NZL4"/>
      <c r="NZM4"/>
      <c r="NZN4"/>
      <c r="NZO4"/>
      <c r="NZP4"/>
      <c r="NZQ4"/>
      <c r="NZR4"/>
      <c r="NZS4"/>
      <c r="NZT4"/>
      <c r="NZU4"/>
      <c r="NZV4"/>
      <c r="NZW4"/>
      <c r="NZX4"/>
      <c r="NZY4"/>
      <c r="NZZ4"/>
      <c r="OAA4"/>
      <c r="OAB4"/>
      <c r="OAC4"/>
      <c r="OAD4"/>
      <c r="OAE4"/>
      <c r="OAF4"/>
      <c r="OAG4"/>
      <c r="OAH4"/>
      <c r="OAI4"/>
      <c r="OAJ4"/>
      <c r="OAK4"/>
      <c r="OAL4"/>
      <c r="OAM4"/>
      <c r="OAN4"/>
      <c r="OAO4"/>
      <c r="OAP4"/>
      <c r="OAQ4"/>
      <c r="OAR4"/>
      <c r="OAS4"/>
      <c r="OAT4"/>
      <c r="OAU4"/>
      <c r="OAV4"/>
      <c r="OAW4"/>
      <c r="OAX4"/>
      <c r="OAY4"/>
      <c r="OAZ4"/>
      <c r="OBA4"/>
      <c r="OBB4"/>
      <c r="OBC4"/>
      <c r="OBD4"/>
      <c r="OBE4"/>
      <c r="OBF4"/>
      <c r="OBG4"/>
      <c r="OBH4"/>
      <c r="OBI4"/>
      <c r="OBJ4"/>
      <c r="OBK4"/>
      <c r="OBL4"/>
      <c r="OBM4"/>
      <c r="OBN4"/>
      <c r="OBO4"/>
      <c r="OBP4"/>
      <c r="OBQ4"/>
      <c r="OBR4"/>
      <c r="OBS4"/>
      <c r="OBT4"/>
      <c r="OBU4"/>
      <c r="OBV4"/>
      <c r="OBW4"/>
      <c r="OBX4"/>
      <c r="OBY4"/>
      <c r="OBZ4"/>
      <c r="OCA4"/>
      <c r="OCB4"/>
      <c r="OCC4"/>
      <c r="OCD4"/>
      <c r="OCE4"/>
      <c r="OCF4"/>
      <c r="OCG4"/>
      <c r="OCH4"/>
      <c r="OCI4"/>
      <c r="OCJ4"/>
      <c r="OCK4"/>
      <c r="OCL4"/>
      <c r="OCM4"/>
      <c r="OCN4"/>
      <c r="OCO4"/>
      <c r="OCP4"/>
      <c r="OCQ4"/>
      <c r="OCR4"/>
      <c r="OCS4"/>
      <c r="OCT4"/>
      <c r="OCU4"/>
      <c r="OCV4"/>
      <c r="OCW4"/>
      <c r="OCX4"/>
      <c r="OCY4"/>
      <c r="OCZ4"/>
      <c r="ODA4"/>
      <c r="ODB4"/>
      <c r="ODC4"/>
      <c r="ODD4"/>
      <c r="ODE4"/>
      <c r="ODF4"/>
      <c r="ODG4"/>
      <c r="ODH4"/>
      <c r="ODI4"/>
      <c r="ODJ4"/>
      <c r="ODK4"/>
      <c r="ODL4"/>
      <c r="ODM4"/>
      <c r="ODN4"/>
      <c r="ODO4"/>
      <c r="ODP4"/>
      <c r="ODQ4"/>
      <c r="ODR4"/>
      <c r="ODS4"/>
      <c r="ODT4"/>
      <c r="ODU4"/>
      <c r="ODV4"/>
      <c r="ODW4"/>
      <c r="ODX4"/>
      <c r="ODY4"/>
      <c r="ODZ4"/>
      <c r="OEA4"/>
      <c r="OEB4"/>
      <c r="OEC4"/>
      <c r="OED4"/>
      <c r="OEE4"/>
      <c r="OEF4"/>
      <c r="OEG4"/>
      <c r="OEH4"/>
      <c r="OEI4"/>
      <c r="OEJ4"/>
      <c r="OEK4"/>
      <c r="OEL4"/>
      <c r="OEM4"/>
      <c r="OEN4"/>
      <c r="OEO4"/>
      <c r="OEP4"/>
      <c r="OEQ4"/>
      <c r="OER4"/>
      <c r="OES4"/>
      <c r="OET4"/>
      <c r="OEU4"/>
      <c r="OEV4"/>
      <c r="OEW4"/>
      <c r="OEX4"/>
      <c r="OEY4"/>
      <c r="OEZ4"/>
      <c r="OFA4"/>
      <c r="OFB4"/>
      <c r="OFC4"/>
      <c r="OFD4"/>
      <c r="OFE4"/>
      <c r="OFF4"/>
      <c r="OFG4"/>
      <c r="OFH4"/>
      <c r="OFI4"/>
      <c r="OFJ4"/>
      <c r="OFK4"/>
      <c r="OFL4"/>
      <c r="OFM4"/>
      <c r="OFN4"/>
      <c r="OFO4"/>
      <c r="OFP4"/>
      <c r="OFQ4"/>
      <c r="OFR4"/>
      <c r="OFS4"/>
      <c r="OFT4"/>
      <c r="OFU4"/>
      <c r="OFV4"/>
      <c r="OFW4"/>
      <c r="OFX4"/>
      <c r="OFY4"/>
      <c r="OFZ4"/>
      <c r="OGA4"/>
      <c r="OGB4"/>
      <c r="OGC4"/>
      <c r="OGD4"/>
      <c r="OGE4"/>
      <c r="OGF4"/>
      <c r="OGG4"/>
      <c r="OGH4"/>
      <c r="OGI4"/>
      <c r="OGJ4"/>
      <c r="OGK4"/>
      <c r="OGL4"/>
      <c r="OGM4"/>
      <c r="OGN4"/>
      <c r="OGO4"/>
      <c r="OGP4"/>
      <c r="OGQ4"/>
      <c r="OGR4"/>
      <c r="OGS4"/>
      <c r="OGT4"/>
      <c r="OGU4"/>
      <c r="OGV4"/>
      <c r="OGW4"/>
      <c r="OGX4"/>
      <c r="OGY4"/>
      <c r="OGZ4"/>
      <c r="OHA4"/>
      <c r="OHB4"/>
      <c r="OHC4"/>
      <c r="OHD4"/>
      <c r="OHE4"/>
      <c r="OHF4"/>
      <c r="OHG4"/>
      <c r="OHH4"/>
      <c r="OHI4"/>
      <c r="OHJ4"/>
      <c r="OHK4"/>
      <c r="OHL4"/>
      <c r="OHM4"/>
      <c r="OHN4"/>
      <c r="OHO4"/>
      <c r="OHP4"/>
      <c r="OHQ4"/>
      <c r="OHR4"/>
      <c r="OHS4"/>
      <c r="OHT4"/>
      <c r="OHU4"/>
      <c r="OHV4"/>
      <c r="OHW4"/>
      <c r="OHX4"/>
      <c r="OHY4"/>
      <c r="OHZ4"/>
      <c r="OIA4"/>
      <c r="OIB4"/>
      <c r="OIC4"/>
      <c r="OID4"/>
      <c r="OIE4"/>
      <c r="OIF4"/>
      <c r="OIG4"/>
      <c r="OIH4"/>
      <c r="OII4"/>
      <c r="OIJ4"/>
      <c r="OIK4"/>
      <c r="OIL4"/>
      <c r="OIM4"/>
      <c r="OIN4"/>
      <c r="OIO4"/>
      <c r="OIP4"/>
      <c r="OIQ4"/>
      <c r="OIR4"/>
      <c r="OIS4"/>
      <c r="OIT4"/>
      <c r="OIU4"/>
      <c r="OIV4"/>
      <c r="OIW4"/>
      <c r="OIX4"/>
      <c r="OIY4"/>
      <c r="OIZ4"/>
      <c r="OJA4"/>
      <c r="OJB4"/>
      <c r="OJC4"/>
      <c r="OJD4"/>
      <c r="OJE4"/>
      <c r="OJF4"/>
      <c r="OJG4"/>
      <c r="OJH4"/>
      <c r="OJI4"/>
      <c r="OJJ4"/>
      <c r="OJK4"/>
      <c r="OJL4"/>
      <c r="OJM4"/>
      <c r="OJN4"/>
      <c r="OJO4"/>
      <c r="OJP4"/>
      <c r="OJQ4"/>
      <c r="OJR4"/>
      <c r="OJS4"/>
      <c r="OJT4"/>
      <c r="OJU4"/>
      <c r="OJV4"/>
      <c r="OJW4"/>
      <c r="OJX4"/>
      <c r="OJY4"/>
      <c r="OJZ4"/>
      <c r="OKA4"/>
      <c r="OKB4"/>
      <c r="OKC4"/>
      <c r="OKD4"/>
      <c r="OKE4"/>
      <c r="OKF4"/>
      <c r="OKG4"/>
      <c r="OKH4"/>
      <c r="OKI4"/>
      <c r="OKJ4"/>
      <c r="OKK4"/>
      <c r="OKL4"/>
      <c r="OKM4"/>
      <c r="OKN4"/>
      <c r="OKO4"/>
      <c r="OKP4"/>
      <c r="OKQ4"/>
      <c r="OKR4"/>
      <c r="OKS4"/>
      <c r="OKT4"/>
      <c r="OKU4"/>
      <c r="OKV4"/>
      <c r="OKW4"/>
      <c r="OKX4"/>
      <c r="OKY4"/>
      <c r="OKZ4"/>
      <c r="OLA4"/>
      <c r="OLB4"/>
      <c r="OLC4"/>
      <c r="OLD4"/>
      <c r="OLE4"/>
      <c r="OLF4"/>
      <c r="OLG4"/>
      <c r="OLH4"/>
      <c r="OLI4"/>
      <c r="OLJ4"/>
      <c r="OLK4"/>
      <c r="OLL4"/>
      <c r="OLM4"/>
      <c r="OLN4"/>
      <c r="OLO4"/>
      <c r="OLP4"/>
      <c r="OLQ4"/>
      <c r="OLR4"/>
      <c r="OLS4"/>
      <c r="OLT4"/>
      <c r="OLU4"/>
      <c r="OLV4"/>
      <c r="OLW4"/>
      <c r="OLX4"/>
      <c r="OLY4"/>
      <c r="OLZ4"/>
      <c r="OMA4"/>
      <c r="OMB4"/>
      <c r="OMC4"/>
      <c r="OMD4"/>
      <c r="OME4"/>
      <c r="OMF4"/>
      <c r="OMG4"/>
      <c r="OMH4"/>
      <c r="OMI4"/>
      <c r="OMJ4"/>
      <c r="OMK4"/>
      <c r="OML4"/>
      <c r="OMM4"/>
      <c r="OMN4"/>
      <c r="OMO4"/>
      <c r="OMP4"/>
      <c r="OMQ4"/>
      <c r="OMR4"/>
      <c r="OMS4"/>
      <c r="OMT4"/>
      <c r="OMU4"/>
      <c r="OMV4"/>
      <c r="OMW4"/>
      <c r="OMX4"/>
      <c r="OMY4"/>
      <c r="OMZ4"/>
      <c r="ONA4"/>
      <c r="ONB4"/>
      <c r="ONC4"/>
      <c r="OND4"/>
      <c r="ONE4"/>
      <c r="ONF4"/>
      <c r="ONG4"/>
      <c r="ONH4"/>
      <c r="ONI4"/>
      <c r="ONJ4"/>
      <c r="ONK4"/>
      <c r="ONL4"/>
      <c r="ONM4"/>
      <c r="ONN4"/>
      <c r="ONO4"/>
      <c r="ONP4"/>
      <c r="ONQ4"/>
      <c r="ONR4"/>
      <c r="ONS4"/>
      <c r="ONT4"/>
      <c r="ONU4"/>
      <c r="ONV4"/>
      <c r="ONW4"/>
      <c r="ONX4"/>
      <c r="ONY4"/>
      <c r="ONZ4"/>
      <c r="OOA4"/>
      <c r="OOB4"/>
      <c r="OOC4"/>
      <c r="OOD4"/>
      <c r="OOE4"/>
      <c r="OOF4"/>
      <c r="OOG4"/>
      <c r="OOH4"/>
      <c r="OOI4"/>
      <c r="OOJ4"/>
      <c r="OOK4"/>
      <c r="OOL4"/>
      <c r="OOM4"/>
      <c r="OON4"/>
      <c r="OOO4"/>
      <c r="OOP4"/>
      <c r="OOQ4"/>
      <c r="OOR4"/>
      <c r="OOS4"/>
      <c r="OOT4"/>
      <c r="OOU4"/>
      <c r="OOV4"/>
      <c r="OOW4"/>
      <c r="OOX4"/>
      <c r="OOY4"/>
      <c r="OOZ4"/>
      <c r="OPA4"/>
      <c r="OPB4"/>
      <c r="OPC4"/>
      <c r="OPD4"/>
      <c r="OPE4"/>
      <c r="OPF4"/>
      <c r="OPG4"/>
      <c r="OPH4"/>
      <c r="OPI4"/>
      <c r="OPJ4"/>
      <c r="OPK4"/>
      <c r="OPL4"/>
      <c r="OPM4"/>
      <c r="OPN4"/>
      <c r="OPO4"/>
      <c r="OPP4"/>
      <c r="OPQ4"/>
      <c r="OPR4"/>
      <c r="OPS4"/>
      <c r="OPT4"/>
      <c r="OPU4"/>
      <c r="OPV4"/>
      <c r="OPW4"/>
      <c r="OPX4"/>
      <c r="OPY4"/>
      <c r="OPZ4"/>
      <c r="OQA4"/>
      <c r="OQB4"/>
      <c r="OQC4"/>
      <c r="OQD4"/>
      <c r="OQE4"/>
      <c r="OQF4"/>
      <c r="OQG4"/>
      <c r="OQH4"/>
      <c r="OQI4"/>
      <c r="OQJ4"/>
      <c r="OQK4"/>
      <c r="OQL4"/>
      <c r="OQM4"/>
      <c r="OQN4"/>
      <c r="OQO4"/>
      <c r="OQP4"/>
      <c r="OQQ4"/>
      <c r="OQR4"/>
      <c r="OQS4"/>
      <c r="OQT4"/>
      <c r="OQU4"/>
      <c r="OQV4"/>
      <c r="OQW4"/>
      <c r="OQX4"/>
      <c r="OQY4"/>
      <c r="OQZ4"/>
      <c r="ORA4"/>
      <c r="ORB4"/>
      <c r="ORC4"/>
      <c r="ORD4"/>
      <c r="ORE4"/>
      <c r="ORF4"/>
      <c r="ORG4"/>
      <c r="ORH4"/>
      <c r="ORI4"/>
      <c r="ORJ4"/>
      <c r="ORK4"/>
      <c r="ORL4"/>
      <c r="ORM4"/>
      <c r="ORN4"/>
      <c r="ORO4"/>
      <c r="ORP4"/>
      <c r="ORQ4"/>
      <c r="ORR4"/>
      <c r="ORS4"/>
      <c r="ORT4"/>
      <c r="ORU4"/>
      <c r="ORV4"/>
      <c r="ORW4"/>
      <c r="ORX4"/>
      <c r="ORY4"/>
      <c r="ORZ4"/>
      <c r="OSA4"/>
      <c r="OSB4"/>
      <c r="OSC4"/>
      <c r="OSD4"/>
      <c r="OSE4"/>
      <c r="OSF4"/>
      <c r="OSG4"/>
      <c r="OSH4"/>
      <c r="OSI4"/>
      <c r="OSJ4"/>
      <c r="OSK4"/>
      <c r="OSL4"/>
      <c r="OSM4"/>
      <c r="OSN4"/>
      <c r="OSO4"/>
      <c r="OSP4"/>
      <c r="OSQ4"/>
      <c r="OSR4"/>
      <c r="OSS4"/>
      <c r="OST4"/>
      <c r="OSU4"/>
      <c r="OSV4"/>
      <c r="OSW4"/>
      <c r="OSX4"/>
      <c r="OSY4"/>
      <c r="OSZ4"/>
      <c r="OTA4"/>
      <c r="OTB4"/>
      <c r="OTC4"/>
      <c r="OTD4"/>
      <c r="OTE4"/>
      <c r="OTF4"/>
      <c r="OTG4"/>
      <c r="OTH4"/>
      <c r="OTI4"/>
      <c r="OTJ4"/>
      <c r="OTK4"/>
      <c r="OTL4"/>
      <c r="OTM4"/>
      <c r="OTN4"/>
      <c r="OTO4"/>
      <c r="OTP4"/>
      <c r="OTQ4"/>
      <c r="OTR4"/>
      <c r="OTS4"/>
      <c r="OTT4"/>
      <c r="OTU4"/>
      <c r="OTV4"/>
      <c r="OTW4"/>
      <c r="OTX4"/>
      <c r="OTY4"/>
      <c r="OTZ4"/>
      <c r="OUA4"/>
      <c r="OUB4"/>
      <c r="OUC4"/>
      <c r="OUD4"/>
      <c r="OUE4"/>
      <c r="OUF4"/>
      <c r="OUG4"/>
      <c r="OUH4"/>
      <c r="OUI4"/>
      <c r="OUJ4"/>
      <c r="OUK4"/>
      <c r="OUL4"/>
      <c r="OUM4"/>
      <c r="OUN4"/>
      <c r="OUO4"/>
      <c r="OUP4"/>
      <c r="OUQ4"/>
      <c r="OUR4"/>
      <c r="OUS4"/>
      <c r="OUT4"/>
      <c r="OUU4"/>
      <c r="OUV4"/>
      <c r="OUW4"/>
      <c r="OUX4"/>
      <c r="OUY4"/>
      <c r="OUZ4"/>
      <c r="OVA4"/>
      <c r="OVB4"/>
      <c r="OVC4"/>
      <c r="OVD4"/>
      <c r="OVE4"/>
      <c r="OVF4"/>
      <c r="OVG4"/>
      <c r="OVH4"/>
      <c r="OVI4"/>
      <c r="OVJ4"/>
      <c r="OVK4"/>
      <c r="OVL4"/>
      <c r="OVM4"/>
      <c r="OVN4"/>
      <c r="OVO4"/>
      <c r="OVP4"/>
      <c r="OVQ4"/>
      <c r="OVR4"/>
      <c r="OVS4"/>
      <c r="OVT4"/>
      <c r="OVU4"/>
      <c r="OVV4"/>
      <c r="OVW4"/>
      <c r="OVX4"/>
      <c r="OVY4"/>
      <c r="OVZ4"/>
      <c r="OWA4"/>
      <c r="OWB4"/>
      <c r="OWC4"/>
      <c r="OWD4"/>
      <c r="OWE4"/>
      <c r="OWF4"/>
      <c r="OWG4"/>
      <c r="OWH4"/>
      <c r="OWI4"/>
      <c r="OWJ4"/>
      <c r="OWK4"/>
      <c r="OWL4"/>
      <c r="OWM4"/>
      <c r="OWN4"/>
      <c r="OWO4"/>
      <c r="OWP4"/>
      <c r="OWQ4"/>
      <c r="OWR4"/>
      <c r="OWS4"/>
      <c r="OWT4"/>
      <c r="OWU4"/>
      <c r="OWV4"/>
      <c r="OWW4"/>
      <c r="OWX4"/>
      <c r="OWY4"/>
      <c r="OWZ4"/>
      <c r="OXA4"/>
      <c r="OXB4"/>
      <c r="OXC4"/>
      <c r="OXD4"/>
      <c r="OXE4"/>
      <c r="OXF4"/>
      <c r="OXG4"/>
      <c r="OXH4"/>
      <c r="OXI4"/>
      <c r="OXJ4"/>
      <c r="OXK4"/>
      <c r="OXL4"/>
      <c r="OXM4"/>
      <c r="OXN4"/>
      <c r="OXO4"/>
      <c r="OXP4"/>
      <c r="OXQ4"/>
      <c r="OXR4"/>
      <c r="OXS4"/>
      <c r="OXT4"/>
      <c r="OXU4"/>
      <c r="OXV4"/>
      <c r="OXW4"/>
      <c r="OXX4"/>
      <c r="OXY4"/>
      <c r="OXZ4"/>
      <c r="OYA4"/>
      <c r="OYB4"/>
      <c r="OYC4"/>
      <c r="OYD4"/>
      <c r="OYE4"/>
      <c r="OYF4"/>
      <c r="OYG4"/>
      <c r="OYH4"/>
      <c r="OYI4"/>
      <c r="OYJ4"/>
      <c r="OYK4"/>
      <c r="OYL4"/>
      <c r="OYM4"/>
      <c r="OYN4"/>
      <c r="OYO4"/>
      <c r="OYP4"/>
      <c r="OYQ4"/>
      <c r="OYR4"/>
      <c r="OYS4"/>
      <c r="OYT4"/>
      <c r="OYU4"/>
      <c r="OYV4"/>
      <c r="OYW4"/>
      <c r="OYX4"/>
      <c r="OYY4"/>
      <c r="OYZ4"/>
      <c r="OZA4"/>
      <c r="OZB4"/>
      <c r="OZC4"/>
      <c r="OZD4"/>
      <c r="OZE4"/>
      <c r="OZF4"/>
      <c r="OZG4"/>
      <c r="OZH4"/>
      <c r="OZI4"/>
      <c r="OZJ4"/>
      <c r="OZK4"/>
      <c r="OZL4"/>
      <c r="OZM4"/>
      <c r="OZN4"/>
      <c r="OZO4"/>
      <c r="OZP4"/>
      <c r="OZQ4"/>
      <c r="OZR4"/>
      <c r="OZS4"/>
      <c r="OZT4"/>
      <c r="OZU4"/>
      <c r="OZV4"/>
      <c r="OZW4"/>
      <c r="OZX4"/>
      <c r="OZY4"/>
      <c r="OZZ4"/>
      <c r="PAA4"/>
      <c r="PAB4"/>
      <c r="PAC4"/>
      <c r="PAD4"/>
      <c r="PAE4"/>
      <c r="PAF4"/>
      <c r="PAG4"/>
      <c r="PAH4"/>
      <c r="PAI4"/>
      <c r="PAJ4"/>
      <c r="PAK4"/>
      <c r="PAL4"/>
      <c r="PAM4"/>
      <c r="PAN4"/>
      <c r="PAO4"/>
      <c r="PAP4"/>
      <c r="PAQ4"/>
      <c r="PAR4"/>
      <c r="PAS4"/>
      <c r="PAT4"/>
      <c r="PAU4"/>
      <c r="PAV4"/>
      <c r="PAW4"/>
      <c r="PAX4"/>
      <c r="PAY4"/>
      <c r="PAZ4"/>
      <c r="PBA4"/>
      <c r="PBB4"/>
      <c r="PBC4"/>
      <c r="PBD4"/>
      <c r="PBE4"/>
      <c r="PBF4"/>
      <c r="PBG4"/>
      <c r="PBH4"/>
      <c r="PBI4"/>
      <c r="PBJ4"/>
      <c r="PBK4"/>
      <c r="PBL4"/>
      <c r="PBM4"/>
      <c r="PBN4"/>
      <c r="PBO4"/>
      <c r="PBP4"/>
      <c r="PBQ4"/>
      <c r="PBR4"/>
      <c r="PBS4"/>
      <c r="PBT4"/>
      <c r="PBU4"/>
      <c r="PBV4"/>
      <c r="PBW4"/>
      <c r="PBX4"/>
      <c r="PBY4"/>
      <c r="PBZ4"/>
      <c r="PCA4"/>
      <c r="PCB4"/>
      <c r="PCC4"/>
      <c r="PCD4"/>
      <c r="PCE4"/>
      <c r="PCF4"/>
      <c r="PCG4"/>
      <c r="PCH4"/>
      <c r="PCI4"/>
      <c r="PCJ4"/>
      <c r="PCK4"/>
      <c r="PCL4"/>
      <c r="PCM4"/>
      <c r="PCN4"/>
      <c r="PCO4"/>
      <c r="PCP4"/>
      <c r="PCQ4"/>
      <c r="PCR4"/>
      <c r="PCS4"/>
      <c r="PCT4"/>
      <c r="PCU4"/>
      <c r="PCV4"/>
      <c r="PCW4"/>
      <c r="PCX4"/>
      <c r="PCY4"/>
      <c r="PCZ4"/>
      <c r="PDA4"/>
      <c r="PDB4"/>
      <c r="PDC4"/>
      <c r="PDD4"/>
      <c r="PDE4"/>
      <c r="PDF4"/>
      <c r="PDG4"/>
      <c r="PDH4"/>
      <c r="PDI4"/>
      <c r="PDJ4"/>
      <c r="PDK4"/>
      <c r="PDL4"/>
      <c r="PDM4"/>
      <c r="PDN4"/>
      <c r="PDO4"/>
      <c r="PDP4"/>
      <c r="PDQ4"/>
      <c r="PDR4"/>
      <c r="PDS4"/>
      <c r="PDT4"/>
      <c r="PDU4"/>
      <c r="PDV4"/>
      <c r="PDW4"/>
      <c r="PDX4"/>
      <c r="PDY4"/>
      <c r="PDZ4"/>
      <c r="PEA4"/>
      <c r="PEB4"/>
      <c r="PEC4"/>
      <c r="PED4"/>
      <c r="PEE4"/>
      <c r="PEF4"/>
      <c r="PEG4"/>
      <c r="PEH4"/>
      <c r="PEI4"/>
      <c r="PEJ4"/>
      <c r="PEK4"/>
      <c r="PEL4"/>
      <c r="PEM4"/>
      <c r="PEN4"/>
      <c r="PEO4"/>
      <c r="PEP4"/>
      <c r="PEQ4"/>
      <c r="PER4"/>
      <c r="PES4"/>
      <c r="PET4"/>
      <c r="PEU4"/>
      <c r="PEV4"/>
      <c r="PEW4"/>
      <c r="PEX4"/>
      <c r="PEY4"/>
      <c r="PEZ4"/>
      <c r="PFA4"/>
      <c r="PFB4"/>
      <c r="PFC4"/>
      <c r="PFD4"/>
      <c r="PFE4"/>
      <c r="PFF4"/>
      <c r="PFG4"/>
      <c r="PFH4"/>
      <c r="PFI4"/>
      <c r="PFJ4"/>
      <c r="PFK4"/>
      <c r="PFL4"/>
      <c r="PFM4"/>
      <c r="PFN4"/>
      <c r="PFO4"/>
      <c r="PFP4"/>
      <c r="PFQ4"/>
      <c r="PFR4"/>
      <c r="PFS4"/>
      <c r="PFT4"/>
      <c r="PFU4"/>
      <c r="PFV4"/>
      <c r="PFW4"/>
      <c r="PFX4"/>
      <c r="PFY4"/>
      <c r="PFZ4"/>
      <c r="PGA4"/>
      <c r="PGB4"/>
      <c r="PGC4"/>
      <c r="PGD4"/>
      <c r="PGE4"/>
      <c r="PGF4"/>
      <c r="PGG4"/>
      <c r="PGH4"/>
      <c r="PGI4"/>
      <c r="PGJ4"/>
      <c r="PGK4"/>
      <c r="PGL4"/>
      <c r="PGM4"/>
      <c r="PGN4"/>
      <c r="PGO4"/>
      <c r="PGP4"/>
      <c r="PGQ4"/>
      <c r="PGR4"/>
      <c r="PGS4"/>
      <c r="PGT4"/>
      <c r="PGU4"/>
      <c r="PGV4"/>
      <c r="PGW4"/>
      <c r="PGX4"/>
      <c r="PGY4"/>
      <c r="PGZ4"/>
      <c r="PHA4"/>
      <c r="PHB4"/>
      <c r="PHC4"/>
      <c r="PHD4"/>
      <c r="PHE4"/>
      <c r="PHF4"/>
      <c r="PHG4"/>
      <c r="PHH4"/>
      <c r="PHI4"/>
      <c r="PHJ4"/>
      <c r="PHK4"/>
      <c r="PHL4"/>
      <c r="PHM4"/>
      <c r="PHN4"/>
      <c r="PHO4"/>
      <c r="PHP4"/>
      <c r="PHQ4"/>
      <c r="PHR4"/>
      <c r="PHS4"/>
      <c r="PHT4"/>
      <c r="PHU4"/>
      <c r="PHV4"/>
      <c r="PHW4"/>
      <c r="PHX4"/>
      <c r="PHY4"/>
      <c r="PHZ4"/>
      <c r="PIA4"/>
      <c r="PIB4"/>
      <c r="PIC4"/>
      <c r="PID4"/>
      <c r="PIE4"/>
      <c r="PIF4"/>
      <c r="PIG4"/>
      <c r="PIH4"/>
      <c r="PII4"/>
      <c r="PIJ4"/>
      <c r="PIK4"/>
      <c r="PIL4"/>
      <c r="PIM4"/>
      <c r="PIN4"/>
      <c r="PIO4"/>
      <c r="PIP4"/>
      <c r="PIQ4"/>
      <c r="PIR4"/>
      <c r="PIS4"/>
      <c r="PIT4"/>
      <c r="PIU4"/>
      <c r="PIV4"/>
      <c r="PIW4"/>
      <c r="PIX4"/>
      <c r="PIY4"/>
      <c r="PIZ4"/>
      <c r="PJA4"/>
      <c r="PJB4"/>
      <c r="PJC4"/>
      <c r="PJD4"/>
      <c r="PJE4"/>
      <c r="PJF4"/>
      <c r="PJG4"/>
      <c r="PJH4"/>
      <c r="PJI4"/>
      <c r="PJJ4"/>
      <c r="PJK4"/>
      <c r="PJL4"/>
      <c r="PJM4"/>
      <c r="PJN4"/>
      <c r="PJO4"/>
      <c r="PJP4"/>
      <c r="PJQ4"/>
      <c r="PJR4"/>
      <c r="PJS4"/>
      <c r="PJT4"/>
      <c r="PJU4"/>
      <c r="PJV4"/>
      <c r="PJW4"/>
      <c r="PJX4"/>
      <c r="PJY4"/>
      <c r="PJZ4"/>
      <c r="PKA4"/>
      <c r="PKB4"/>
      <c r="PKC4"/>
      <c r="PKD4"/>
      <c r="PKE4"/>
      <c r="PKF4"/>
      <c r="PKG4"/>
      <c r="PKH4"/>
      <c r="PKI4"/>
      <c r="PKJ4"/>
      <c r="PKK4"/>
      <c r="PKL4"/>
      <c r="PKM4"/>
      <c r="PKN4"/>
      <c r="PKO4"/>
      <c r="PKP4"/>
      <c r="PKQ4"/>
      <c r="PKR4"/>
      <c r="PKS4"/>
      <c r="PKT4"/>
      <c r="PKU4"/>
      <c r="PKV4"/>
      <c r="PKW4"/>
      <c r="PKX4"/>
      <c r="PKY4"/>
      <c r="PKZ4"/>
      <c r="PLA4"/>
      <c r="PLB4"/>
      <c r="PLC4"/>
      <c r="PLD4"/>
      <c r="PLE4"/>
      <c r="PLF4"/>
      <c r="PLG4"/>
      <c r="PLH4"/>
      <c r="PLI4"/>
      <c r="PLJ4"/>
      <c r="PLK4"/>
      <c r="PLL4"/>
      <c r="PLM4"/>
      <c r="PLN4"/>
      <c r="PLO4"/>
      <c r="PLP4"/>
      <c r="PLQ4"/>
      <c r="PLR4"/>
      <c r="PLS4"/>
      <c r="PLT4"/>
      <c r="PLU4"/>
      <c r="PLV4"/>
      <c r="PLW4"/>
      <c r="PLX4"/>
      <c r="PLY4"/>
      <c r="PLZ4"/>
      <c r="PMA4"/>
      <c r="PMB4"/>
      <c r="PMC4"/>
      <c r="PMD4"/>
      <c r="PME4"/>
      <c r="PMF4"/>
      <c r="PMG4"/>
      <c r="PMH4"/>
      <c r="PMI4"/>
      <c r="PMJ4"/>
      <c r="PMK4"/>
      <c r="PML4"/>
      <c r="PMM4"/>
      <c r="PMN4"/>
      <c r="PMO4"/>
      <c r="PMP4"/>
      <c r="PMQ4"/>
      <c r="PMR4"/>
      <c r="PMS4"/>
      <c r="PMT4"/>
      <c r="PMU4"/>
      <c r="PMV4"/>
      <c r="PMW4"/>
      <c r="PMX4"/>
      <c r="PMY4"/>
      <c r="PMZ4"/>
      <c r="PNA4"/>
      <c r="PNB4"/>
      <c r="PNC4"/>
      <c r="PND4"/>
      <c r="PNE4"/>
      <c r="PNF4"/>
      <c r="PNG4"/>
      <c r="PNH4"/>
      <c r="PNI4"/>
      <c r="PNJ4"/>
      <c r="PNK4"/>
      <c r="PNL4"/>
      <c r="PNM4"/>
      <c r="PNN4"/>
      <c r="PNO4"/>
      <c r="PNP4"/>
      <c r="PNQ4"/>
      <c r="PNR4"/>
      <c r="PNS4"/>
      <c r="PNT4"/>
      <c r="PNU4"/>
      <c r="PNV4"/>
      <c r="PNW4"/>
      <c r="PNX4"/>
      <c r="PNY4"/>
      <c r="PNZ4"/>
      <c r="POA4"/>
      <c r="POB4"/>
      <c r="POC4"/>
      <c r="POD4"/>
      <c r="POE4"/>
      <c r="POF4"/>
      <c r="POG4"/>
      <c r="POH4"/>
      <c r="POI4"/>
      <c r="POJ4"/>
      <c r="POK4"/>
      <c r="POL4"/>
      <c r="POM4"/>
      <c r="PON4"/>
      <c r="POO4"/>
      <c r="POP4"/>
      <c r="POQ4"/>
      <c r="POR4"/>
      <c r="POS4"/>
      <c r="POT4"/>
      <c r="POU4"/>
      <c r="POV4"/>
      <c r="POW4"/>
      <c r="POX4"/>
      <c r="POY4"/>
      <c r="POZ4"/>
      <c r="PPA4"/>
      <c r="PPB4"/>
      <c r="PPC4"/>
      <c r="PPD4"/>
      <c r="PPE4"/>
      <c r="PPF4"/>
      <c r="PPG4"/>
      <c r="PPH4"/>
      <c r="PPI4"/>
      <c r="PPJ4"/>
      <c r="PPK4"/>
      <c r="PPL4"/>
      <c r="PPM4"/>
      <c r="PPN4"/>
      <c r="PPO4"/>
      <c r="PPP4"/>
      <c r="PPQ4"/>
      <c r="PPR4"/>
      <c r="PPS4"/>
      <c r="PPT4"/>
      <c r="PPU4"/>
      <c r="PPV4"/>
      <c r="PPW4"/>
      <c r="PPX4"/>
      <c r="PPY4"/>
      <c r="PPZ4"/>
      <c r="PQA4"/>
      <c r="PQB4"/>
      <c r="PQC4"/>
      <c r="PQD4"/>
      <c r="PQE4"/>
      <c r="PQF4"/>
      <c r="PQG4"/>
      <c r="PQH4"/>
      <c r="PQI4"/>
      <c r="PQJ4"/>
      <c r="PQK4"/>
      <c r="PQL4"/>
      <c r="PQM4"/>
      <c r="PQN4"/>
      <c r="PQO4"/>
      <c r="PQP4"/>
      <c r="PQQ4"/>
      <c r="PQR4"/>
      <c r="PQS4"/>
      <c r="PQT4"/>
      <c r="PQU4"/>
      <c r="PQV4"/>
      <c r="PQW4"/>
      <c r="PQX4"/>
      <c r="PQY4"/>
      <c r="PQZ4"/>
      <c r="PRA4"/>
      <c r="PRB4"/>
      <c r="PRC4"/>
      <c r="PRD4"/>
      <c r="PRE4"/>
      <c r="PRF4"/>
      <c r="PRG4"/>
      <c r="PRH4"/>
      <c r="PRI4"/>
      <c r="PRJ4"/>
      <c r="PRK4"/>
      <c r="PRL4"/>
      <c r="PRM4"/>
      <c r="PRN4"/>
      <c r="PRO4"/>
      <c r="PRP4"/>
      <c r="PRQ4"/>
      <c r="PRR4"/>
      <c r="PRS4"/>
      <c r="PRT4"/>
      <c r="PRU4"/>
      <c r="PRV4"/>
      <c r="PRW4"/>
      <c r="PRX4"/>
      <c r="PRY4"/>
      <c r="PRZ4"/>
      <c r="PSA4"/>
      <c r="PSB4"/>
      <c r="PSC4"/>
      <c r="PSD4"/>
      <c r="PSE4"/>
      <c r="PSF4"/>
      <c r="PSG4"/>
      <c r="PSH4"/>
      <c r="PSI4"/>
      <c r="PSJ4"/>
      <c r="PSK4"/>
      <c r="PSL4"/>
      <c r="PSM4"/>
      <c r="PSN4"/>
      <c r="PSO4"/>
      <c r="PSP4"/>
      <c r="PSQ4"/>
      <c r="PSR4"/>
      <c r="PSS4"/>
      <c r="PST4"/>
      <c r="PSU4"/>
      <c r="PSV4"/>
      <c r="PSW4"/>
      <c r="PSX4"/>
      <c r="PSY4"/>
      <c r="PSZ4"/>
      <c r="PTA4"/>
      <c r="PTB4"/>
      <c r="PTC4"/>
      <c r="PTD4"/>
      <c r="PTE4"/>
      <c r="PTF4"/>
      <c r="PTG4"/>
      <c r="PTH4"/>
      <c r="PTI4"/>
      <c r="PTJ4"/>
      <c r="PTK4"/>
      <c r="PTL4"/>
      <c r="PTM4"/>
      <c r="PTN4"/>
      <c r="PTO4"/>
      <c r="PTP4"/>
      <c r="PTQ4"/>
      <c r="PTR4"/>
      <c r="PTS4"/>
      <c r="PTT4"/>
      <c r="PTU4"/>
      <c r="PTV4"/>
      <c r="PTW4"/>
      <c r="PTX4"/>
      <c r="PTY4"/>
      <c r="PTZ4"/>
      <c r="PUA4"/>
      <c r="PUB4"/>
      <c r="PUC4"/>
      <c r="PUD4"/>
      <c r="PUE4"/>
      <c r="PUF4"/>
      <c r="PUG4"/>
      <c r="PUH4"/>
      <c r="PUI4"/>
      <c r="PUJ4"/>
      <c r="PUK4"/>
      <c r="PUL4"/>
      <c r="PUM4"/>
      <c r="PUN4"/>
      <c r="PUO4"/>
      <c r="PUP4"/>
      <c r="PUQ4"/>
      <c r="PUR4"/>
      <c r="PUS4"/>
      <c r="PUT4"/>
      <c r="PUU4"/>
      <c r="PUV4"/>
      <c r="PUW4"/>
      <c r="PUX4"/>
      <c r="PUY4"/>
      <c r="PUZ4"/>
      <c r="PVA4"/>
      <c r="PVB4"/>
      <c r="PVC4"/>
      <c r="PVD4"/>
      <c r="PVE4"/>
      <c r="PVF4"/>
      <c r="PVG4"/>
      <c r="PVH4"/>
      <c r="PVI4"/>
      <c r="PVJ4"/>
      <c r="PVK4"/>
      <c r="PVL4"/>
      <c r="PVM4"/>
      <c r="PVN4"/>
      <c r="PVO4"/>
      <c r="PVP4"/>
      <c r="PVQ4"/>
      <c r="PVR4"/>
      <c r="PVS4"/>
      <c r="PVT4"/>
      <c r="PVU4"/>
      <c r="PVV4"/>
      <c r="PVW4"/>
      <c r="PVX4"/>
      <c r="PVY4"/>
      <c r="PVZ4"/>
      <c r="PWA4"/>
      <c r="PWB4"/>
      <c r="PWC4"/>
      <c r="PWD4"/>
      <c r="PWE4"/>
      <c r="PWF4"/>
      <c r="PWG4"/>
      <c r="PWH4"/>
      <c r="PWI4"/>
      <c r="PWJ4"/>
      <c r="PWK4"/>
      <c r="PWL4"/>
      <c r="PWM4"/>
      <c r="PWN4"/>
      <c r="PWO4"/>
      <c r="PWP4"/>
      <c r="PWQ4"/>
      <c r="PWR4"/>
      <c r="PWS4"/>
      <c r="PWT4"/>
      <c r="PWU4"/>
      <c r="PWV4"/>
      <c r="PWW4"/>
      <c r="PWX4"/>
      <c r="PWY4"/>
      <c r="PWZ4"/>
      <c r="PXA4"/>
      <c r="PXB4"/>
      <c r="PXC4"/>
      <c r="PXD4"/>
      <c r="PXE4"/>
      <c r="PXF4"/>
      <c r="PXG4"/>
      <c r="PXH4"/>
      <c r="PXI4"/>
      <c r="PXJ4"/>
      <c r="PXK4"/>
      <c r="PXL4"/>
      <c r="PXM4"/>
      <c r="PXN4"/>
      <c r="PXO4"/>
      <c r="PXP4"/>
      <c r="PXQ4"/>
      <c r="PXR4"/>
      <c r="PXS4"/>
      <c r="PXT4"/>
      <c r="PXU4"/>
      <c r="PXV4"/>
      <c r="PXW4"/>
      <c r="PXX4"/>
      <c r="PXY4"/>
      <c r="PXZ4"/>
      <c r="PYA4"/>
      <c r="PYB4"/>
      <c r="PYC4"/>
      <c r="PYD4"/>
      <c r="PYE4"/>
      <c r="PYF4"/>
      <c r="PYG4"/>
      <c r="PYH4"/>
      <c r="PYI4"/>
      <c r="PYJ4"/>
      <c r="PYK4"/>
      <c r="PYL4"/>
      <c r="PYM4"/>
      <c r="PYN4"/>
      <c r="PYO4"/>
      <c r="PYP4"/>
      <c r="PYQ4"/>
      <c r="PYR4"/>
      <c r="PYS4"/>
      <c r="PYT4"/>
      <c r="PYU4"/>
      <c r="PYV4"/>
      <c r="PYW4"/>
      <c r="PYX4"/>
      <c r="PYY4"/>
      <c r="PYZ4"/>
      <c r="PZA4"/>
      <c r="PZB4"/>
      <c r="PZC4"/>
      <c r="PZD4"/>
      <c r="PZE4"/>
      <c r="PZF4"/>
      <c r="PZG4"/>
      <c r="PZH4"/>
      <c r="PZI4"/>
      <c r="PZJ4"/>
      <c r="PZK4"/>
      <c r="PZL4"/>
      <c r="PZM4"/>
      <c r="PZN4"/>
      <c r="PZO4"/>
      <c r="PZP4"/>
      <c r="PZQ4"/>
      <c r="PZR4"/>
      <c r="PZS4"/>
      <c r="PZT4"/>
      <c r="PZU4"/>
      <c r="PZV4"/>
      <c r="PZW4"/>
      <c r="PZX4"/>
      <c r="PZY4"/>
      <c r="PZZ4"/>
      <c r="QAA4"/>
      <c r="QAB4"/>
      <c r="QAC4"/>
      <c r="QAD4"/>
      <c r="QAE4"/>
      <c r="QAF4"/>
      <c r="QAG4"/>
      <c r="QAH4"/>
      <c r="QAI4"/>
      <c r="QAJ4"/>
      <c r="QAK4"/>
      <c r="QAL4"/>
      <c r="QAM4"/>
      <c r="QAN4"/>
      <c r="QAO4"/>
      <c r="QAP4"/>
      <c r="QAQ4"/>
      <c r="QAR4"/>
      <c r="QAS4"/>
      <c r="QAT4"/>
      <c r="QAU4"/>
      <c r="QAV4"/>
      <c r="QAW4"/>
      <c r="QAX4"/>
      <c r="QAY4"/>
      <c r="QAZ4"/>
      <c r="QBA4"/>
      <c r="QBB4"/>
      <c r="QBC4"/>
      <c r="QBD4"/>
      <c r="QBE4"/>
      <c r="QBF4"/>
      <c r="QBG4"/>
      <c r="QBH4"/>
      <c r="QBI4"/>
      <c r="QBJ4"/>
      <c r="QBK4"/>
      <c r="QBL4"/>
      <c r="QBM4"/>
      <c r="QBN4"/>
      <c r="QBO4"/>
      <c r="QBP4"/>
      <c r="QBQ4"/>
      <c r="QBR4"/>
      <c r="QBS4"/>
      <c r="QBT4"/>
      <c r="QBU4"/>
      <c r="QBV4"/>
      <c r="QBW4"/>
      <c r="QBX4"/>
      <c r="QBY4"/>
      <c r="QBZ4"/>
      <c r="QCA4"/>
      <c r="QCB4"/>
      <c r="QCC4"/>
      <c r="QCD4"/>
      <c r="QCE4"/>
      <c r="QCF4"/>
      <c r="QCG4"/>
      <c r="QCH4"/>
      <c r="QCI4"/>
      <c r="QCJ4"/>
      <c r="QCK4"/>
      <c r="QCL4"/>
      <c r="QCM4"/>
      <c r="QCN4"/>
      <c r="QCO4"/>
      <c r="QCP4"/>
      <c r="QCQ4"/>
      <c r="QCR4"/>
      <c r="QCS4"/>
      <c r="QCT4"/>
      <c r="QCU4"/>
      <c r="QCV4"/>
      <c r="QCW4"/>
      <c r="QCX4"/>
      <c r="QCY4"/>
      <c r="QCZ4"/>
      <c r="QDA4"/>
      <c r="QDB4"/>
      <c r="QDC4"/>
      <c r="QDD4"/>
      <c r="QDE4"/>
      <c r="QDF4"/>
      <c r="QDG4"/>
      <c r="QDH4"/>
      <c r="QDI4"/>
      <c r="QDJ4"/>
      <c r="QDK4"/>
      <c r="QDL4"/>
      <c r="QDM4"/>
      <c r="QDN4"/>
      <c r="QDO4"/>
      <c r="QDP4"/>
      <c r="QDQ4"/>
      <c r="QDR4"/>
      <c r="QDS4"/>
      <c r="QDT4"/>
      <c r="QDU4"/>
      <c r="QDV4"/>
      <c r="QDW4"/>
      <c r="QDX4"/>
      <c r="QDY4"/>
      <c r="QDZ4"/>
      <c r="QEA4"/>
      <c r="QEB4"/>
      <c r="QEC4"/>
      <c r="QED4"/>
      <c r="QEE4"/>
      <c r="QEF4"/>
      <c r="QEG4"/>
      <c r="QEH4"/>
      <c r="QEI4"/>
      <c r="QEJ4"/>
      <c r="QEK4"/>
      <c r="QEL4"/>
      <c r="QEM4"/>
      <c r="QEN4"/>
      <c r="QEO4"/>
      <c r="QEP4"/>
      <c r="QEQ4"/>
      <c r="QER4"/>
      <c r="QES4"/>
      <c r="QET4"/>
      <c r="QEU4"/>
      <c r="QEV4"/>
      <c r="QEW4"/>
      <c r="QEX4"/>
      <c r="QEY4"/>
      <c r="QEZ4"/>
      <c r="QFA4"/>
      <c r="QFB4"/>
      <c r="QFC4"/>
      <c r="QFD4"/>
      <c r="QFE4"/>
      <c r="QFF4"/>
      <c r="QFG4"/>
      <c r="QFH4"/>
      <c r="QFI4"/>
      <c r="QFJ4"/>
      <c r="QFK4"/>
      <c r="QFL4"/>
      <c r="QFM4"/>
      <c r="QFN4"/>
      <c r="QFO4"/>
      <c r="QFP4"/>
      <c r="QFQ4"/>
      <c r="QFR4"/>
      <c r="QFS4"/>
      <c r="QFT4"/>
      <c r="QFU4"/>
      <c r="QFV4"/>
      <c r="QFW4"/>
      <c r="QFX4"/>
      <c r="QFY4"/>
      <c r="QFZ4"/>
      <c r="QGA4"/>
      <c r="QGB4"/>
      <c r="QGC4"/>
      <c r="QGD4"/>
      <c r="QGE4"/>
      <c r="QGF4"/>
      <c r="QGG4"/>
      <c r="QGH4"/>
      <c r="QGI4"/>
      <c r="QGJ4"/>
      <c r="QGK4"/>
      <c r="QGL4"/>
      <c r="QGM4"/>
      <c r="QGN4"/>
      <c r="QGO4"/>
      <c r="QGP4"/>
      <c r="QGQ4"/>
      <c r="QGR4"/>
      <c r="QGS4"/>
      <c r="QGT4"/>
      <c r="QGU4"/>
      <c r="QGV4"/>
      <c r="QGW4"/>
      <c r="QGX4"/>
      <c r="QGY4"/>
      <c r="QGZ4"/>
      <c r="QHA4"/>
      <c r="QHB4"/>
      <c r="QHC4"/>
      <c r="QHD4"/>
      <c r="QHE4"/>
      <c r="QHF4"/>
      <c r="QHG4"/>
      <c r="QHH4"/>
      <c r="QHI4"/>
      <c r="QHJ4"/>
      <c r="QHK4"/>
      <c r="QHL4"/>
      <c r="QHM4"/>
      <c r="QHN4"/>
      <c r="QHO4"/>
      <c r="QHP4"/>
      <c r="QHQ4"/>
      <c r="QHR4"/>
      <c r="QHS4"/>
      <c r="QHT4"/>
      <c r="QHU4"/>
      <c r="QHV4"/>
      <c r="QHW4"/>
      <c r="QHX4"/>
      <c r="QHY4"/>
      <c r="QHZ4"/>
      <c r="QIA4"/>
      <c r="QIB4"/>
      <c r="QIC4"/>
      <c r="QID4"/>
      <c r="QIE4"/>
      <c r="QIF4"/>
      <c r="QIG4"/>
      <c r="QIH4"/>
      <c r="QII4"/>
      <c r="QIJ4"/>
      <c r="QIK4"/>
      <c r="QIL4"/>
      <c r="QIM4"/>
      <c r="QIN4"/>
      <c r="QIO4"/>
      <c r="QIP4"/>
      <c r="QIQ4"/>
      <c r="QIR4"/>
      <c r="QIS4"/>
      <c r="QIT4"/>
      <c r="QIU4"/>
      <c r="QIV4"/>
      <c r="QIW4"/>
      <c r="QIX4"/>
      <c r="QIY4"/>
      <c r="QIZ4"/>
      <c r="QJA4"/>
      <c r="QJB4"/>
      <c r="QJC4"/>
      <c r="QJD4"/>
      <c r="QJE4"/>
      <c r="QJF4"/>
      <c r="QJG4"/>
      <c r="QJH4"/>
      <c r="QJI4"/>
      <c r="QJJ4"/>
      <c r="QJK4"/>
      <c r="QJL4"/>
      <c r="QJM4"/>
      <c r="QJN4"/>
      <c r="QJO4"/>
      <c r="QJP4"/>
      <c r="QJQ4"/>
      <c r="QJR4"/>
      <c r="QJS4"/>
      <c r="QJT4"/>
      <c r="QJU4"/>
      <c r="QJV4"/>
      <c r="QJW4"/>
      <c r="QJX4"/>
      <c r="QJY4"/>
      <c r="QJZ4"/>
      <c r="QKA4"/>
      <c r="QKB4"/>
      <c r="QKC4"/>
      <c r="QKD4"/>
      <c r="QKE4"/>
      <c r="QKF4"/>
      <c r="QKG4"/>
      <c r="QKH4"/>
      <c r="QKI4"/>
      <c r="QKJ4"/>
      <c r="QKK4"/>
      <c r="QKL4"/>
      <c r="QKM4"/>
      <c r="QKN4"/>
      <c r="QKO4"/>
      <c r="QKP4"/>
      <c r="QKQ4"/>
      <c r="QKR4"/>
      <c r="QKS4"/>
      <c r="QKT4"/>
      <c r="QKU4"/>
      <c r="QKV4"/>
      <c r="QKW4"/>
      <c r="QKX4"/>
      <c r="QKY4"/>
      <c r="QKZ4"/>
      <c r="QLA4"/>
      <c r="QLB4"/>
      <c r="QLC4"/>
      <c r="QLD4"/>
      <c r="QLE4"/>
      <c r="QLF4"/>
      <c r="QLG4"/>
      <c r="QLH4"/>
      <c r="QLI4"/>
      <c r="QLJ4"/>
      <c r="QLK4"/>
      <c r="QLL4"/>
      <c r="QLM4"/>
      <c r="QLN4"/>
      <c r="QLO4"/>
      <c r="QLP4"/>
      <c r="QLQ4"/>
      <c r="QLR4"/>
      <c r="QLS4"/>
      <c r="QLT4"/>
      <c r="QLU4"/>
      <c r="QLV4"/>
      <c r="QLW4"/>
      <c r="QLX4"/>
      <c r="QLY4"/>
      <c r="QLZ4"/>
      <c r="QMA4"/>
      <c r="QMB4"/>
      <c r="QMC4"/>
      <c r="QMD4"/>
      <c r="QME4"/>
      <c r="QMF4"/>
      <c r="QMG4"/>
      <c r="QMH4"/>
      <c r="QMI4"/>
      <c r="QMJ4"/>
      <c r="QMK4"/>
      <c r="QML4"/>
      <c r="QMM4"/>
      <c r="QMN4"/>
      <c r="QMO4"/>
      <c r="QMP4"/>
      <c r="QMQ4"/>
      <c r="QMR4"/>
      <c r="QMS4"/>
      <c r="QMT4"/>
      <c r="QMU4"/>
      <c r="QMV4"/>
      <c r="QMW4"/>
      <c r="QMX4"/>
      <c r="QMY4"/>
      <c r="QMZ4"/>
      <c r="QNA4"/>
      <c r="QNB4"/>
      <c r="QNC4"/>
      <c r="QND4"/>
      <c r="QNE4"/>
      <c r="QNF4"/>
      <c r="QNG4"/>
      <c r="QNH4"/>
      <c r="QNI4"/>
      <c r="QNJ4"/>
      <c r="QNK4"/>
      <c r="QNL4"/>
      <c r="QNM4"/>
      <c r="QNN4"/>
      <c r="QNO4"/>
      <c r="QNP4"/>
      <c r="QNQ4"/>
      <c r="QNR4"/>
      <c r="QNS4"/>
      <c r="QNT4"/>
      <c r="QNU4"/>
      <c r="QNV4"/>
      <c r="QNW4"/>
      <c r="QNX4"/>
      <c r="QNY4"/>
      <c r="QNZ4"/>
      <c r="QOA4"/>
      <c r="QOB4"/>
      <c r="QOC4"/>
      <c r="QOD4"/>
      <c r="QOE4"/>
      <c r="QOF4"/>
      <c r="QOG4"/>
      <c r="QOH4"/>
      <c r="QOI4"/>
      <c r="QOJ4"/>
      <c r="QOK4"/>
      <c r="QOL4"/>
      <c r="QOM4"/>
      <c r="QON4"/>
      <c r="QOO4"/>
      <c r="QOP4"/>
      <c r="QOQ4"/>
      <c r="QOR4"/>
      <c r="QOS4"/>
      <c r="QOT4"/>
      <c r="QOU4"/>
      <c r="QOV4"/>
      <c r="QOW4"/>
      <c r="QOX4"/>
      <c r="QOY4"/>
      <c r="QOZ4"/>
      <c r="QPA4"/>
      <c r="QPB4"/>
      <c r="QPC4"/>
      <c r="QPD4"/>
      <c r="QPE4"/>
      <c r="QPF4"/>
      <c r="QPG4"/>
      <c r="QPH4"/>
      <c r="QPI4"/>
      <c r="QPJ4"/>
      <c r="QPK4"/>
      <c r="QPL4"/>
      <c r="QPM4"/>
      <c r="QPN4"/>
      <c r="QPO4"/>
      <c r="QPP4"/>
      <c r="QPQ4"/>
      <c r="QPR4"/>
      <c r="QPS4"/>
      <c r="QPT4"/>
      <c r="QPU4"/>
      <c r="QPV4"/>
      <c r="QPW4"/>
      <c r="QPX4"/>
      <c r="QPY4"/>
      <c r="QPZ4"/>
      <c r="QQA4"/>
      <c r="QQB4"/>
      <c r="QQC4"/>
      <c r="QQD4"/>
      <c r="QQE4"/>
      <c r="QQF4"/>
      <c r="QQG4"/>
      <c r="QQH4"/>
      <c r="QQI4"/>
      <c r="QQJ4"/>
      <c r="QQK4"/>
      <c r="QQL4"/>
      <c r="QQM4"/>
      <c r="QQN4"/>
      <c r="QQO4"/>
      <c r="QQP4"/>
      <c r="QQQ4"/>
      <c r="QQR4"/>
      <c r="QQS4"/>
      <c r="QQT4"/>
      <c r="QQU4"/>
      <c r="QQV4"/>
      <c r="QQW4"/>
      <c r="QQX4"/>
      <c r="QQY4"/>
      <c r="QQZ4"/>
      <c r="QRA4"/>
      <c r="QRB4"/>
      <c r="QRC4"/>
      <c r="QRD4"/>
      <c r="QRE4"/>
      <c r="QRF4"/>
      <c r="QRG4"/>
      <c r="QRH4"/>
      <c r="QRI4"/>
      <c r="QRJ4"/>
      <c r="QRK4"/>
      <c r="QRL4"/>
      <c r="QRM4"/>
      <c r="QRN4"/>
      <c r="QRO4"/>
      <c r="QRP4"/>
      <c r="QRQ4"/>
      <c r="QRR4"/>
      <c r="QRS4"/>
      <c r="QRT4"/>
      <c r="QRU4"/>
      <c r="QRV4"/>
      <c r="QRW4"/>
      <c r="QRX4"/>
      <c r="QRY4"/>
      <c r="QRZ4"/>
      <c r="QSA4"/>
      <c r="QSB4"/>
      <c r="QSC4"/>
      <c r="QSD4"/>
      <c r="QSE4"/>
      <c r="QSF4"/>
      <c r="QSG4"/>
      <c r="QSH4"/>
      <c r="QSI4"/>
      <c r="QSJ4"/>
      <c r="QSK4"/>
      <c r="QSL4"/>
      <c r="QSM4"/>
      <c r="QSN4"/>
      <c r="QSO4"/>
      <c r="QSP4"/>
      <c r="QSQ4"/>
      <c r="QSR4"/>
      <c r="QSS4"/>
      <c r="QST4"/>
      <c r="QSU4"/>
      <c r="QSV4"/>
      <c r="QSW4"/>
      <c r="QSX4"/>
      <c r="QSY4"/>
      <c r="QSZ4"/>
      <c r="QTA4"/>
      <c r="QTB4"/>
      <c r="QTC4"/>
      <c r="QTD4"/>
      <c r="QTE4"/>
      <c r="QTF4"/>
      <c r="QTG4"/>
      <c r="QTH4"/>
      <c r="QTI4"/>
      <c r="QTJ4"/>
      <c r="QTK4"/>
      <c r="QTL4"/>
      <c r="QTM4"/>
      <c r="QTN4"/>
      <c r="QTO4"/>
      <c r="QTP4"/>
      <c r="QTQ4"/>
      <c r="QTR4"/>
      <c r="QTS4"/>
      <c r="QTT4"/>
      <c r="QTU4"/>
      <c r="QTV4"/>
      <c r="QTW4"/>
      <c r="QTX4"/>
      <c r="QTY4"/>
      <c r="QTZ4"/>
      <c r="QUA4"/>
      <c r="QUB4"/>
      <c r="QUC4"/>
      <c r="QUD4"/>
      <c r="QUE4"/>
      <c r="QUF4"/>
      <c r="QUG4"/>
      <c r="QUH4"/>
      <c r="QUI4"/>
      <c r="QUJ4"/>
      <c r="QUK4"/>
      <c r="QUL4"/>
      <c r="QUM4"/>
      <c r="QUN4"/>
      <c r="QUO4"/>
      <c r="QUP4"/>
      <c r="QUQ4"/>
      <c r="QUR4"/>
      <c r="QUS4"/>
      <c r="QUT4"/>
      <c r="QUU4"/>
      <c r="QUV4"/>
      <c r="QUW4"/>
      <c r="QUX4"/>
      <c r="QUY4"/>
      <c r="QUZ4"/>
      <c r="QVA4"/>
      <c r="QVB4"/>
      <c r="QVC4"/>
      <c r="QVD4"/>
      <c r="QVE4"/>
      <c r="QVF4"/>
      <c r="QVG4"/>
      <c r="QVH4"/>
      <c r="QVI4"/>
      <c r="QVJ4"/>
      <c r="QVK4"/>
      <c r="QVL4"/>
      <c r="QVM4"/>
      <c r="QVN4"/>
      <c r="QVO4"/>
      <c r="QVP4"/>
      <c r="QVQ4"/>
      <c r="QVR4"/>
      <c r="QVS4"/>
      <c r="QVT4"/>
      <c r="QVU4"/>
      <c r="QVV4"/>
      <c r="QVW4"/>
      <c r="QVX4"/>
      <c r="QVY4"/>
      <c r="QVZ4"/>
      <c r="QWA4"/>
      <c r="QWB4"/>
      <c r="QWC4"/>
      <c r="QWD4"/>
      <c r="QWE4"/>
      <c r="QWF4"/>
      <c r="QWG4"/>
      <c r="QWH4"/>
      <c r="QWI4"/>
      <c r="QWJ4"/>
      <c r="QWK4"/>
      <c r="QWL4"/>
      <c r="QWM4"/>
      <c r="QWN4"/>
      <c r="QWO4"/>
      <c r="QWP4"/>
      <c r="QWQ4"/>
      <c r="QWR4"/>
      <c r="QWS4"/>
      <c r="QWT4"/>
      <c r="QWU4"/>
      <c r="QWV4"/>
      <c r="QWW4"/>
      <c r="QWX4"/>
      <c r="QWY4"/>
      <c r="QWZ4"/>
      <c r="QXA4"/>
      <c r="QXB4"/>
      <c r="QXC4"/>
      <c r="QXD4"/>
      <c r="QXE4"/>
      <c r="QXF4"/>
      <c r="QXG4"/>
      <c r="QXH4"/>
      <c r="QXI4"/>
      <c r="QXJ4"/>
      <c r="QXK4"/>
      <c r="QXL4"/>
      <c r="QXM4"/>
      <c r="QXN4"/>
      <c r="QXO4"/>
      <c r="QXP4"/>
      <c r="QXQ4"/>
      <c r="QXR4"/>
      <c r="QXS4"/>
      <c r="QXT4"/>
      <c r="QXU4"/>
      <c r="QXV4"/>
      <c r="QXW4"/>
      <c r="QXX4"/>
      <c r="QXY4"/>
      <c r="QXZ4"/>
      <c r="QYA4"/>
      <c r="QYB4"/>
      <c r="QYC4"/>
      <c r="QYD4"/>
      <c r="QYE4"/>
      <c r="QYF4"/>
      <c r="QYG4"/>
      <c r="QYH4"/>
      <c r="QYI4"/>
      <c r="QYJ4"/>
      <c r="QYK4"/>
      <c r="QYL4"/>
      <c r="QYM4"/>
      <c r="QYN4"/>
      <c r="QYO4"/>
      <c r="QYP4"/>
      <c r="QYQ4"/>
      <c r="QYR4"/>
      <c r="QYS4"/>
      <c r="QYT4"/>
      <c r="QYU4"/>
      <c r="QYV4"/>
      <c r="QYW4"/>
      <c r="QYX4"/>
      <c r="QYY4"/>
      <c r="QYZ4"/>
      <c r="QZA4"/>
      <c r="QZB4"/>
      <c r="QZC4"/>
      <c r="QZD4"/>
      <c r="QZE4"/>
      <c r="QZF4"/>
      <c r="QZG4"/>
      <c r="QZH4"/>
      <c r="QZI4"/>
      <c r="QZJ4"/>
      <c r="QZK4"/>
      <c r="QZL4"/>
      <c r="QZM4"/>
      <c r="QZN4"/>
      <c r="QZO4"/>
      <c r="QZP4"/>
      <c r="QZQ4"/>
      <c r="QZR4"/>
      <c r="QZS4"/>
      <c r="QZT4"/>
      <c r="QZU4"/>
      <c r="QZV4"/>
      <c r="QZW4"/>
      <c r="QZX4"/>
      <c r="QZY4"/>
      <c r="QZZ4"/>
      <c r="RAA4"/>
      <c r="RAB4"/>
      <c r="RAC4"/>
      <c r="RAD4"/>
      <c r="RAE4"/>
      <c r="RAF4"/>
      <c r="RAG4"/>
      <c r="RAH4"/>
      <c r="RAI4"/>
      <c r="RAJ4"/>
      <c r="RAK4"/>
      <c r="RAL4"/>
      <c r="RAM4"/>
      <c r="RAN4"/>
      <c r="RAO4"/>
      <c r="RAP4"/>
      <c r="RAQ4"/>
      <c r="RAR4"/>
      <c r="RAS4"/>
      <c r="RAT4"/>
      <c r="RAU4"/>
      <c r="RAV4"/>
      <c r="RAW4"/>
      <c r="RAX4"/>
      <c r="RAY4"/>
      <c r="RAZ4"/>
      <c r="RBA4"/>
      <c r="RBB4"/>
      <c r="RBC4"/>
      <c r="RBD4"/>
      <c r="RBE4"/>
      <c r="RBF4"/>
      <c r="RBG4"/>
      <c r="RBH4"/>
      <c r="RBI4"/>
      <c r="RBJ4"/>
      <c r="RBK4"/>
      <c r="RBL4"/>
      <c r="RBM4"/>
      <c r="RBN4"/>
      <c r="RBO4"/>
      <c r="RBP4"/>
      <c r="RBQ4"/>
      <c r="RBR4"/>
      <c r="RBS4"/>
      <c r="RBT4"/>
      <c r="RBU4"/>
      <c r="RBV4"/>
      <c r="RBW4"/>
      <c r="RBX4"/>
      <c r="RBY4"/>
      <c r="RBZ4"/>
      <c r="RCA4"/>
      <c r="RCB4"/>
      <c r="RCC4"/>
      <c r="RCD4"/>
      <c r="RCE4"/>
      <c r="RCF4"/>
      <c r="RCG4"/>
      <c r="RCH4"/>
      <c r="RCI4"/>
      <c r="RCJ4"/>
      <c r="RCK4"/>
      <c r="RCL4"/>
      <c r="RCM4"/>
      <c r="RCN4"/>
      <c r="RCO4"/>
      <c r="RCP4"/>
      <c r="RCQ4"/>
      <c r="RCR4"/>
      <c r="RCS4"/>
      <c r="RCT4"/>
      <c r="RCU4"/>
      <c r="RCV4"/>
      <c r="RCW4"/>
      <c r="RCX4"/>
      <c r="RCY4"/>
      <c r="RCZ4"/>
      <c r="RDA4"/>
      <c r="RDB4"/>
      <c r="RDC4"/>
      <c r="RDD4"/>
      <c r="RDE4"/>
      <c r="RDF4"/>
      <c r="RDG4"/>
      <c r="RDH4"/>
      <c r="RDI4"/>
      <c r="RDJ4"/>
      <c r="RDK4"/>
      <c r="RDL4"/>
      <c r="RDM4"/>
      <c r="RDN4"/>
      <c r="RDO4"/>
      <c r="RDP4"/>
      <c r="RDQ4"/>
      <c r="RDR4"/>
      <c r="RDS4"/>
      <c r="RDT4"/>
      <c r="RDU4"/>
      <c r="RDV4"/>
      <c r="RDW4"/>
      <c r="RDX4"/>
      <c r="RDY4"/>
      <c r="RDZ4"/>
      <c r="REA4"/>
      <c r="REB4"/>
      <c r="REC4"/>
      <c r="RED4"/>
      <c r="REE4"/>
      <c r="REF4"/>
      <c r="REG4"/>
      <c r="REH4"/>
      <c r="REI4"/>
      <c r="REJ4"/>
      <c r="REK4"/>
      <c r="REL4"/>
      <c r="REM4"/>
      <c r="REN4"/>
      <c r="REO4"/>
      <c r="REP4"/>
      <c r="REQ4"/>
      <c r="RER4"/>
      <c r="RES4"/>
      <c r="RET4"/>
      <c r="REU4"/>
      <c r="REV4"/>
      <c r="REW4"/>
      <c r="REX4"/>
      <c r="REY4"/>
      <c r="REZ4"/>
      <c r="RFA4"/>
      <c r="RFB4"/>
      <c r="RFC4"/>
      <c r="RFD4"/>
      <c r="RFE4"/>
      <c r="RFF4"/>
      <c r="RFG4"/>
      <c r="RFH4"/>
      <c r="RFI4"/>
      <c r="RFJ4"/>
      <c r="RFK4"/>
      <c r="RFL4"/>
      <c r="RFM4"/>
      <c r="RFN4"/>
      <c r="RFO4"/>
      <c r="RFP4"/>
      <c r="RFQ4"/>
      <c r="RFR4"/>
      <c r="RFS4"/>
      <c r="RFT4"/>
      <c r="RFU4"/>
      <c r="RFV4"/>
      <c r="RFW4"/>
      <c r="RFX4"/>
      <c r="RFY4"/>
      <c r="RFZ4"/>
      <c r="RGA4"/>
      <c r="RGB4"/>
      <c r="RGC4"/>
      <c r="RGD4"/>
      <c r="RGE4"/>
      <c r="RGF4"/>
      <c r="RGG4"/>
      <c r="RGH4"/>
      <c r="RGI4"/>
      <c r="RGJ4"/>
      <c r="RGK4"/>
      <c r="RGL4"/>
      <c r="RGM4"/>
      <c r="RGN4"/>
      <c r="RGO4"/>
      <c r="RGP4"/>
      <c r="RGQ4"/>
      <c r="RGR4"/>
      <c r="RGS4"/>
      <c r="RGT4"/>
      <c r="RGU4"/>
      <c r="RGV4"/>
      <c r="RGW4"/>
      <c r="RGX4"/>
      <c r="RGY4"/>
      <c r="RGZ4"/>
      <c r="RHA4"/>
      <c r="RHB4"/>
      <c r="RHC4"/>
      <c r="RHD4"/>
      <c r="RHE4"/>
      <c r="RHF4"/>
      <c r="RHG4"/>
      <c r="RHH4"/>
      <c r="RHI4"/>
      <c r="RHJ4"/>
      <c r="RHK4"/>
      <c r="RHL4"/>
      <c r="RHM4"/>
      <c r="RHN4"/>
      <c r="RHO4"/>
      <c r="RHP4"/>
      <c r="RHQ4"/>
      <c r="RHR4"/>
      <c r="RHS4"/>
      <c r="RHT4"/>
      <c r="RHU4"/>
      <c r="RHV4"/>
      <c r="RHW4"/>
      <c r="RHX4"/>
      <c r="RHY4"/>
      <c r="RHZ4"/>
      <c r="RIA4"/>
      <c r="RIB4"/>
      <c r="RIC4"/>
      <c r="RID4"/>
      <c r="RIE4"/>
      <c r="RIF4"/>
      <c r="RIG4"/>
      <c r="RIH4"/>
      <c r="RII4"/>
      <c r="RIJ4"/>
      <c r="RIK4"/>
      <c r="RIL4"/>
      <c r="RIM4"/>
      <c r="RIN4"/>
      <c r="RIO4"/>
      <c r="RIP4"/>
      <c r="RIQ4"/>
      <c r="RIR4"/>
      <c r="RIS4"/>
      <c r="RIT4"/>
      <c r="RIU4"/>
      <c r="RIV4"/>
      <c r="RIW4"/>
      <c r="RIX4"/>
      <c r="RIY4"/>
      <c r="RIZ4"/>
      <c r="RJA4"/>
      <c r="RJB4"/>
      <c r="RJC4"/>
      <c r="RJD4"/>
      <c r="RJE4"/>
      <c r="RJF4"/>
      <c r="RJG4"/>
      <c r="RJH4"/>
      <c r="RJI4"/>
      <c r="RJJ4"/>
      <c r="RJK4"/>
      <c r="RJL4"/>
      <c r="RJM4"/>
      <c r="RJN4"/>
      <c r="RJO4"/>
      <c r="RJP4"/>
      <c r="RJQ4"/>
      <c r="RJR4"/>
      <c r="RJS4"/>
      <c r="RJT4"/>
      <c r="RJU4"/>
      <c r="RJV4"/>
      <c r="RJW4"/>
      <c r="RJX4"/>
      <c r="RJY4"/>
      <c r="RJZ4"/>
      <c r="RKA4"/>
      <c r="RKB4"/>
      <c r="RKC4"/>
      <c r="RKD4"/>
      <c r="RKE4"/>
      <c r="RKF4"/>
      <c r="RKG4"/>
      <c r="RKH4"/>
      <c r="RKI4"/>
      <c r="RKJ4"/>
      <c r="RKK4"/>
      <c r="RKL4"/>
      <c r="RKM4"/>
      <c r="RKN4"/>
      <c r="RKO4"/>
      <c r="RKP4"/>
      <c r="RKQ4"/>
      <c r="RKR4"/>
      <c r="RKS4"/>
      <c r="RKT4"/>
      <c r="RKU4"/>
      <c r="RKV4"/>
      <c r="RKW4"/>
      <c r="RKX4"/>
      <c r="RKY4"/>
      <c r="RKZ4"/>
      <c r="RLA4"/>
      <c r="RLB4"/>
      <c r="RLC4"/>
      <c r="RLD4"/>
      <c r="RLE4"/>
      <c r="RLF4"/>
      <c r="RLG4"/>
      <c r="RLH4"/>
      <c r="RLI4"/>
      <c r="RLJ4"/>
      <c r="RLK4"/>
      <c r="RLL4"/>
      <c r="RLM4"/>
      <c r="RLN4"/>
      <c r="RLO4"/>
      <c r="RLP4"/>
      <c r="RLQ4"/>
      <c r="RLR4"/>
      <c r="RLS4"/>
      <c r="RLT4"/>
      <c r="RLU4"/>
      <c r="RLV4"/>
      <c r="RLW4"/>
      <c r="RLX4"/>
      <c r="RLY4"/>
      <c r="RLZ4"/>
      <c r="RMA4"/>
      <c r="RMB4"/>
      <c r="RMC4"/>
      <c r="RMD4"/>
      <c r="RME4"/>
      <c r="RMF4"/>
      <c r="RMG4"/>
      <c r="RMH4"/>
      <c r="RMI4"/>
      <c r="RMJ4"/>
      <c r="RMK4"/>
      <c r="RML4"/>
      <c r="RMM4"/>
      <c r="RMN4"/>
      <c r="RMO4"/>
      <c r="RMP4"/>
      <c r="RMQ4"/>
      <c r="RMR4"/>
      <c r="RMS4"/>
      <c r="RMT4"/>
      <c r="RMU4"/>
      <c r="RMV4"/>
      <c r="RMW4"/>
      <c r="RMX4"/>
      <c r="RMY4"/>
      <c r="RMZ4"/>
      <c r="RNA4"/>
      <c r="RNB4"/>
      <c r="RNC4"/>
      <c r="RND4"/>
      <c r="RNE4"/>
      <c r="RNF4"/>
      <c r="RNG4"/>
      <c r="RNH4"/>
      <c r="RNI4"/>
      <c r="RNJ4"/>
      <c r="RNK4"/>
      <c r="RNL4"/>
      <c r="RNM4"/>
      <c r="RNN4"/>
      <c r="RNO4"/>
      <c r="RNP4"/>
      <c r="RNQ4"/>
      <c r="RNR4"/>
      <c r="RNS4"/>
      <c r="RNT4"/>
      <c r="RNU4"/>
      <c r="RNV4"/>
      <c r="RNW4"/>
      <c r="RNX4"/>
      <c r="RNY4"/>
      <c r="RNZ4"/>
      <c r="ROA4"/>
      <c r="ROB4"/>
      <c r="ROC4"/>
      <c r="ROD4"/>
      <c r="ROE4"/>
      <c r="ROF4"/>
      <c r="ROG4"/>
      <c r="ROH4"/>
      <c r="ROI4"/>
      <c r="ROJ4"/>
      <c r="ROK4"/>
      <c r="ROL4"/>
      <c r="ROM4"/>
      <c r="RON4"/>
      <c r="ROO4"/>
      <c r="ROP4"/>
      <c r="ROQ4"/>
      <c r="ROR4"/>
      <c r="ROS4"/>
      <c r="ROT4"/>
      <c r="ROU4"/>
      <c r="ROV4"/>
      <c r="ROW4"/>
      <c r="ROX4"/>
      <c r="ROY4"/>
      <c r="ROZ4"/>
      <c r="RPA4"/>
      <c r="RPB4"/>
      <c r="RPC4"/>
      <c r="RPD4"/>
      <c r="RPE4"/>
      <c r="RPF4"/>
      <c r="RPG4"/>
      <c r="RPH4"/>
      <c r="RPI4"/>
      <c r="RPJ4"/>
      <c r="RPK4"/>
      <c r="RPL4"/>
      <c r="RPM4"/>
      <c r="RPN4"/>
      <c r="RPO4"/>
      <c r="RPP4"/>
      <c r="RPQ4"/>
      <c r="RPR4"/>
      <c r="RPS4"/>
      <c r="RPT4"/>
      <c r="RPU4"/>
      <c r="RPV4"/>
      <c r="RPW4"/>
      <c r="RPX4"/>
      <c r="RPY4"/>
      <c r="RPZ4"/>
      <c r="RQA4"/>
      <c r="RQB4"/>
      <c r="RQC4"/>
      <c r="RQD4"/>
      <c r="RQE4"/>
      <c r="RQF4"/>
      <c r="RQG4"/>
      <c r="RQH4"/>
      <c r="RQI4"/>
      <c r="RQJ4"/>
      <c r="RQK4"/>
      <c r="RQL4"/>
      <c r="RQM4"/>
      <c r="RQN4"/>
      <c r="RQO4"/>
      <c r="RQP4"/>
      <c r="RQQ4"/>
      <c r="RQR4"/>
      <c r="RQS4"/>
      <c r="RQT4"/>
      <c r="RQU4"/>
      <c r="RQV4"/>
      <c r="RQW4"/>
      <c r="RQX4"/>
      <c r="RQY4"/>
      <c r="RQZ4"/>
      <c r="RRA4"/>
      <c r="RRB4"/>
      <c r="RRC4"/>
      <c r="RRD4"/>
      <c r="RRE4"/>
      <c r="RRF4"/>
      <c r="RRG4"/>
      <c r="RRH4"/>
      <c r="RRI4"/>
      <c r="RRJ4"/>
      <c r="RRK4"/>
      <c r="RRL4"/>
      <c r="RRM4"/>
      <c r="RRN4"/>
      <c r="RRO4"/>
      <c r="RRP4"/>
      <c r="RRQ4"/>
      <c r="RRR4"/>
      <c r="RRS4"/>
      <c r="RRT4"/>
      <c r="RRU4"/>
      <c r="RRV4"/>
      <c r="RRW4"/>
      <c r="RRX4"/>
      <c r="RRY4"/>
      <c r="RRZ4"/>
      <c r="RSA4"/>
      <c r="RSB4"/>
      <c r="RSC4"/>
      <c r="RSD4"/>
      <c r="RSE4"/>
      <c r="RSF4"/>
      <c r="RSG4"/>
      <c r="RSH4"/>
      <c r="RSI4"/>
      <c r="RSJ4"/>
      <c r="RSK4"/>
      <c r="RSL4"/>
      <c r="RSM4"/>
      <c r="RSN4"/>
      <c r="RSO4"/>
      <c r="RSP4"/>
      <c r="RSQ4"/>
      <c r="RSR4"/>
      <c r="RSS4"/>
      <c r="RST4"/>
      <c r="RSU4"/>
      <c r="RSV4"/>
      <c r="RSW4"/>
      <c r="RSX4"/>
      <c r="RSY4"/>
      <c r="RSZ4"/>
      <c r="RTA4"/>
      <c r="RTB4"/>
      <c r="RTC4"/>
      <c r="RTD4"/>
      <c r="RTE4"/>
      <c r="RTF4"/>
      <c r="RTG4"/>
      <c r="RTH4"/>
      <c r="RTI4"/>
      <c r="RTJ4"/>
      <c r="RTK4"/>
      <c r="RTL4"/>
      <c r="RTM4"/>
      <c r="RTN4"/>
      <c r="RTO4"/>
      <c r="RTP4"/>
      <c r="RTQ4"/>
      <c r="RTR4"/>
      <c r="RTS4"/>
      <c r="RTT4"/>
      <c r="RTU4"/>
      <c r="RTV4"/>
      <c r="RTW4"/>
      <c r="RTX4"/>
      <c r="RTY4"/>
      <c r="RTZ4"/>
      <c r="RUA4"/>
      <c r="RUB4"/>
      <c r="RUC4"/>
      <c r="RUD4"/>
      <c r="RUE4"/>
      <c r="RUF4"/>
      <c r="RUG4"/>
      <c r="RUH4"/>
      <c r="RUI4"/>
      <c r="RUJ4"/>
      <c r="RUK4"/>
      <c r="RUL4"/>
      <c r="RUM4"/>
      <c r="RUN4"/>
      <c r="RUO4"/>
      <c r="RUP4"/>
      <c r="RUQ4"/>
      <c r="RUR4"/>
      <c r="RUS4"/>
      <c r="RUT4"/>
      <c r="RUU4"/>
      <c r="RUV4"/>
      <c r="RUW4"/>
      <c r="RUX4"/>
      <c r="RUY4"/>
      <c r="RUZ4"/>
      <c r="RVA4"/>
      <c r="RVB4"/>
      <c r="RVC4"/>
      <c r="RVD4"/>
      <c r="RVE4"/>
      <c r="RVF4"/>
      <c r="RVG4"/>
      <c r="RVH4"/>
      <c r="RVI4"/>
      <c r="RVJ4"/>
      <c r="RVK4"/>
      <c r="RVL4"/>
      <c r="RVM4"/>
      <c r="RVN4"/>
      <c r="RVO4"/>
      <c r="RVP4"/>
      <c r="RVQ4"/>
      <c r="RVR4"/>
      <c r="RVS4"/>
      <c r="RVT4"/>
      <c r="RVU4"/>
      <c r="RVV4"/>
      <c r="RVW4"/>
      <c r="RVX4"/>
      <c r="RVY4"/>
      <c r="RVZ4"/>
      <c r="RWA4"/>
      <c r="RWB4"/>
      <c r="RWC4"/>
      <c r="RWD4"/>
      <c r="RWE4"/>
      <c r="RWF4"/>
      <c r="RWG4"/>
      <c r="RWH4"/>
      <c r="RWI4"/>
      <c r="RWJ4"/>
      <c r="RWK4"/>
      <c r="RWL4"/>
      <c r="RWM4"/>
      <c r="RWN4"/>
      <c r="RWO4"/>
      <c r="RWP4"/>
      <c r="RWQ4"/>
      <c r="RWR4"/>
      <c r="RWS4"/>
      <c r="RWT4"/>
      <c r="RWU4"/>
      <c r="RWV4"/>
      <c r="RWW4"/>
      <c r="RWX4"/>
      <c r="RWY4"/>
      <c r="RWZ4"/>
      <c r="RXA4"/>
      <c r="RXB4"/>
      <c r="RXC4"/>
      <c r="RXD4"/>
      <c r="RXE4"/>
      <c r="RXF4"/>
      <c r="RXG4"/>
      <c r="RXH4"/>
      <c r="RXI4"/>
      <c r="RXJ4"/>
      <c r="RXK4"/>
      <c r="RXL4"/>
      <c r="RXM4"/>
      <c r="RXN4"/>
      <c r="RXO4"/>
      <c r="RXP4"/>
      <c r="RXQ4"/>
      <c r="RXR4"/>
      <c r="RXS4"/>
      <c r="RXT4"/>
      <c r="RXU4"/>
      <c r="RXV4"/>
      <c r="RXW4"/>
      <c r="RXX4"/>
      <c r="RXY4"/>
      <c r="RXZ4"/>
      <c r="RYA4"/>
      <c r="RYB4"/>
      <c r="RYC4"/>
      <c r="RYD4"/>
      <c r="RYE4"/>
      <c r="RYF4"/>
      <c r="RYG4"/>
      <c r="RYH4"/>
      <c r="RYI4"/>
      <c r="RYJ4"/>
      <c r="RYK4"/>
      <c r="RYL4"/>
      <c r="RYM4"/>
      <c r="RYN4"/>
      <c r="RYO4"/>
      <c r="RYP4"/>
      <c r="RYQ4"/>
      <c r="RYR4"/>
      <c r="RYS4"/>
      <c r="RYT4"/>
      <c r="RYU4"/>
      <c r="RYV4"/>
      <c r="RYW4"/>
      <c r="RYX4"/>
      <c r="RYY4"/>
      <c r="RYZ4"/>
      <c r="RZA4"/>
      <c r="RZB4"/>
      <c r="RZC4"/>
      <c r="RZD4"/>
      <c r="RZE4"/>
      <c r="RZF4"/>
      <c r="RZG4"/>
      <c r="RZH4"/>
      <c r="RZI4"/>
      <c r="RZJ4"/>
      <c r="RZK4"/>
      <c r="RZL4"/>
      <c r="RZM4"/>
      <c r="RZN4"/>
      <c r="RZO4"/>
      <c r="RZP4"/>
      <c r="RZQ4"/>
      <c r="RZR4"/>
      <c r="RZS4"/>
      <c r="RZT4"/>
      <c r="RZU4"/>
      <c r="RZV4"/>
      <c r="RZW4"/>
      <c r="RZX4"/>
      <c r="RZY4"/>
      <c r="RZZ4"/>
      <c r="SAA4"/>
      <c r="SAB4"/>
      <c r="SAC4"/>
      <c r="SAD4"/>
      <c r="SAE4"/>
      <c r="SAF4"/>
      <c r="SAG4"/>
      <c r="SAH4"/>
      <c r="SAI4"/>
      <c r="SAJ4"/>
      <c r="SAK4"/>
      <c r="SAL4"/>
      <c r="SAM4"/>
      <c r="SAN4"/>
      <c r="SAO4"/>
      <c r="SAP4"/>
      <c r="SAQ4"/>
      <c r="SAR4"/>
      <c r="SAS4"/>
      <c r="SAT4"/>
      <c r="SAU4"/>
      <c r="SAV4"/>
      <c r="SAW4"/>
      <c r="SAX4"/>
      <c r="SAY4"/>
      <c r="SAZ4"/>
      <c r="SBA4"/>
      <c r="SBB4"/>
      <c r="SBC4"/>
      <c r="SBD4"/>
      <c r="SBE4"/>
      <c r="SBF4"/>
      <c r="SBG4"/>
      <c r="SBH4"/>
      <c r="SBI4"/>
      <c r="SBJ4"/>
      <c r="SBK4"/>
      <c r="SBL4"/>
      <c r="SBM4"/>
      <c r="SBN4"/>
      <c r="SBO4"/>
      <c r="SBP4"/>
      <c r="SBQ4"/>
      <c r="SBR4"/>
      <c r="SBS4"/>
      <c r="SBT4"/>
      <c r="SBU4"/>
      <c r="SBV4"/>
      <c r="SBW4"/>
      <c r="SBX4"/>
      <c r="SBY4"/>
      <c r="SBZ4"/>
      <c r="SCA4"/>
      <c r="SCB4"/>
      <c r="SCC4"/>
      <c r="SCD4"/>
      <c r="SCE4"/>
      <c r="SCF4"/>
      <c r="SCG4"/>
      <c r="SCH4"/>
      <c r="SCI4"/>
      <c r="SCJ4"/>
      <c r="SCK4"/>
      <c r="SCL4"/>
      <c r="SCM4"/>
      <c r="SCN4"/>
      <c r="SCO4"/>
      <c r="SCP4"/>
      <c r="SCQ4"/>
      <c r="SCR4"/>
      <c r="SCS4"/>
      <c r="SCT4"/>
      <c r="SCU4"/>
      <c r="SCV4"/>
      <c r="SCW4"/>
      <c r="SCX4"/>
      <c r="SCY4"/>
      <c r="SCZ4"/>
      <c r="SDA4"/>
      <c r="SDB4"/>
      <c r="SDC4"/>
      <c r="SDD4"/>
      <c r="SDE4"/>
      <c r="SDF4"/>
      <c r="SDG4"/>
      <c r="SDH4"/>
      <c r="SDI4"/>
      <c r="SDJ4"/>
      <c r="SDK4"/>
      <c r="SDL4"/>
      <c r="SDM4"/>
      <c r="SDN4"/>
      <c r="SDO4"/>
      <c r="SDP4"/>
      <c r="SDQ4"/>
      <c r="SDR4"/>
      <c r="SDS4"/>
      <c r="SDT4"/>
      <c r="SDU4"/>
      <c r="SDV4"/>
      <c r="SDW4"/>
      <c r="SDX4"/>
      <c r="SDY4"/>
      <c r="SDZ4"/>
      <c r="SEA4"/>
      <c r="SEB4"/>
      <c r="SEC4"/>
      <c r="SED4"/>
      <c r="SEE4"/>
      <c r="SEF4"/>
      <c r="SEG4"/>
      <c r="SEH4"/>
      <c r="SEI4"/>
      <c r="SEJ4"/>
      <c r="SEK4"/>
      <c r="SEL4"/>
      <c r="SEM4"/>
      <c r="SEN4"/>
      <c r="SEO4"/>
      <c r="SEP4"/>
      <c r="SEQ4"/>
      <c r="SER4"/>
      <c r="SES4"/>
      <c r="SET4"/>
      <c r="SEU4"/>
      <c r="SEV4"/>
      <c r="SEW4"/>
      <c r="SEX4"/>
      <c r="SEY4"/>
      <c r="SEZ4"/>
      <c r="SFA4"/>
      <c r="SFB4"/>
      <c r="SFC4"/>
      <c r="SFD4"/>
      <c r="SFE4"/>
      <c r="SFF4"/>
      <c r="SFG4"/>
      <c r="SFH4"/>
      <c r="SFI4"/>
      <c r="SFJ4"/>
      <c r="SFK4"/>
      <c r="SFL4"/>
      <c r="SFM4"/>
      <c r="SFN4"/>
      <c r="SFO4"/>
      <c r="SFP4"/>
      <c r="SFQ4"/>
      <c r="SFR4"/>
      <c r="SFS4"/>
      <c r="SFT4"/>
      <c r="SFU4"/>
      <c r="SFV4"/>
      <c r="SFW4"/>
      <c r="SFX4"/>
      <c r="SFY4"/>
      <c r="SFZ4"/>
      <c r="SGA4"/>
      <c r="SGB4"/>
      <c r="SGC4"/>
      <c r="SGD4"/>
      <c r="SGE4"/>
      <c r="SGF4"/>
      <c r="SGG4"/>
      <c r="SGH4"/>
      <c r="SGI4"/>
      <c r="SGJ4"/>
      <c r="SGK4"/>
      <c r="SGL4"/>
      <c r="SGM4"/>
      <c r="SGN4"/>
      <c r="SGO4"/>
      <c r="SGP4"/>
      <c r="SGQ4"/>
      <c r="SGR4"/>
      <c r="SGS4"/>
      <c r="SGT4"/>
      <c r="SGU4"/>
      <c r="SGV4"/>
      <c r="SGW4"/>
      <c r="SGX4"/>
      <c r="SGY4"/>
      <c r="SGZ4"/>
      <c r="SHA4"/>
      <c r="SHB4"/>
      <c r="SHC4"/>
      <c r="SHD4"/>
      <c r="SHE4"/>
      <c r="SHF4"/>
      <c r="SHG4"/>
      <c r="SHH4"/>
      <c r="SHI4"/>
      <c r="SHJ4"/>
      <c r="SHK4"/>
      <c r="SHL4"/>
      <c r="SHM4"/>
      <c r="SHN4"/>
      <c r="SHO4"/>
      <c r="SHP4"/>
      <c r="SHQ4"/>
      <c r="SHR4"/>
      <c r="SHS4"/>
      <c r="SHT4"/>
      <c r="SHU4"/>
      <c r="SHV4"/>
      <c r="SHW4"/>
      <c r="SHX4"/>
      <c r="SHY4"/>
      <c r="SHZ4"/>
      <c r="SIA4"/>
      <c r="SIB4"/>
      <c r="SIC4"/>
      <c r="SID4"/>
      <c r="SIE4"/>
      <c r="SIF4"/>
      <c r="SIG4"/>
      <c r="SIH4"/>
      <c r="SII4"/>
      <c r="SIJ4"/>
      <c r="SIK4"/>
      <c r="SIL4"/>
      <c r="SIM4"/>
      <c r="SIN4"/>
      <c r="SIO4"/>
      <c r="SIP4"/>
      <c r="SIQ4"/>
      <c r="SIR4"/>
      <c r="SIS4"/>
      <c r="SIT4"/>
      <c r="SIU4"/>
      <c r="SIV4"/>
      <c r="SIW4"/>
      <c r="SIX4"/>
      <c r="SIY4"/>
      <c r="SIZ4"/>
      <c r="SJA4"/>
      <c r="SJB4"/>
      <c r="SJC4"/>
      <c r="SJD4"/>
      <c r="SJE4"/>
      <c r="SJF4"/>
      <c r="SJG4"/>
      <c r="SJH4"/>
      <c r="SJI4"/>
      <c r="SJJ4"/>
      <c r="SJK4"/>
      <c r="SJL4"/>
      <c r="SJM4"/>
      <c r="SJN4"/>
      <c r="SJO4"/>
      <c r="SJP4"/>
      <c r="SJQ4"/>
      <c r="SJR4"/>
      <c r="SJS4"/>
      <c r="SJT4"/>
      <c r="SJU4"/>
      <c r="SJV4"/>
      <c r="SJW4"/>
      <c r="SJX4"/>
      <c r="SJY4"/>
      <c r="SJZ4"/>
      <c r="SKA4"/>
      <c r="SKB4"/>
      <c r="SKC4"/>
      <c r="SKD4"/>
      <c r="SKE4"/>
      <c r="SKF4"/>
      <c r="SKG4"/>
      <c r="SKH4"/>
      <c r="SKI4"/>
      <c r="SKJ4"/>
      <c r="SKK4"/>
      <c r="SKL4"/>
      <c r="SKM4"/>
      <c r="SKN4"/>
      <c r="SKO4"/>
      <c r="SKP4"/>
      <c r="SKQ4"/>
      <c r="SKR4"/>
      <c r="SKS4"/>
      <c r="SKT4"/>
      <c r="SKU4"/>
      <c r="SKV4"/>
      <c r="SKW4"/>
      <c r="SKX4"/>
      <c r="SKY4"/>
      <c r="SKZ4"/>
      <c r="SLA4"/>
      <c r="SLB4"/>
      <c r="SLC4"/>
      <c r="SLD4"/>
      <c r="SLE4"/>
      <c r="SLF4"/>
      <c r="SLG4"/>
      <c r="SLH4"/>
      <c r="SLI4"/>
      <c r="SLJ4"/>
      <c r="SLK4"/>
      <c r="SLL4"/>
      <c r="SLM4"/>
      <c r="SLN4"/>
      <c r="SLO4"/>
      <c r="SLP4"/>
      <c r="SLQ4"/>
      <c r="SLR4"/>
      <c r="SLS4"/>
      <c r="SLT4"/>
      <c r="SLU4"/>
      <c r="SLV4"/>
      <c r="SLW4"/>
      <c r="SLX4"/>
      <c r="SLY4"/>
      <c r="SLZ4"/>
      <c r="SMA4"/>
      <c r="SMB4"/>
      <c r="SMC4"/>
      <c r="SMD4"/>
      <c r="SME4"/>
      <c r="SMF4"/>
      <c r="SMG4"/>
      <c r="SMH4"/>
      <c r="SMI4"/>
      <c r="SMJ4"/>
      <c r="SMK4"/>
      <c r="SML4"/>
      <c r="SMM4"/>
      <c r="SMN4"/>
      <c r="SMO4"/>
      <c r="SMP4"/>
      <c r="SMQ4"/>
      <c r="SMR4"/>
      <c r="SMS4"/>
      <c r="SMT4"/>
      <c r="SMU4"/>
      <c r="SMV4"/>
      <c r="SMW4"/>
      <c r="SMX4"/>
      <c r="SMY4"/>
      <c r="SMZ4"/>
      <c r="SNA4"/>
      <c r="SNB4"/>
      <c r="SNC4"/>
      <c r="SND4"/>
      <c r="SNE4"/>
      <c r="SNF4"/>
      <c r="SNG4"/>
      <c r="SNH4"/>
      <c r="SNI4"/>
      <c r="SNJ4"/>
      <c r="SNK4"/>
      <c r="SNL4"/>
      <c r="SNM4"/>
      <c r="SNN4"/>
      <c r="SNO4"/>
      <c r="SNP4"/>
      <c r="SNQ4"/>
      <c r="SNR4"/>
      <c r="SNS4"/>
      <c r="SNT4"/>
      <c r="SNU4"/>
      <c r="SNV4"/>
      <c r="SNW4"/>
      <c r="SNX4"/>
      <c r="SNY4"/>
      <c r="SNZ4"/>
      <c r="SOA4"/>
      <c r="SOB4"/>
      <c r="SOC4"/>
      <c r="SOD4"/>
      <c r="SOE4"/>
      <c r="SOF4"/>
      <c r="SOG4"/>
      <c r="SOH4"/>
      <c r="SOI4"/>
      <c r="SOJ4"/>
      <c r="SOK4"/>
      <c r="SOL4"/>
      <c r="SOM4"/>
      <c r="SON4"/>
      <c r="SOO4"/>
      <c r="SOP4"/>
      <c r="SOQ4"/>
      <c r="SOR4"/>
      <c r="SOS4"/>
      <c r="SOT4"/>
      <c r="SOU4"/>
      <c r="SOV4"/>
      <c r="SOW4"/>
      <c r="SOX4"/>
      <c r="SOY4"/>
      <c r="SOZ4"/>
      <c r="SPA4"/>
      <c r="SPB4"/>
      <c r="SPC4"/>
      <c r="SPD4"/>
      <c r="SPE4"/>
      <c r="SPF4"/>
      <c r="SPG4"/>
      <c r="SPH4"/>
      <c r="SPI4"/>
      <c r="SPJ4"/>
      <c r="SPK4"/>
      <c r="SPL4"/>
      <c r="SPM4"/>
      <c r="SPN4"/>
      <c r="SPO4"/>
      <c r="SPP4"/>
      <c r="SPQ4"/>
      <c r="SPR4"/>
      <c r="SPS4"/>
      <c r="SPT4"/>
      <c r="SPU4"/>
      <c r="SPV4"/>
      <c r="SPW4"/>
      <c r="SPX4"/>
      <c r="SPY4"/>
      <c r="SPZ4"/>
      <c r="SQA4"/>
      <c r="SQB4"/>
      <c r="SQC4"/>
      <c r="SQD4"/>
      <c r="SQE4"/>
      <c r="SQF4"/>
      <c r="SQG4"/>
      <c r="SQH4"/>
      <c r="SQI4"/>
      <c r="SQJ4"/>
      <c r="SQK4"/>
      <c r="SQL4"/>
      <c r="SQM4"/>
      <c r="SQN4"/>
      <c r="SQO4"/>
      <c r="SQP4"/>
      <c r="SQQ4"/>
      <c r="SQR4"/>
      <c r="SQS4"/>
      <c r="SQT4"/>
      <c r="SQU4"/>
      <c r="SQV4"/>
      <c r="SQW4"/>
      <c r="SQX4"/>
      <c r="SQY4"/>
      <c r="SQZ4"/>
      <c r="SRA4"/>
      <c r="SRB4"/>
      <c r="SRC4"/>
      <c r="SRD4"/>
      <c r="SRE4"/>
      <c r="SRF4"/>
      <c r="SRG4"/>
      <c r="SRH4"/>
      <c r="SRI4"/>
      <c r="SRJ4"/>
      <c r="SRK4"/>
      <c r="SRL4"/>
      <c r="SRM4"/>
      <c r="SRN4"/>
      <c r="SRO4"/>
      <c r="SRP4"/>
      <c r="SRQ4"/>
      <c r="SRR4"/>
      <c r="SRS4"/>
      <c r="SRT4"/>
      <c r="SRU4"/>
      <c r="SRV4"/>
      <c r="SRW4"/>
      <c r="SRX4"/>
      <c r="SRY4"/>
      <c r="SRZ4"/>
      <c r="SSA4"/>
      <c r="SSB4"/>
      <c r="SSC4"/>
      <c r="SSD4"/>
      <c r="SSE4"/>
      <c r="SSF4"/>
      <c r="SSG4"/>
      <c r="SSH4"/>
      <c r="SSI4"/>
      <c r="SSJ4"/>
      <c r="SSK4"/>
      <c r="SSL4"/>
      <c r="SSM4"/>
      <c r="SSN4"/>
      <c r="SSO4"/>
      <c r="SSP4"/>
      <c r="SSQ4"/>
      <c r="SSR4"/>
      <c r="SSS4"/>
      <c r="SST4"/>
      <c r="SSU4"/>
      <c r="SSV4"/>
      <c r="SSW4"/>
      <c r="SSX4"/>
      <c r="SSY4"/>
      <c r="SSZ4"/>
      <c r="STA4"/>
      <c r="STB4"/>
      <c r="STC4"/>
      <c r="STD4"/>
      <c r="STE4"/>
      <c r="STF4"/>
      <c r="STG4"/>
      <c r="STH4"/>
      <c r="STI4"/>
      <c r="STJ4"/>
      <c r="STK4"/>
      <c r="STL4"/>
      <c r="STM4"/>
      <c r="STN4"/>
      <c r="STO4"/>
      <c r="STP4"/>
      <c r="STQ4"/>
      <c r="STR4"/>
      <c r="STS4"/>
      <c r="STT4"/>
      <c r="STU4"/>
      <c r="STV4"/>
      <c r="STW4"/>
      <c r="STX4"/>
      <c r="STY4"/>
      <c r="STZ4"/>
      <c r="SUA4"/>
      <c r="SUB4"/>
      <c r="SUC4"/>
      <c r="SUD4"/>
      <c r="SUE4"/>
      <c r="SUF4"/>
      <c r="SUG4"/>
      <c r="SUH4"/>
      <c r="SUI4"/>
      <c r="SUJ4"/>
      <c r="SUK4"/>
      <c r="SUL4"/>
      <c r="SUM4"/>
      <c r="SUN4"/>
      <c r="SUO4"/>
      <c r="SUP4"/>
      <c r="SUQ4"/>
      <c r="SUR4"/>
      <c r="SUS4"/>
      <c r="SUT4"/>
      <c r="SUU4"/>
      <c r="SUV4"/>
      <c r="SUW4"/>
      <c r="SUX4"/>
      <c r="SUY4"/>
      <c r="SUZ4"/>
      <c r="SVA4"/>
      <c r="SVB4"/>
      <c r="SVC4"/>
      <c r="SVD4"/>
      <c r="SVE4"/>
      <c r="SVF4"/>
      <c r="SVG4"/>
      <c r="SVH4"/>
      <c r="SVI4"/>
      <c r="SVJ4"/>
      <c r="SVK4"/>
      <c r="SVL4"/>
      <c r="SVM4"/>
      <c r="SVN4"/>
      <c r="SVO4"/>
      <c r="SVP4"/>
      <c r="SVQ4"/>
      <c r="SVR4"/>
      <c r="SVS4"/>
      <c r="SVT4"/>
      <c r="SVU4"/>
      <c r="SVV4"/>
      <c r="SVW4"/>
      <c r="SVX4"/>
      <c r="SVY4"/>
      <c r="SVZ4"/>
      <c r="SWA4"/>
      <c r="SWB4"/>
      <c r="SWC4"/>
      <c r="SWD4"/>
      <c r="SWE4"/>
      <c r="SWF4"/>
      <c r="SWG4"/>
      <c r="SWH4"/>
      <c r="SWI4"/>
      <c r="SWJ4"/>
      <c r="SWK4"/>
      <c r="SWL4"/>
      <c r="SWM4"/>
      <c r="SWN4"/>
      <c r="SWO4"/>
      <c r="SWP4"/>
      <c r="SWQ4"/>
      <c r="SWR4"/>
      <c r="SWS4"/>
      <c r="SWT4"/>
      <c r="SWU4"/>
      <c r="SWV4"/>
      <c r="SWW4"/>
      <c r="SWX4"/>
      <c r="SWY4"/>
      <c r="SWZ4"/>
      <c r="SXA4"/>
      <c r="SXB4"/>
      <c r="SXC4"/>
      <c r="SXD4"/>
      <c r="SXE4"/>
      <c r="SXF4"/>
      <c r="SXG4"/>
      <c r="SXH4"/>
      <c r="SXI4"/>
      <c r="SXJ4"/>
      <c r="SXK4"/>
      <c r="SXL4"/>
      <c r="SXM4"/>
      <c r="SXN4"/>
      <c r="SXO4"/>
      <c r="SXP4"/>
      <c r="SXQ4"/>
      <c r="SXR4"/>
      <c r="SXS4"/>
      <c r="SXT4"/>
      <c r="SXU4"/>
      <c r="SXV4"/>
      <c r="SXW4"/>
      <c r="SXX4"/>
      <c r="SXY4"/>
      <c r="SXZ4"/>
      <c r="SYA4"/>
      <c r="SYB4"/>
      <c r="SYC4"/>
      <c r="SYD4"/>
      <c r="SYE4"/>
      <c r="SYF4"/>
      <c r="SYG4"/>
      <c r="SYH4"/>
      <c r="SYI4"/>
      <c r="SYJ4"/>
      <c r="SYK4"/>
      <c r="SYL4"/>
      <c r="SYM4"/>
      <c r="SYN4"/>
      <c r="SYO4"/>
      <c r="SYP4"/>
      <c r="SYQ4"/>
      <c r="SYR4"/>
      <c r="SYS4"/>
      <c r="SYT4"/>
      <c r="SYU4"/>
      <c r="SYV4"/>
      <c r="SYW4"/>
      <c r="SYX4"/>
      <c r="SYY4"/>
      <c r="SYZ4"/>
      <c r="SZA4"/>
      <c r="SZB4"/>
      <c r="SZC4"/>
      <c r="SZD4"/>
      <c r="SZE4"/>
      <c r="SZF4"/>
      <c r="SZG4"/>
      <c r="SZH4"/>
      <c r="SZI4"/>
      <c r="SZJ4"/>
      <c r="SZK4"/>
      <c r="SZL4"/>
      <c r="SZM4"/>
      <c r="SZN4"/>
      <c r="SZO4"/>
      <c r="SZP4"/>
      <c r="SZQ4"/>
      <c r="SZR4"/>
      <c r="SZS4"/>
      <c r="SZT4"/>
      <c r="SZU4"/>
      <c r="SZV4"/>
      <c r="SZW4"/>
      <c r="SZX4"/>
      <c r="SZY4"/>
      <c r="SZZ4"/>
      <c r="TAA4"/>
      <c r="TAB4"/>
      <c r="TAC4"/>
      <c r="TAD4"/>
      <c r="TAE4"/>
      <c r="TAF4"/>
      <c r="TAG4"/>
      <c r="TAH4"/>
      <c r="TAI4"/>
      <c r="TAJ4"/>
      <c r="TAK4"/>
      <c r="TAL4"/>
      <c r="TAM4"/>
      <c r="TAN4"/>
      <c r="TAO4"/>
      <c r="TAP4"/>
      <c r="TAQ4"/>
      <c r="TAR4"/>
      <c r="TAS4"/>
      <c r="TAT4"/>
      <c r="TAU4"/>
      <c r="TAV4"/>
      <c r="TAW4"/>
      <c r="TAX4"/>
      <c r="TAY4"/>
      <c r="TAZ4"/>
      <c r="TBA4"/>
      <c r="TBB4"/>
      <c r="TBC4"/>
      <c r="TBD4"/>
      <c r="TBE4"/>
      <c r="TBF4"/>
      <c r="TBG4"/>
      <c r="TBH4"/>
      <c r="TBI4"/>
      <c r="TBJ4"/>
      <c r="TBK4"/>
      <c r="TBL4"/>
      <c r="TBM4"/>
      <c r="TBN4"/>
      <c r="TBO4"/>
      <c r="TBP4"/>
      <c r="TBQ4"/>
      <c r="TBR4"/>
      <c r="TBS4"/>
      <c r="TBT4"/>
      <c r="TBU4"/>
      <c r="TBV4"/>
      <c r="TBW4"/>
      <c r="TBX4"/>
      <c r="TBY4"/>
      <c r="TBZ4"/>
      <c r="TCA4"/>
      <c r="TCB4"/>
      <c r="TCC4"/>
      <c r="TCD4"/>
      <c r="TCE4"/>
      <c r="TCF4"/>
      <c r="TCG4"/>
      <c r="TCH4"/>
      <c r="TCI4"/>
      <c r="TCJ4"/>
      <c r="TCK4"/>
      <c r="TCL4"/>
      <c r="TCM4"/>
      <c r="TCN4"/>
      <c r="TCO4"/>
      <c r="TCP4"/>
      <c r="TCQ4"/>
      <c r="TCR4"/>
      <c r="TCS4"/>
      <c r="TCT4"/>
      <c r="TCU4"/>
      <c r="TCV4"/>
      <c r="TCW4"/>
      <c r="TCX4"/>
      <c r="TCY4"/>
      <c r="TCZ4"/>
      <c r="TDA4"/>
      <c r="TDB4"/>
      <c r="TDC4"/>
      <c r="TDD4"/>
      <c r="TDE4"/>
      <c r="TDF4"/>
      <c r="TDG4"/>
      <c r="TDH4"/>
      <c r="TDI4"/>
      <c r="TDJ4"/>
      <c r="TDK4"/>
      <c r="TDL4"/>
      <c r="TDM4"/>
      <c r="TDN4"/>
      <c r="TDO4"/>
      <c r="TDP4"/>
      <c r="TDQ4"/>
      <c r="TDR4"/>
      <c r="TDS4"/>
      <c r="TDT4"/>
      <c r="TDU4"/>
      <c r="TDV4"/>
      <c r="TDW4"/>
      <c r="TDX4"/>
      <c r="TDY4"/>
      <c r="TDZ4"/>
      <c r="TEA4"/>
      <c r="TEB4"/>
      <c r="TEC4"/>
      <c r="TED4"/>
      <c r="TEE4"/>
      <c r="TEF4"/>
      <c r="TEG4"/>
      <c r="TEH4"/>
      <c r="TEI4"/>
      <c r="TEJ4"/>
      <c r="TEK4"/>
      <c r="TEL4"/>
      <c r="TEM4"/>
      <c r="TEN4"/>
      <c r="TEO4"/>
      <c r="TEP4"/>
      <c r="TEQ4"/>
      <c r="TER4"/>
      <c r="TES4"/>
      <c r="TET4"/>
      <c r="TEU4"/>
      <c r="TEV4"/>
      <c r="TEW4"/>
      <c r="TEX4"/>
      <c r="TEY4"/>
      <c r="TEZ4"/>
      <c r="TFA4"/>
      <c r="TFB4"/>
      <c r="TFC4"/>
      <c r="TFD4"/>
      <c r="TFE4"/>
      <c r="TFF4"/>
      <c r="TFG4"/>
      <c r="TFH4"/>
      <c r="TFI4"/>
      <c r="TFJ4"/>
      <c r="TFK4"/>
      <c r="TFL4"/>
      <c r="TFM4"/>
      <c r="TFN4"/>
      <c r="TFO4"/>
      <c r="TFP4"/>
      <c r="TFQ4"/>
      <c r="TFR4"/>
      <c r="TFS4"/>
      <c r="TFT4"/>
      <c r="TFU4"/>
      <c r="TFV4"/>
      <c r="TFW4"/>
      <c r="TFX4"/>
      <c r="TFY4"/>
      <c r="TFZ4"/>
      <c r="TGA4"/>
      <c r="TGB4"/>
      <c r="TGC4"/>
      <c r="TGD4"/>
      <c r="TGE4"/>
      <c r="TGF4"/>
      <c r="TGG4"/>
      <c r="TGH4"/>
      <c r="TGI4"/>
      <c r="TGJ4"/>
      <c r="TGK4"/>
      <c r="TGL4"/>
      <c r="TGM4"/>
      <c r="TGN4"/>
      <c r="TGO4"/>
      <c r="TGP4"/>
      <c r="TGQ4"/>
      <c r="TGR4"/>
      <c r="TGS4"/>
      <c r="TGT4"/>
      <c r="TGU4"/>
      <c r="TGV4"/>
      <c r="TGW4"/>
      <c r="TGX4"/>
      <c r="TGY4"/>
      <c r="TGZ4"/>
      <c r="THA4"/>
      <c r="THB4"/>
      <c r="THC4"/>
      <c r="THD4"/>
      <c r="THE4"/>
      <c r="THF4"/>
      <c r="THG4"/>
      <c r="THH4"/>
      <c r="THI4"/>
      <c r="THJ4"/>
      <c r="THK4"/>
      <c r="THL4"/>
      <c r="THM4"/>
      <c r="THN4"/>
      <c r="THO4"/>
      <c r="THP4"/>
      <c r="THQ4"/>
      <c r="THR4"/>
      <c r="THS4"/>
      <c r="THT4"/>
      <c r="THU4"/>
      <c r="THV4"/>
      <c r="THW4"/>
      <c r="THX4"/>
      <c r="THY4"/>
      <c r="THZ4"/>
      <c r="TIA4"/>
      <c r="TIB4"/>
      <c r="TIC4"/>
      <c r="TID4"/>
      <c r="TIE4"/>
      <c r="TIF4"/>
      <c r="TIG4"/>
      <c r="TIH4"/>
      <c r="TII4"/>
      <c r="TIJ4"/>
      <c r="TIK4"/>
      <c r="TIL4"/>
      <c r="TIM4"/>
      <c r="TIN4"/>
      <c r="TIO4"/>
      <c r="TIP4"/>
      <c r="TIQ4"/>
      <c r="TIR4"/>
      <c r="TIS4"/>
      <c r="TIT4"/>
      <c r="TIU4"/>
      <c r="TIV4"/>
      <c r="TIW4"/>
      <c r="TIX4"/>
      <c r="TIY4"/>
      <c r="TIZ4"/>
      <c r="TJA4"/>
      <c r="TJB4"/>
      <c r="TJC4"/>
      <c r="TJD4"/>
      <c r="TJE4"/>
      <c r="TJF4"/>
      <c r="TJG4"/>
      <c r="TJH4"/>
      <c r="TJI4"/>
      <c r="TJJ4"/>
      <c r="TJK4"/>
      <c r="TJL4"/>
      <c r="TJM4"/>
      <c r="TJN4"/>
      <c r="TJO4"/>
      <c r="TJP4"/>
      <c r="TJQ4"/>
      <c r="TJR4"/>
      <c r="TJS4"/>
      <c r="TJT4"/>
      <c r="TJU4"/>
      <c r="TJV4"/>
      <c r="TJW4"/>
      <c r="TJX4"/>
      <c r="TJY4"/>
      <c r="TJZ4"/>
      <c r="TKA4"/>
      <c r="TKB4"/>
      <c r="TKC4"/>
      <c r="TKD4"/>
      <c r="TKE4"/>
      <c r="TKF4"/>
      <c r="TKG4"/>
      <c r="TKH4"/>
      <c r="TKI4"/>
      <c r="TKJ4"/>
      <c r="TKK4"/>
      <c r="TKL4"/>
      <c r="TKM4"/>
      <c r="TKN4"/>
      <c r="TKO4"/>
      <c r="TKP4"/>
      <c r="TKQ4"/>
      <c r="TKR4"/>
      <c r="TKS4"/>
      <c r="TKT4"/>
      <c r="TKU4"/>
      <c r="TKV4"/>
      <c r="TKW4"/>
      <c r="TKX4"/>
      <c r="TKY4"/>
      <c r="TKZ4"/>
      <c r="TLA4"/>
      <c r="TLB4"/>
      <c r="TLC4"/>
      <c r="TLD4"/>
      <c r="TLE4"/>
      <c r="TLF4"/>
      <c r="TLG4"/>
      <c r="TLH4"/>
      <c r="TLI4"/>
      <c r="TLJ4"/>
      <c r="TLK4"/>
      <c r="TLL4"/>
      <c r="TLM4"/>
      <c r="TLN4"/>
      <c r="TLO4"/>
      <c r="TLP4"/>
      <c r="TLQ4"/>
      <c r="TLR4"/>
      <c r="TLS4"/>
      <c r="TLT4"/>
      <c r="TLU4"/>
      <c r="TLV4"/>
      <c r="TLW4"/>
      <c r="TLX4"/>
      <c r="TLY4"/>
      <c r="TLZ4"/>
      <c r="TMA4"/>
      <c r="TMB4"/>
      <c r="TMC4"/>
      <c r="TMD4"/>
      <c r="TME4"/>
      <c r="TMF4"/>
      <c r="TMG4"/>
      <c r="TMH4"/>
      <c r="TMI4"/>
      <c r="TMJ4"/>
      <c r="TMK4"/>
      <c r="TML4"/>
      <c r="TMM4"/>
      <c r="TMN4"/>
      <c r="TMO4"/>
      <c r="TMP4"/>
      <c r="TMQ4"/>
      <c r="TMR4"/>
      <c r="TMS4"/>
      <c r="TMT4"/>
      <c r="TMU4"/>
      <c r="TMV4"/>
      <c r="TMW4"/>
      <c r="TMX4"/>
      <c r="TMY4"/>
      <c r="TMZ4"/>
      <c r="TNA4"/>
      <c r="TNB4"/>
      <c r="TNC4"/>
      <c r="TND4"/>
      <c r="TNE4"/>
      <c r="TNF4"/>
      <c r="TNG4"/>
      <c r="TNH4"/>
      <c r="TNI4"/>
      <c r="TNJ4"/>
      <c r="TNK4"/>
      <c r="TNL4"/>
      <c r="TNM4"/>
      <c r="TNN4"/>
      <c r="TNO4"/>
      <c r="TNP4"/>
      <c r="TNQ4"/>
      <c r="TNR4"/>
      <c r="TNS4"/>
      <c r="TNT4"/>
      <c r="TNU4"/>
      <c r="TNV4"/>
      <c r="TNW4"/>
      <c r="TNX4"/>
      <c r="TNY4"/>
      <c r="TNZ4"/>
      <c r="TOA4"/>
      <c r="TOB4"/>
      <c r="TOC4"/>
      <c r="TOD4"/>
      <c r="TOE4"/>
      <c r="TOF4"/>
      <c r="TOG4"/>
      <c r="TOH4"/>
      <c r="TOI4"/>
      <c r="TOJ4"/>
      <c r="TOK4"/>
      <c r="TOL4"/>
      <c r="TOM4"/>
      <c r="TON4"/>
      <c r="TOO4"/>
      <c r="TOP4"/>
      <c r="TOQ4"/>
      <c r="TOR4"/>
      <c r="TOS4"/>
      <c r="TOT4"/>
      <c r="TOU4"/>
      <c r="TOV4"/>
      <c r="TOW4"/>
      <c r="TOX4"/>
      <c r="TOY4"/>
      <c r="TOZ4"/>
      <c r="TPA4"/>
      <c r="TPB4"/>
      <c r="TPC4"/>
      <c r="TPD4"/>
      <c r="TPE4"/>
      <c r="TPF4"/>
      <c r="TPG4"/>
      <c r="TPH4"/>
      <c r="TPI4"/>
      <c r="TPJ4"/>
      <c r="TPK4"/>
      <c r="TPL4"/>
      <c r="TPM4"/>
      <c r="TPN4"/>
      <c r="TPO4"/>
      <c r="TPP4"/>
      <c r="TPQ4"/>
      <c r="TPR4"/>
      <c r="TPS4"/>
      <c r="TPT4"/>
      <c r="TPU4"/>
      <c r="TPV4"/>
      <c r="TPW4"/>
      <c r="TPX4"/>
      <c r="TPY4"/>
      <c r="TPZ4"/>
      <c r="TQA4"/>
      <c r="TQB4"/>
      <c r="TQC4"/>
      <c r="TQD4"/>
      <c r="TQE4"/>
      <c r="TQF4"/>
      <c r="TQG4"/>
      <c r="TQH4"/>
      <c r="TQI4"/>
      <c r="TQJ4"/>
      <c r="TQK4"/>
      <c r="TQL4"/>
      <c r="TQM4"/>
      <c r="TQN4"/>
      <c r="TQO4"/>
      <c r="TQP4"/>
      <c r="TQQ4"/>
      <c r="TQR4"/>
      <c r="TQS4"/>
      <c r="TQT4"/>
      <c r="TQU4"/>
      <c r="TQV4"/>
      <c r="TQW4"/>
      <c r="TQX4"/>
      <c r="TQY4"/>
      <c r="TQZ4"/>
      <c r="TRA4"/>
      <c r="TRB4"/>
      <c r="TRC4"/>
      <c r="TRD4"/>
      <c r="TRE4"/>
      <c r="TRF4"/>
      <c r="TRG4"/>
      <c r="TRH4"/>
      <c r="TRI4"/>
      <c r="TRJ4"/>
      <c r="TRK4"/>
      <c r="TRL4"/>
      <c r="TRM4"/>
      <c r="TRN4"/>
      <c r="TRO4"/>
      <c r="TRP4"/>
      <c r="TRQ4"/>
      <c r="TRR4"/>
      <c r="TRS4"/>
      <c r="TRT4"/>
      <c r="TRU4"/>
      <c r="TRV4"/>
      <c r="TRW4"/>
      <c r="TRX4"/>
      <c r="TRY4"/>
      <c r="TRZ4"/>
      <c r="TSA4"/>
      <c r="TSB4"/>
      <c r="TSC4"/>
      <c r="TSD4"/>
      <c r="TSE4"/>
      <c r="TSF4"/>
      <c r="TSG4"/>
      <c r="TSH4"/>
      <c r="TSI4"/>
      <c r="TSJ4"/>
      <c r="TSK4"/>
      <c r="TSL4"/>
      <c r="TSM4"/>
      <c r="TSN4"/>
      <c r="TSO4"/>
      <c r="TSP4"/>
      <c r="TSQ4"/>
      <c r="TSR4"/>
      <c r="TSS4"/>
      <c r="TST4"/>
      <c r="TSU4"/>
      <c r="TSV4"/>
      <c r="TSW4"/>
      <c r="TSX4"/>
      <c r="TSY4"/>
      <c r="TSZ4"/>
      <c r="TTA4"/>
      <c r="TTB4"/>
      <c r="TTC4"/>
      <c r="TTD4"/>
      <c r="TTE4"/>
      <c r="TTF4"/>
      <c r="TTG4"/>
      <c r="TTH4"/>
      <c r="TTI4"/>
      <c r="TTJ4"/>
      <c r="TTK4"/>
      <c r="TTL4"/>
      <c r="TTM4"/>
      <c r="TTN4"/>
      <c r="TTO4"/>
      <c r="TTP4"/>
      <c r="TTQ4"/>
      <c r="TTR4"/>
      <c r="TTS4"/>
      <c r="TTT4"/>
      <c r="TTU4"/>
      <c r="TTV4"/>
      <c r="TTW4"/>
      <c r="TTX4"/>
      <c r="TTY4"/>
      <c r="TTZ4"/>
      <c r="TUA4"/>
      <c r="TUB4"/>
      <c r="TUC4"/>
      <c r="TUD4"/>
      <c r="TUE4"/>
      <c r="TUF4"/>
      <c r="TUG4"/>
      <c r="TUH4"/>
      <c r="TUI4"/>
      <c r="TUJ4"/>
      <c r="TUK4"/>
      <c r="TUL4"/>
      <c r="TUM4"/>
      <c r="TUN4"/>
      <c r="TUO4"/>
      <c r="TUP4"/>
      <c r="TUQ4"/>
      <c r="TUR4"/>
      <c r="TUS4"/>
      <c r="TUT4"/>
      <c r="TUU4"/>
      <c r="TUV4"/>
      <c r="TUW4"/>
      <c r="TUX4"/>
      <c r="TUY4"/>
      <c r="TUZ4"/>
      <c r="TVA4"/>
      <c r="TVB4"/>
      <c r="TVC4"/>
      <c r="TVD4"/>
      <c r="TVE4"/>
      <c r="TVF4"/>
      <c r="TVG4"/>
      <c r="TVH4"/>
      <c r="TVI4"/>
      <c r="TVJ4"/>
      <c r="TVK4"/>
      <c r="TVL4"/>
      <c r="TVM4"/>
      <c r="TVN4"/>
      <c r="TVO4"/>
      <c r="TVP4"/>
      <c r="TVQ4"/>
      <c r="TVR4"/>
      <c r="TVS4"/>
      <c r="TVT4"/>
      <c r="TVU4"/>
      <c r="TVV4"/>
      <c r="TVW4"/>
      <c r="TVX4"/>
      <c r="TVY4"/>
      <c r="TVZ4"/>
      <c r="TWA4"/>
      <c r="TWB4"/>
      <c r="TWC4"/>
      <c r="TWD4"/>
      <c r="TWE4"/>
      <c r="TWF4"/>
      <c r="TWG4"/>
      <c r="TWH4"/>
      <c r="TWI4"/>
      <c r="TWJ4"/>
      <c r="TWK4"/>
      <c r="TWL4"/>
      <c r="TWM4"/>
      <c r="TWN4"/>
      <c r="TWO4"/>
      <c r="TWP4"/>
      <c r="TWQ4"/>
      <c r="TWR4"/>
      <c r="TWS4"/>
      <c r="TWT4"/>
      <c r="TWU4"/>
      <c r="TWV4"/>
      <c r="TWW4"/>
      <c r="TWX4"/>
      <c r="TWY4"/>
      <c r="TWZ4"/>
      <c r="TXA4"/>
      <c r="TXB4"/>
      <c r="TXC4"/>
      <c r="TXD4"/>
      <c r="TXE4"/>
      <c r="TXF4"/>
      <c r="TXG4"/>
      <c r="TXH4"/>
      <c r="TXI4"/>
      <c r="TXJ4"/>
      <c r="TXK4"/>
      <c r="TXL4"/>
      <c r="TXM4"/>
      <c r="TXN4"/>
      <c r="TXO4"/>
      <c r="TXP4"/>
      <c r="TXQ4"/>
      <c r="TXR4"/>
      <c r="TXS4"/>
      <c r="TXT4"/>
      <c r="TXU4"/>
      <c r="TXV4"/>
      <c r="TXW4"/>
      <c r="TXX4"/>
      <c r="TXY4"/>
      <c r="TXZ4"/>
      <c r="TYA4"/>
      <c r="TYB4"/>
      <c r="TYC4"/>
      <c r="TYD4"/>
      <c r="TYE4"/>
      <c r="TYF4"/>
      <c r="TYG4"/>
      <c r="TYH4"/>
      <c r="TYI4"/>
      <c r="TYJ4"/>
      <c r="TYK4"/>
      <c r="TYL4"/>
      <c r="TYM4"/>
      <c r="TYN4"/>
      <c r="TYO4"/>
      <c r="TYP4"/>
      <c r="TYQ4"/>
      <c r="TYR4"/>
      <c r="TYS4"/>
      <c r="TYT4"/>
      <c r="TYU4"/>
      <c r="TYV4"/>
      <c r="TYW4"/>
      <c r="TYX4"/>
      <c r="TYY4"/>
      <c r="TYZ4"/>
      <c r="TZA4"/>
      <c r="TZB4"/>
      <c r="TZC4"/>
      <c r="TZD4"/>
      <c r="TZE4"/>
      <c r="TZF4"/>
      <c r="TZG4"/>
      <c r="TZH4"/>
      <c r="TZI4"/>
      <c r="TZJ4"/>
      <c r="TZK4"/>
      <c r="TZL4"/>
      <c r="TZM4"/>
      <c r="TZN4"/>
      <c r="TZO4"/>
      <c r="TZP4"/>
      <c r="TZQ4"/>
      <c r="TZR4"/>
      <c r="TZS4"/>
      <c r="TZT4"/>
      <c r="TZU4"/>
      <c r="TZV4"/>
      <c r="TZW4"/>
      <c r="TZX4"/>
      <c r="TZY4"/>
      <c r="TZZ4"/>
      <c r="UAA4"/>
      <c r="UAB4"/>
      <c r="UAC4"/>
      <c r="UAD4"/>
      <c r="UAE4"/>
      <c r="UAF4"/>
      <c r="UAG4"/>
      <c r="UAH4"/>
      <c r="UAI4"/>
      <c r="UAJ4"/>
      <c r="UAK4"/>
      <c r="UAL4"/>
      <c r="UAM4"/>
      <c r="UAN4"/>
      <c r="UAO4"/>
      <c r="UAP4"/>
      <c r="UAQ4"/>
      <c r="UAR4"/>
      <c r="UAS4"/>
      <c r="UAT4"/>
      <c r="UAU4"/>
      <c r="UAV4"/>
      <c r="UAW4"/>
      <c r="UAX4"/>
      <c r="UAY4"/>
      <c r="UAZ4"/>
      <c r="UBA4"/>
      <c r="UBB4"/>
      <c r="UBC4"/>
      <c r="UBD4"/>
      <c r="UBE4"/>
      <c r="UBF4"/>
      <c r="UBG4"/>
      <c r="UBH4"/>
      <c r="UBI4"/>
      <c r="UBJ4"/>
      <c r="UBK4"/>
      <c r="UBL4"/>
      <c r="UBM4"/>
      <c r="UBN4"/>
      <c r="UBO4"/>
      <c r="UBP4"/>
      <c r="UBQ4"/>
      <c r="UBR4"/>
      <c r="UBS4"/>
      <c r="UBT4"/>
      <c r="UBU4"/>
      <c r="UBV4"/>
      <c r="UBW4"/>
      <c r="UBX4"/>
      <c r="UBY4"/>
      <c r="UBZ4"/>
      <c r="UCA4"/>
      <c r="UCB4"/>
      <c r="UCC4"/>
      <c r="UCD4"/>
      <c r="UCE4"/>
      <c r="UCF4"/>
      <c r="UCG4"/>
      <c r="UCH4"/>
      <c r="UCI4"/>
      <c r="UCJ4"/>
      <c r="UCK4"/>
      <c r="UCL4"/>
      <c r="UCM4"/>
      <c r="UCN4"/>
      <c r="UCO4"/>
      <c r="UCP4"/>
      <c r="UCQ4"/>
      <c r="UCR4"/>
      <c r="UCS4"/>
      <c r="UCT4"/>
      <c r="UCU4"/>
      <c r="UCV4"/>
      <c r="UCW4"/>
      <c r="UCX4"/>
      <c r="UCY4"/>
      <c r="UCZ4"/>
      <c r="UDA4"/>
      <c r="UDB4"/>
      <c r="UDC4"/>
      <c r="UDD4"/>
      <c r="UDE4"/>
      <c r="UDF4"/>
      <c r="UDG4"/>
      <c r="UDH4"/>
      <c r="UDI4"/>
      <c r="UDJ4"/>
      <c r="UDK4"/>
      <c r="UDL4"/>
      <c r="UDM4"/>
      <c r="UDN4"/>
      <c r="UDO4"/>
      <c r="UDP4"/>
      <c r="UDQ4"/>
      <c r="UDR4"/>
      <c r="UDS4"/>
      <c r="UDT4"/>
      <c r="UDU4"/>
      <c r="UDV4"/>
      <c r="UDW4"/>
      <c r="UDX4"/>
      <c r="UDY4"/>
      <c r="UDZ4"/>
      <c r="UEA4"/>
      <c r="UEB4"/>
      <c r="UEC4"/>
      <c r="UED4"/>
      <c r="UEE4"/>
      <c r="UEF4"/>
      <c r="UEG4"/>
      <c r="UEH4"/>
      <c r="UEI4"/>
      <c r="UEJ4"/>
      <c r="UEK4"/>
      <c r="UEL4"/>
      <c r="UEM4"/>
      <c r="UEN4"/>
      <c r="UEO4"/>
      <c r="UEP4"/>
      <c r="UEQ4"/>
      <c r="UER4"/>
      <c r="UES4"/>
      <c r="UET4"/>
      <c r="UEU4"/>
      <c r="UEV4"/>
      <c r="UEW4"/>
      <c r="UEX4"/>
      <c r="UEY4"/>
      <c r="UEZ4"/>
      <c r="UFA4"/>
      <c r="UFB4"/>
      <c r="UFC4"/>
      <c r="UFD4"/>
      <c r="UFE4"/>
      <c r="UFF4"/>
      <c r="UFG4"/>
      <c r="UFH4"/>
      <c r="UFI4"/>
      <c r="UFJ4"/>
      <c r="UFK4"/>
      <c r="UFL4"/>
      <c r="UFM4"/>
      <c r="UFN4"/>
      <c r="UFO4"/>
      <c r="UFP4"/>
      <c r="UFQ4"/>
      <c r="UFR4"/>
      <c r="UFS4"/>
      <c r="UFT4"/>
      <c r="UFU4"/>
      <c r="UFV4"/>
      <c r="UFW4"/>
      <c r="UFX4"/>
      <c r="UFY4"/>
      <c r="UFZ4"/>
      <c r="UGA4"/>
      <c r="UGB4"/>
      <c r="UGC4"/>
      <c r="UGD4"/>
      <c r="UGE4"/>
      <c r="UGF4"/>
      <c r="UGG4"/>
      <c r="UGH4"/>
      <c r="UGI4"/>
      <c r="UGJ4"/>
      <c r="UGK4"/>
      <c r="UGL4"/>
      <c r="UGM4"/>
      <c r="UGN4"/>
      <c r="UGO4"/>
      <c r="UGP4"/>
      <c r="UGQ4"/>
      <c r="UGR4"/>
      <c r="UGS4"/>
      <c r="UGT4"/>
      <c r="UGU4"/>
      <c r="UGV4"/>
      <c r="UGW4"/>
      <c r="UGX4"/>
      <c r="UGY4"/>
      <c r="UGZ4"/>
      <c r="UHA4"/>
      <c r="UHB4"/>
      <c r="UHC4"/>
      <c r="UHD4"/>
      <c r="UHE4"/>
      <c r="UHF4"/>
      <c r="UHG4"/>
      <c r="UHH4"/>
      <c r="UHI4"/>
      <c r="UHJ4"/>
      <c r="UHK4"/>
      <c r="UHL4"/>
      <c r="UHM4"/>
      <c r="UHN4"/>
      <c r="UHO4"/>
      <c r="UHP4"/>
      <c r="UHQ4"/>
      <c r="UHR4"/>
      <c r="UHS4"/>
      <c r="UHT4"/>
      <c r="UHU4"/>
      <c r="UHV4"/>
      <c r="UHW4"/>
      <c r="UHX4"/>
      <c r="UHY4"/>
      <c r="UHZ4"/>
      <c r="UIA4"/>
      <c r="UIB4"/>
      <c r="UIC4"/>
      <c r="UID4"/>
      <c r="UIE4"/>
      <c r="UIF4"/>
      <c r="UIG4"/>
      <c r="UIH4"/>
      <c r="UII4"/>
      <c r="UIJ4"/>
      <c r="UIK4"/>
      <c r="UIL4"/>
      <c r="UIM4"/>
      <c r="UIN4"/>
      <c r="UIO4"/>
      <c r="UIP4"/>
      <c r="UIQ4"/>
      <c r="UIR4"/>
      <c r="UIS4"/>
      <c r="UIT4"/>
      <c r="UIU4"/>
      <c r="UIV4"/>
      <c r="UIW4"/>
      <c r="UIX4"/>
      <c r="UIY4"/>
      <c r="UIZ4"/>
      <c r="UJA4"/>
      <c r="UJB4"/>
      <c r="UJC4"/>
      <c r="UJD4"/>
      <c r="UJE4"/>
      <c r="UJF4"/>
      <c r="UJG4"/>
      <c r="UJH4"/>
      <c r="UJI4"/>
      <c r="UJJ4"/>
      <c r="UJK4"/>
      <c r="UJL4"/>
      <c r="UJM4"/>
      <c r="UJN4"/>
      <c r="UJO4"/>
      <c r="UJP4"/>
      <c r="UJQ4"/>
      <c r="UJR4"/>
      <c r="UJS4"/>
      <c r="UJT4"/>
      <c r="UJU4"/>
      <c r="UJV4"/>
      <c r="UJW4"/>
      <c r="UJX4"/>
      <c r="UJY4"/>
      <c r="UJZ4"/>
      <c r="UKA4"/>
      <c r="UKB4"/>
      <c r="UKC4"/>
      <c r="UKD4"/>
      <c r="UKE4"/>
      <c r="UKF4"/>
      <c r="UKG4"/>
      <c r="UKH4"/>
      <c r="UKI4"/>
      <c r="UKJ4"/>
      <c r="UKK4"/>
      <c r="UKL4"/>
      <c r="UKM4"/>
      <c r="UKN4"/>
      <c r="UKO4"/>
      <c r="UKP4"/>
      <c r="UKQ4"/>
      <c r="UKR4"/>
      <c r="UKS4"/>
      <c r="UKT4"/>
      <c r="UKU4"/>
      <c r="UKV4"/>
      <c r="UKW4"/>
      <c r="UKX4"/>
      <c r="UKY4"/>
      <c r="UKZ4"/>
      <c r="ULA4"/>
      <c r="ULB4"/>
      <c r="ULC4"/>
      <c r="ULD4"/>
      <c r="ULE4"/>
      <c r="ULF4"/>
      <c r="ULG4"/>
      <c r="ULH4"/>
      <c r="ULI4"/>
      <c r="ULJ4"/>
      <c r="ULK4"/>
      <c r="ULL4"/>
      <c r="ULM4"/>
      <c r="ULN4"/>
      <c r="ULO4"/>
      <c r="ULP4"/>
      <c r="ULQ4"/>
      <c r="ULR4"/>
      <c r="ULS4"/>
      <c r="ULT4"/>
      <c r="ULU4"/>
      <c r="ULV4"/>
      <c r="ULW4"/>
      <c r="ULX4"/>
      <c r="ULY4"/>
      <c r="ULZ4"/>
      <c r="UMA4"/>
      <c r="UMB4"/>
      <c r="UMC4"/>
      <c r="UMD4"/>
      <c r="UME4"/>
      <c r="UMF4"/>
      <c r="UMG4"/>
      <c r="UMH4"/>
      <c r="UMI4"/>
      <c r="UMJ4"/>
      <c r="UMK4"/>
      <c r="UML4"/>
      <c r="UMM4"/>
      <c r="UMN4"/>
      <c r="UMO4"/>
      <c r="UMP4"/>
      <c r="UMQ4"/>
      <c r="UMR4"/>
      <c r="UMS4"/>
      <c r="UMT4"/>
      <c r="UMU4"/>
      <c r="UMV4"/>
      <c r="UMW4"/>
      <c r="UMX4"/>
      <c r="UMY4"/>
      <c r="UMZ4"/>
      <c r="UNA4"/>
      <c r="UNB4"/>
      <c r="UNC4"/>
      <c r="UND4"/>
      <c r="UNE4"/>
      <c r="UNF4"/>
      <c r="UNG4"/>
      <c r="UNH4"/>
      <c r="UNI4"/>
      <c r="UNJ4"/>
      <c r="UNK4"/>
      <c r="UNL4"/>
      <c r="UNM4"/>
      <c r="UNN4"/>
      <c r="UNO4"/>
      <c r="UNP4"/>
      <c r="UNQ4"/>
      <c r="UNR4"/>
      <c r="UNS4"/>
      <c r="UNT4"/>
      <c r="UNU4"/>
      <c r="UNV4"/>
      <c r="UNW4"/>
      <c r="UNX4"/>
      <c r="UNY4"/>
      <c r="UNZ4"/>
      <c r="UOA4"/>
      <c r="UOB4"/>
      <c r="UOC4"/>
      <c r="UOD4"/>
      <c r="UOE4"/>
      <c r="UOF4"/>
      <c r="UOG4"/>
      <c r="UOH4"/>
      <c r="UOI4"/>
      <c r="UOJ4"/>
      <c r="UOK4"/>
      <c r="UOL4"/>
      <c r="UOM4"/>
      <c r="UON4"/>
      <c r="UOO4"/>
      <c r="UOP4"/>
      <c r="UOQ4"/>
      <c r="UOR4"/>
      <c r="UOS4"/>
      <c r="UOT4"/>
      <c r="UOU4"/>
      <c r="UOV4"/>
      <c r="UOW4"/>
      <c r="UOX4"/>
      <c r="UOY4"/>
      <c r="UOZ4"/>
      <c r="UPA4"/>
      <c r="UPB4"/>
      <c r="UPC4"/>
      <c r="UPD4"/>
      <c r="UPE4"/>
      <c r="UPF4"/>
      <c r="UPG4"/>
      <c r="UPH4"/>
      <c r="UPI4"/>
      <c r="UPJ4"/>
      <c r="UPK4"/>
      <c r="UPL4"/>
      <c r="UPM4"/>
      <c r="UPN4"/>
      <c r="UPO4"/>
      <c r="UPP4"/>
      <c r="UPQ4"/>
      <c r="UPR4"/>
      <c r="UPS4"/>
      <c r="UPT4"/>
      <c r="UPU4"/>
      <c r="UPV4"/>
      <c r="UPW4"/>
      <c r="UPX4"/>
      <c r="UPY4"/>
      <c r="UPZ4"/>
      <c r="UQA4"/>
      <c r="UQB4"/>
      <c r="UQC4"/>
      <c r="UQD4"/>
      <c r="UQE4"/>
      <c r="UQF4"/>
      <c r="UQG4"/>
      <c r="UQH4"/>
      <c r="UQI4"/>
      <c r="UQJ4"/>
      <c r="UQK4"/>
      <c r="UQL4"/>
      <c r="UQM4"/>
      <c r="UQN4"/>
      <c r="UQO4"/>
      <c r="UQP4"/>
      <c r="UQQ4"/>
      <c r="UQR4"/>
      <c r="UQS4"/>
      <c r="UQT4"/>
      <c r="UQU4"/>
      <c r="UQV4"/>
      <c r="UQW4"/>
      <c r="UQX4"/>
      <c r="UQY4"/>
      <c r="UQZ4"/>
      <c r="URA4"/>
      <c r="URB4"/>
      <c r="URC4"/>
      <c r="URD4"/>
      <c r="URE4"/>
      <c r="URF4"/>
      <c r="URG4"/>
      <c r="URH4"/>
      <c r="URI4"/>
      <c r="URJ4"/>
      <c r="URK4"/>
      <c r="URL4"/>
      <c r="URM4"/>
      <c r="URN4"/>
      <c r="URO4"/>
      <c r="URP4"/>
      <c r="URQ4"/>
      <c r="URR4"/>
      <c r="URS4"/>
      <c r="URT4"/>
      <c r="URU4"/>
      <c r="URV4"/>
      <c r="URW4"/>
      <c r="URX4"/>
      <c r="URY4"/>
      <c r="URZ4"/>
      <c r="USA4"/>
      <c r="USB4"/>
      <c r="USC4"/>
      <c r="USD4"/>
      <c r="USE4"/>
      <c r="USF4"/>
      <c r="USG4"/>
      <c r="USH4"/>
      <c r="USI4"/>
      <c r="USJ4"/>
      <c r="USK4"/>
      <c r="USL4"/>
      <c r="USM4"/>
      <c r="USN4"/>
      <c r="USO4"/>
      <c r="USP4"/>
      <c r="USQ4"/>
      <c r="USR4"/>
      <c r="USS4"/>
      <c r="UST4"/>
      <c r="USU4"/>
      <c r="USV4"/>
      <c r="USW4"/>
      <c r="USX4"/>
      <c r="USY4"/>
      <c r="USZ4"/>
      <c r="UTA4"/>
      <c r="UTB4"/>
      <c r="UTC4"/>
      <c r="UTD4"/>
      <c r="UTE4"/>
      <c r="UTF4"/>
      <c r="UTG4"/>
      <c r="UTH4"/>
      <c r="UTI4"/>
      <c r="UTJ4"/>
      <c r="UTK4"/>
      <c r="UTL4"/>
      <c r="UTM4"/>
      <c r="UTN4"/>
      <c r="UTO4"/>
      <c r="UTP4"/>
      <c r="UTQ4"/>
      <c r="UTR4"/>
      <c r="UTS4"/>
      <c r="UTT4"/>
      <c r="UTU4"/>
      <c r="UTV4"/>
      <c r="UTW4"/>
      <c r="UTX4"/>
      <c r="UTY4"/>
      <c r="UTZ4"/>
      <c r="UUA4"/>
      <c r="UUB4"/>
      <c r="UUC4"/>
      <c r="UUD4"/>
      <c r="UUE4"/>
      <c r="UUF4"/>
      <c r="UUG4"/>
      <c r="UUH4"/>
      <c r="UUI4"/>
      <c r="UUJ4"/>
      <c r="UUK4"/>
      <c r="UUL4"/>
      <c r="UUM4"/>
      <c r="UUN4"/>
      <c r="UUO4"/>
      <c r="UUP4"/>
      <c r="UUQ4"/>
      <c r="UUR4"/>
      <c r="UUS4"/>
      <c r="UUT4"/>
      <c r="UUU4"/>
      <c r="UUV4"/>
      <c r="UUW4"/>
      <c r="UUX4"/>
      <c r="UUY4"/>
      <c r="UUZ4"/>
      <c r="UVA4"/>
      <c r="UVB4"/>
      <c r="UVC4"/>
      <c r="UVD4"/>
      <c r="UVE4"/>
      <c r="UVF4"/>
      <c r="UVG4"/>
      <c r="UVH4"/>
      <c r="UVI4"/>
      <c r="UVJ4"/>
      <c r="UVK4"/>
      <c r="UVL4"/>
      <c r="UVM4"/>
      <c r="UVN4"/>
      <c r="UVO4"/>
      <c r="UVP4"/>
      <c r="UVQ4"/>
      <c r="UVR4"/>
      <c r="UVS4"/>
      <c r="UVT4"/>
      <c r="UVU4"/>
      <c r="UVV4"/>
      <c r="UVW4"/>
      <c r="UVX4"/>
      <c r="UVY4"/>
      <c r="UVZ4"/>
      <c r="UWA4"/>
      <c r="UWB4"/>
      <c r="UWC4"/>
      <c r="UWD4"/>
      <c r="UWE4"/>
      <c r="UWF4"/>
      <c r="UWG4"/>
      <c r="UWH4"/>
      <c r="UWI4"/>
      <c r="UWJ4"/>
      <c r="UWK4"/>
      <c r="UWL4"/>
      <c r="UWM4"/>
      <c r="UWN4"/>
      <c r="UWO4"/>
      <c r="UWP4"/>
      <c r="UWQ4"/>
      <c r="UWR4"/>
      <c r="UWS4"/>
      <c r="UWT4"/>
      <c r="UWU4"/>
      <c r="UWV4"/>
      <c r="UWW4"/>
      <c r="UWX4"/>
      <c r="UWY4"/>
      <c r="UWZ4"/>
      <c r="UXA4"/>
      <c r="UXB4"/>
      <c r="UXC4"/>
      <c r="UXD4"/>
      <c r="UXE4"/>
      <c r="UXF4"/>
      <c r="UXG4"/>
      <c r="UXH4"/>
      <c r="UXI4"/>
      <c r="UXJ4"/>
      <c r="UXK4"/>
      <c r="UXL4"/>
      <c r="UXM4"/>
      <c r="UXN4"/>
      <c r="UXO4"/>
      <c r="UXP4"/>
      <c r="UXQ4"/>
      <c r="UXR4"/>
      <c r="UXS4"/>
      <c r="UXT4"/>
      <c r="UXU4"/>
      <c r="UXV4"/>
      <c r="UXW4"/>
      <c r="UXX4"/>
      <c r="UXY4"/>
      <c r="UXZ4"/>
      <c r="UYA4"/>
      <c r="UYB4"/>
      <c r="UYC4"/>
      <c r="UYD4"/>
      <c r="UYE4"/>
      <c r="UYF4"/>
      <c r="UYG4"/>
      <c r="UYH4"/>
      <c r="UYI4"/>
      <c r="UYJ4"/>
      <c r="UYK4"/>
      <c r="UYL4"/>
      <c r="UYM4"/>
      <c r="UYN4"/>
      <c r="UYO4"/>
      <c r="UYP4"/>
      <c r="UYQ4"/>
      <c r="UYR4"/>
      <c r="UYS4"/>
      <c r="UYT4"/>
      <c r="UYU4"/>
      <c r="UYV4"/>
      <c r="UYW4"/>
      <c r="UYX4"/>
      <c r="UYY4"/>
      <c r="UYZ4"/>
      <c r="UZA4"/>
      <c r="UZB4"/>
      <c r="UZC4"/>
      <c r="UZD4"/>
      <c r="UZE4"/>
      <c r="UZF4"/>
      <c r="UZG4"/>
      <c r="UZH4"/>
      <c r="UZI4"/>
      <c r="UZJ4"/>
      <c r="UZK4"/>
      <c r="UZL4"/>
      <c r="UZM4"/>
      <c r="UZN4"/>
      <c r="UZO4"/>
      <c r="UZP4"/>
      <c r="UZQ4"/>
      <c r="UZR4"/>
      <c r="UZS4"/>
      <c r="UZT4"/>
      <c r="UZU4"/>
      <c r="UZV4"/>
      <c r="UZW4"/>
      <c r="UZX4"/>
      <c r="UZY4"/>
      <c r="UZZ4"/>
      <c r="VAA4"/>
      <c r="VAB4"/>
      <c r="VAC4"/>
      <c r="VAD4"/>
      <c r="VAE4"/>
      <c r="VAF4"/>
      <c r="VAG4"/>
      <c r="VAH4"/>
      <c r="VAI4"/>
      <c r="VAJ4"/>
      <c r="VAK4"/>
      <c r="VAL4"/>
      <c r="VAM4"/>
      <c r="VAN4"/>
      <c r="VAO4"/>
      <c r="VAP4"/>
      <c r="VAQ4"/>
      <c r="VAR4"/>
      <c r="VAS4"/>
      <c r="VAT4"/>
      <c r="VAU4"/>
      <c r="VAV4"/>
      <c r="VAW4"/>
      <c r="VAX4"/>
      <c r="VAY4"/>
      <c r="VAZ4"/>
      <c r="VBA4"/>
      <c r="VBB4"/>
      <c r="VBC4"/>
      <c r="VBD4"/>
      <c r="VBE4"/>
      <c r="VBF4"/>
      <c r="VBG4"/>
      <c r="VBH4"/>
      <c r="VBI4"/>
      <c r="VBJ4"/>
      <c r="VBK4"/>
      <c r="VBL4"/>
      <c r="VBM4"/>
      <c r="VBN4"/>
      <c r="VBO4"/>
      <c r="VBP4"/>
      <c r="VBQ4"/>
      <c r="VBR4"/>
      <c r="VBS4"/>
      <c r="VBT4"/>
      <c r="VBU4"/>
      <c r="VBV4"/>
      <c r="VBW4"/>
      <c r="VBX4"/>
      <c r="VBY4"/>
      <c r="VBZ4"/>
      <c r="VCA4"/>
      <c r="VCB4"/>
      <c r="VCC4"/>
      <c r="VCD4"/>
      <c r="VCE4"/>
      <c r="VCF4"/>
      <c r="VCG4"/>
      <c r="VCH4"/>
      <c r="VCI4"/>
      <c r="VCJ4"/>
      <c r="VCK4"/>
      <c r="VCL4"/>
      <c r="VCM4"/>
      <c r="VCN4"/>
      <c r="VCO4"/>
      <c r="VCP4"/>
      <c r="VCQ4"/>
      <c r="VCR4"/>
      <c r="VCS4"/>
      <c r="VCT4"/>
      <c r="VCU4"/>
      <c r="VCV4"/>
      <c r="VCW4"/>
      <c r="VCX4"/>
      <c r="VCY4"/>
      <c r="VCZ4"/>
      <c r="VDA4"/>
      <c r="VDB4"/>
      <c r="VDC4"/>
      <c r="VDD4"/>
      <c r="VDE4"/>
      <c r="VDF4"/>
      <c r="VDG4"/>
      <c r="VDH4"/>
      <c r="VDI4"/>
      <c r="VDJ4"/>
      <c r="VDK4"/>
      <c r="VDL4"/>
      <c r="VDM4"/>
      <c r="VDN4"/>
      <c r="VDO4"/>
      <c r="VDP4"/>
      <c r="VDQ4"/>
      <c r="VDR4"/>
      <c r="VDS4"/>
      <c r="VDT4"/>
      <c r="VDU4"/>
      <c r="VDV4"/>
      <c r="VDW4"/>
      <c r="VDX4"/>
      <c r="VDY4"/>
      <c r="VDZ4"/>
      <c r="VEA4"/>
      <c r="VEB4"/>
      <c r="VEC4"/>
      <c r="VED4"/>
      <c r="VEE4"/>
      <c r="VEF4"/>
      <c r="VEG4"/>
      <c r="VEH4"/>
      <c r="VEI4"/>
      <c r="VEJ4"/>
      <c r="VEK4"/>
      <c r="VEL4"/>
      <c r="VEM4"/>
      <c r="VEN4"/>
      <c r="VEO4"/>
      <c r="VEP4"/>
      <c r="VEQ4"/>
      <c r="VER4"/>
      <c r="VES4"/>
      <c r="VET4"/>
      <c r="VEU4"/>
      <c r="VEV4"/>
      <c r="VEW4"/>
      <c r="VEX4"/>
      <c r="VEY4"/>
      <c r="VEZ4"/>
      <c r="VFA4"/>
      <c r="VFB4"/>
      <c r="VFC4"/>
      <c r="VFD4"/>
      <c r="VFE4"/>
      <c r="VFF4"/>
      <c r="VFG4"/>
      <c r="VFH4"/>
      <c r="VFI4"/>
      <c r="VFJ4"/>
      <c r="VFK4"/>
      <c r="VFL4"/>
      <c r="VFM4"/>
      <c r="VFN4"/>
      <c r="VFO4"/>
      <c r="VFP4"/>
      <c r="VFQ4"/>
      <c r="VFR4"/>
      <c r="VFS4"/>
      <c r="VFT4"/>
      <c r="VFU4"/>
      <c r="VFV4"/>
      <c r="VFW4"/>
      <c r="VFX4"/>
      <c r="VFY4"/>
      <c r="VFZ4"/>
      <c r="VGA4"/>
      <c r="VGB4"/>
      <c r="VGC4"/>
      <c r="VGD4"/>
      <c r="VGE4"/>
      <c r="VGF4"/>
      <c r="VGG4"/>
      <c r="VGH4"/>
      <c r="VGI4"/>
      <c r="VGJ4"/>
      <c r="VGK4"/>
      <c r="VGL4"/>
      <c r="VGM4"/>
      <c r="VGN4"/>
      <c r="VGO4"/>
      <c r="VGP4"/>
      <c r="VGQ4"/>
      <c r="VGR4"/>
      <c r="VGS4"/>
      <c r="VGT4"/>
      <c r="VGU4"/>
      <c r="VGV4"/>
      <c r="VGW4"/>
      <c r="VGX4"/>
      <c r="VGY4"/>
      <c r="VGZ4"/>
      <c r="VHA4"/>
      <c r="VHB4"/>
      <c r="VHC4"/>
      <c r="VHD4"/>
      <c r="VHE4"/>
      <c r="VHF4"/>
      <c r="VHG4"/>
      <c r="VHH4"/>
      <c r="VHI4"/>
      <c r="VHJ4"/>
      <c r="VHK4"/>
      <c r="VHL4"/>
      <c r="VHM4"/>
      <c r="VHN4"/>
      <c r="VHO4"/>
      <c r="VHP4"/>
      <c r="VHQ4"/>
      <c r="VHR4"/>
      <c r="VHS4"/>
      <c r="VHT4"/>
      <c r="VHU4"/>
      <c r="VHV4"/>
      <c r="VHW4"/>
      <c r="VHX4"/>
      <c r="VHY4"/>
      <c r="VHZ4"/>
      <c r="VIA4"/>
      <c r="VIB4"/>
      <c r="VIC4"/>
      <c r="VID4"/>
      <c r="VIE4"/>
      <c r="VIF4"/>
      <c r="VIG4"/>
      <c r="VIH4"/>
      <c r="VII4"/>
      <c r="VIJ4"/>
      <c r="VIK4"/>
      <c r="VIL4"/>
      <c r="VIM4"/>
      <c r="VIN4"/>
      <c r="VIO4"/>
      <c r="VIP4"/>
      <c r="VIQ4"/>
      <c r="VIR4"/>
      <c r="VIS4"/>
      <c r="VIT4"/>
      <c r="VIU4"/>
      <c r="VIV4"/>
      <c r="VIW4"/>
      <c r="VIX4"/>
      <c r="VIY4"/>
      <c r="VIZ4"/>
      <c r="VJA4"/>
      <c r="VJB4"/>
      <c r="VJC4"/>
      <c r="VJD4"/>
      <c r="VJE4"/>
      <c r="VJF4"/>
      <c r="VJG4"/>
      <c r="VJH4"/>
      <c r="VJI4"/>
      <c r="VJJ4"/>
      <c r="VJK4"/>
      <c r="VJL4"/>
      <c r="VJM4"/>
      <c r="VJN4"/>
      <c r="VJO4"/>
      <c r="VJP4"/>
      <c r="VJQ4"/>
      <c r="VJR4"/>
      <c r="VJS4"/>
      <c r="VJT4"/>
      <c r="VJU4"/>
      <c r="VJV4"/>
      <c r="VJW4"/>
      <c r="VJX4"/>
      <c r="VJY4"/>
      <c r="VJZ4"/>
      <c r="VKA4"/>
      <c r="VKB4"/>
      <c r="VKC4"/>
      <c r="VKD4"/>
      <c r="VKE4"/>
      <c r="VKF4"/>
      <c r="VKG4"/>
      <c r="VKH4"/>
      <c r="VKI4"/>
      <c r="VKJ4"/>
      <c r="VKK4"/>
      <c r="VKL4"/>
      <c r="VKM4"/>
      <c r="VKN4"/>
      <c r="VKO4"/>
      <c r="VKP4"/>
      <c r="VKQ4"/>
      <c r="VKR4"/>
      <c r="VKS4"/>
      <c r="VKT4"/>
      <c r="VKU4"/>
      <c r="VKV4"/>
      <c r="VKW4"/>
      <c r="VKX4"/>
      <c r="VKY4"/>
      <c r="VKZ4"/>
      <c r="VLA4"/>
      <c r="VLB4"/>
      <c r="VLC4"/>
      <c r="VLD4"/>
      <c r="VLE4"/>
      <c r="VLF4"/>
      <c r="VLG4"/>
      <c r="VLH4"/>
      <c r="VLI4"/>
      <c r="VLJ4"/>
      <c r="VLK4"/>
      <c r="VLL4"/>
      <c r="VLM4"/>
      <c r="VLN4"/>
      <c r="VLO4"/>
      <c r="VLP4"/>
      <c r="VLQ4"/>
      <c r="VLR4"/>
      <c r="VLS4"/>
      <c r="VLT4"/>
      <c r="VLU4"/>
      <c r="VLV4"/>
      <c r="VLW4"/>
      <c r="VLX4"/>
      <c r="VLY4"/>
      <c r="VLZ4"/>
      <c r="VMA4"/>
      <c r="VMB4"/>
      <c r="VMC4"/>
      <c r="VMD4"/>
      <c r="VME4"/>
      <c r="VMF4"/>
      <c r="VMG4"/>
      <c r="VMH4"/>
      <c r="VMI4"/>
      <c r="VMJ4"/>
      <c r="VMK4"/>
      <c r="VML4"/>
      <c r="VMM4"/>
      <c r="VMN4"/>
      <c r="VMO4"/>
      <c r="VMP4"/>
      <c r="VMQ4"/>
      <c r="VMR4"/>
      <c r="VMS4"/>
      <c r="VMT4"/>
      <c r="VMU4"/>
      <c r="VMV4"/>
      <c r="VMW4"/>
      <c r="VMX4"/>
      <c r="VMY4"/>
      <c r="VMZ4"/>
      <c r="VNA4"/>
      <c r="VNB4"/>
      <c r="VNC4"/>
      <c r="VND4"/>
      <c r="VNE4"/>
      <c r="VNF4"/>
      <c r="VNG4"/>
      <c r="VNH4"/>
      <c r="VNI4"/>
      <c r="VNJ4"/>
      <c r="VNK4"/>
      <c r="VNL4"/>
      <c r="VNM4"/>
      <c r="VNN4"/>
      <c r="VNO4"/>
      <c r="VNP4"/>
      <c r="VNQ4"/>
      <c r="VNR4"/>
      <c r="VNS4"/>
      <c r="VNT4"/>
      <c r="VNU4"/>
      <c r="VNV4"/>
      <c r="VNW4"/>
      <c r="VNX4"/>
      <c r="VNY4"/>
      <c r="VNZ4"/>
      <c r="VOA4"/>
      <c r="VOB4"/>
      <c r="VOC4"/>
      <c r="VOD4"/>
      <c r="VOE4"/>
      <c r="VOF4"/>
      <c r="VOG4"/>
      <c r="VOH4"/>
      <c r="VOI4"/>
      <c r="VOJ4"/>
      <c r="VOK4"/>
      <c r="VOL4"/>
      <c r="VOM4"/>
      <c r="VON4"/>
      <c r="VOO4"/>
      <c r="VOP4"/>
      <c r="VOQ4"/>
      <c r="VOR4"/>
      <c r="VOS4"/>
      <c r="VOT4"/>
      <c r="VOU4"/>
      <c r="VOV4"/>
      <c r="VOW4"/>
      <c r="VOX4"/>
      <c r="VOY4"/>
      <c r="VOZ4"/>
      <c r="VPA4"/>
      <c r="VPB4"/>
      <c r="VPC4"/>
      <c r="VPD4"/>
      <c r="VPE4"/>
      <c r="VPF4"/>
      <c r="VPG4"/>
      <c r="VPH4"/>
      <c r="VPI4"/>
      <c r="VPJ4"/>
      <c r="VPK4"/>
      <c r="VPL4"/>
      <c r="VPM4"/>
      <c r="VPN4"/>
      <c r="VPO4"/>
      <c r="VPP4"/>
      <c r="VPQ4"/>
      <c r="VPR4"/>
      <c r="VPS4"/>
      <c r="VPT4"/>
      <c r="VPU4"/>
      <c r="VPV4"/>
      <c r="VPW4"/>
      <c r="VPX4"/>
      <c r="VPY4"/>
      <c r="VPZ4"/>
      <c r="VQA4"/>
      <c r="VQB4"/>
      <c r="VQC4"/>
      <c r="VQD4"/>
      <c r="VQE4"/>
      <c r="VQF4"/>
      <c r="VQG4"/>
      <c r="VQH4"/>
      <c r="VQI4"/>
      <c r="VQJ4"/>
      <c r="VQK4"/>
      <c r="VQL4"/>
      <c r="VQM4"/>
      <c r="VQN4"/>
      <c r="VQO4"/>
      <c r="VQP4"/>
      <c r="VQQ4"/>
      <c r="VQR4"/>
      <c r="VQS4"/>
      <c r="VQT4"/>
      <c r="VQU4"/>
      <c r="VQV4"/>
      <c r="VQW4"/>
      <c r="VQX4"/>
      <c r="VQY4"/>
      <c r="VQZ4"/>
      <c r="VRA4"/>
      <c r="VRB4"/>
      <c r="VRC4"/>
      <c r="VRD4"/>
      <c r="VRE4"/>
      <c r="VRF4"/>
      <c r="VRG4"/>
      <c r="VRH4"/>
      <c r="VRI4"/>
      <c r="VRJ4"/>
      <c r="VRK4"/>
      <c r="VRL4"/>
      <c r="VRM4"/>
      <c r="VRN4"/>
      <c r="VRO4"/>
      <c r="VRP4"/>
      <c r="VRQ4"/>
      <c r="VRR4"/>
      <c r="VRS4"/>
      <c r="VRT4"/>
      <c r="VRU4"/>
      <c r="VRV4"/>
      <c r="VRW4"/>
      <c r="VRX4"/>
      <c r="VRY4"/>
      <c r="VRZ4"/>
      <c r="VSA4"/>
      <c r="VSB4"/>
      <c r="VSC4"/>
      <c r="VSD4"/>
      <c r="VSE4"/>
      <c r="VSF4"/>
      <c r="VSG4"/>
      <c r="VSH4"/>
      <c r="VSI4"/>
      <c r="VSJ4"/>
      <c r="VSK4"/>
      <c r="VSL4"/>
      <c r="VSM4"/>
      <c r="VSN4"/>
      <c r="VSO4"/>
      <c r="VSP4"/>
      <c r="VSQ4"/>
      <c r="VSR4"/>
      <c r="VSS4"/>
      <c r="VST4"/>
      <c r="VSU4"/>
      <c r="VSV4"/>
      <c r="VSW4"/>
      <c r="VSX4"/>
      <c r="VSY4"/>
      <c r="VSZ4"/>
      <c r="VTA4"/>
      <c r="VTB4"/>
      <c r="VTC4"/>
      <c r="VTD4"/>
      <c r="VTE4"/>
      <c r="VTF4"/>
      <c r="VTG4"/>
      <c r="VTH4"/>
      <c r="VTI4"/>
      <c r="VTJ4"/>
      <c r="VTK4"/>
      <c r="VTL4"/>
      <c r="VTM4"/>
      <c r="VTN4"/>
      <c r="VTO4"/>
      <c r="VTP4"/>
      <c r="VTQ4"/>
      <c r="VTR4"/>
      <c r="VTS4"/>
      <c r="VTT4"/>
      <c r="VTU4"/>
      <c r="VTV4"/>
      <c r="VTW4"/>
      <c r="VTX4"/>
      <c r="VTY4"/>
      <c r="VTZ4"/>
      <c r="VUA4"/>
      <c r="VUB4"/>
      <c r="VUC4"/>
      <c r="VUD4"/>
      <c r="VUE4"/>
      <c r="VUF4"/>
      <c r="VUG4"/>
      <c r="VUH4"/>
      <c r="VUI4"/>
      <c r="VUJ4"/>
      <c r="VUK4"/>
      <c r="VUL4"/>
      <c r="VUM4"/>
      <c r="VUN4"/>
      <c r="VUO4"/>
      <c r="VUP4"/>
      <c r="VUQ4"/>
      <c r="VUR4"/>
      <c r="VUS4"/>
      <c r="VUT4"/>
      <c r="VUU4"/>
      <c r="VUV4"/>
      <c r="VUW4"/>
      <c r="VUX4"/>
      <c r="VUY4"/>
      <c r="VUZ4"/>
      <c r="VVA4"/>
      <c r="VVB4"/>
      <c r="VVC4"/>
      <c r="VVD4"/>
      <c r="VVE4"/>
      <c r="VVF4"/>
      <c r="VVG4"/>
      <c r="VVH4"/>
      <c r="VVI4"/>
      <c r="VVJ4"/>
      <c r="VVK4"/>
      <c r="VVL4"/>
      <c r="VVM4"/>
      <c r="VVN4"/>
      <c r="VVO4"/>
      <c r="VVP4"/>
      <c r="VVQ4"/>
      <c r="VVR4"/>
      <c r="VVS4"/>
      <c r="VVT4"/>
      <c r="VVU4"/>
      <c r="VVV4"/>
      <c r="VVW4"/>
      <c r="VVX4"/>
      <c r="VVY4"/>
      <c r="VVZ4"/>
      <c r="VWA4"/>
      <c r="VWB4"/>
      <c r="VWC4"/>
      <c r="VWD4"/>
      <c r="VWE4"/>
      <c r="VWF4"/>
      <c r="VWG4"/>
      <c r="VWH4"/>
      <c r="VWI4"/>
      <c r="VWJ4"/>
      <c r="VWK4"/>
      <c r="VWL4"/>
      <c r="VWM4"/>
      <c r="VWN4"/>
      <c r="VWO4"/>
      <c r="VWP4"/>
      <c r="VWQ4"/>
      <c r="VWR4"/>
      <c r="VWS4"/>
      <c r="VWT4"/>
      <c r="VWU4"/>
      <c r="VWV4"/>
      <c r="VWW4"/>
      <c r="VWX4"/>
      <c r="VWY4"/>
      <c r="VWZ4"/>
      <c r="VXA4"/>
      <c r="VXB4"/>
      <c r="VXC4"/>
      <c r="VXD4"/>
      <c r="VXE4"/>
      <c r="VXF4"/>
      <c r="VXG4"/>
      <c r="VXH4"/>
      <c r="VXI4"/>
      <c r="VXJ4"/>
      <c r="VXK4"/>
      <c r="VXL4"/>
      <c r="VXM4"/>
      <c r="VXN4"/>
      <c r="VXO4"/>
      <c r="VXP4"/>
      <c r="VXQ4"/>
      <c r="VXR4"/>
      <c r="VXS4"/>
      <c r="VXT4"/>
      <c r="VXU4"/>
      <c r="VXV4"/>
      <c r="VXW4"/>
      <c r="VXX4"/>
      <c r="VXY4"/>
      <c r="VXZ4"/>
      <c r="VYA4"/>
      <c r="VYB4"/>
      <c r="VYC4"/>
      <c r="VYD4"/>
      <c r="VYE4"/>
      <c r="VYF4"/>
      <c r="VYG4"/>
      <c r="VYH4"/>
      <c r="VYI4"/>
      <c r="VYJ4"/>
      <c r="VYK4"/>
      <c r="VYL4"/>
      <c r="VYM4"/>
      <c r="VYN4"/>
      <c r="VYO4"/>
      <c r="VYP4"/>
      <c r="VYQ4"/>
      <c r="VYR4"/>
      <c r="VYS4"/>
      <c r="VYT4"/>
      <c r="VYU4"/>
      <c r="VYV4"/>
      <c r="VYW4"/>
      <c r="VYX4"/>
      <c r="VYY4"/>
      <c r="VYZ4"/>
      <c r="VZA4"/>
      <c r="VZB4"/>
      <c r="VZC4"/>
      <c r="VZD4"/>
      <c r="VZE4"/>
      <c r="VZF4"/>
      <c r="VZG4"/>
      <c r="VZH4"/>
      <c r="VZI4"/>
      <c r="VZJ4"/>
      <c r="VZK4"/>
      <c r="VZL4"/>
      <c r="VZM4"/>
      <c r="VZN4"/>
      <c r="VZO4"/>
      <c r="VZP4"/>
      <c r="VZQ4"/>
      <c r="VZR4"/>
      <c r="VZS4"/>
      <c r="VZT4"/>
      <c r="VZU4"/>
      <c r="VZV4"/>
      <c r="VZW4"/>
      <c r="VZX4"/>
      <c r="VZY4"/>
      <c r="VZZ4"/>
      <c r="WAA4"/>
      <c r="WAB4"/>
      <c r="WAC4"/>
      <c r="WAD4"/>
      <c r="WAE4"/>
      <c r="WAF4"/>
      <c r="WAG4"/>
      <c r="WAH4"/>
      <c r="WAI4"/>
      <c r="WAJ4"/>
      <c r="WAK4"/>
      <c r="WAL4"/>
      <c r="WAM4"/>
      <c r="WAN4"/>
      <c r="WAO4"/>
      <c r="WAP4"/>
      <c r="WAQ4"/>
      <c r="WAR4"/>
      <c r="WAS4"/>
      <c r="WAT4"/>
      <c r="WAU4"/>
      <c r="WAV4"/>
      <c r="WAW4"/>
      <c r="WAX4"/>
      <c r="WAY4"/>
      <c r="WAZ4"/>
      <c r="WBA4"/>
      <c r="WBB4"/>
      <c r="WBC4"/>
      <c r="WBD4"/>
      <c r="WBE4"/>
      <c r="WBF4"/>
      <c r="WBG4"/>
      <c r="WBH4"/>
      <c r="WBI4"/>
      <c r="WBJ4"/>
      <c r="WBK4"/>
      <c r="WBL4"/>
      <c r="WBM4"/>
      <c r="WBN4"/>
      <c r="WBO4"/>
      <c r="WBP4"/>
      <c r="WBQ4"/>
      <c r="WBR4"/>
      <c r="WBS4"/>
      <c r="WBT4"/>
      <c r="WBU4"/>
      <c r="WBV4"/>
      <c r="WBW4"/>
      <c r="WBX4"/>
      <c r="WBY4"/>
      <c r="WBZ4"/>
      <c r="WCA4"/>
      <c r="WCB4"/>
      <c r="WCC4"/>
      <c r="WCD4"/>
      <c r="WCE4"/>
      <c r="WCF4"/>
      <c r="WCG4"/>
      <c r="WCH4"/>
      <c r="WCI4"/>
      <c r="WCJ4"/>
      <c r="WCK4"/>
      <c r="WCL4"/>
      <c r="WCM4"/>
      <c r="WCN4"/>
      <c r="WCO4"/>
      <c r="WCP4"/>
      <c r="WCQ4"/>
      <c r="WCR4"/>
      <c r="WCS4"/>
      <c r="WCT4"/>
      <c r="WCU4"/>
      <c r="WCV4"/>
      <c r="WCW4"/>
      <c r="WCX4"/>
      <c r="WCY4"/>
      <c r="WCZ4"/>
      <c r="WDA4"/>
      <c r="WDB4"/>
      <c r="WDC4"/>
      <c r="WDD4"/>
      <c r="WDE4"/>
      <c r="WDF4"/>
      <c r="WDG4"/>
      <c r="WDH4"/>
      <c r="WDI4"/>
      <c r="WDJ4"/>
      <c r="WDK4"/>
      <c r="WDL4"/>
      <c r="WDM4"/>
      <c r="WDN4"/>
      <c r="WDO4"/>
      <c r="WDP4"/>
      <c r="WDQ4"/>
      <c r="WDR4"/>
      <c r="WDS4"/>
      <c r="WDT4"/>
      <c r="WDU4"/>
      <c r="WDV4"/>
      <c r="WDW4"/>
      <c r="WDX4"/>
      <c r="WDY4"/>
      <c r="WDZ4"/>
      <c r="WEA4"/>
      <c r="WEB4"/>
      <c r="WEC4"/>
      <c r="WED4"/>
      <c r="WEE4"/>
      <c r="WEF4"/>
      <c r="WEG4"/>
      <c r="WEH4"/>
      <c r="WEI4"/>
      <c r="WEJ4"/>
      <c r="WEK4"/>
      <c r="WEL4"/>
      <c r="WEM4"/>
      <c r="WEN4"/>
      <c r="WEO4"/>
      <c r="WEP4"/>
      <c r="WEQ4"/>
      <c r="WER4"/>
      <c r="WES4"/>
      <c r="WET4"/>
      <c r="WEU4"/>
      <c r="WEV4"/>
      <c r="WEW4"/>
      <c r="WEX4"/>
      <c r="WEY4"/>
      <c r="WEZ4"/>
      <c r="WFA4"/>
      <c r="WFB4"/>
      <c r="WFC4"/>
      <c r="WFD4"/>
      <c r="WFE4"/>
      <c r="WFF4"/>
      <c r="WFG4"/>
      <c r="WFH4"/>
      <c r="WFI4"/>
      <c r="WFJ4"/>
      <c r="WFK4"/>
      <c r="WFL4"/>
      <c r="WFM4"/>
      <c r="WFN4"/>
      <c r="WFO4"/>
      <c r="WFP4"/>
      <c r="WFQ4"/>
      <c r="WFR4"/>
      <c r="WFS4"/>
      <c r="WFT4"/>
      <c r="WFU4"/>
      <c r="WFV4"/>
      <c r="WFW4"/>
      <c r="WFX4"/>
      <c r="WFY4"/>
      <c r="WFZ4"/>
      <c r="WGA4"/>
      <c r="WGB4"/>
      <c r="WGC4"/>
      <c r="WGD4"/>
      <c r="WGE4"/>
      <c r="WGF4"/>
      <c r="WGG4"/>
      <c r="WGH4"/>
      <c r="WGI4"/>
      <c r="WGJ4"/>
      <c r="WGK4"/>
      <c r="WGL4"/>
      <c r="WGM4"/>
      <c r="WGN4"/>
      <c r="WGO4"/>
      <c r="WGP4"/>
      <c r="WGQ4"/>
      <c r="WGR4"/>
      <c r="WGS4"/>
      <c r="WGT4"/>
      <c r="WGU4"/>
      <c r="WGV4"/>
      <c r="WGW4"/>
      <c r="WGX4"/>
      <c r="WGY4"/>
      <c r="WGZ4"/>
      <c r="WHA4"/>
      <c r="WHB4"/>
      <c r="WHC4"/>
      <c r="WHD4"/>
      <c r="WHE4"/>
      <c r="WHF4"/>
      <c r="WHG4"/>
      <c r="WHH4"/>
      <c r="WHI4"/>
      <c r="WHJ4"/>
      <c r="WHK4"/>
      <c r="WHL4"/>
      <c r="WHM4"/>
      <c r="WHN4"/>
      <c r="WHO4"/>
      <c r="WHP4"/>
      <c r="WHQ4"/>
      <c r="WHR4"/>
      <c r="WHS4"/>
      <c r="WHT4"/>
      <c r="WHU4"/>
      <c r="WHV4"/>
      <c r="WHW4"/>
      <c r="WHX4"/>
      <c r="WHY4"/>
      <c r="WHZ4"/>
      <c r="WIA4"/>
      <c r="WIB4"/>
      <c r="WIC4"/>
      <c r="WID4"/>
      <c r="WIE4"/>
      <c r="WIF4"/>
      <c r="WIG4"/>
      <c r="WIH4"/>
      <c r="WII4"/>
      <c r="WIJ4"/>
      <c r="WIK4"/>
      <c r="WIL4"/>
      <c r="WIM4"/>
      <c r="WIN4"/>
      <c r="WIO4"/>
      <c r="WIP4"/>
      <c r="WIQ4"/>
      <c r="WIR4"/>
      <c r="WIS4"/>
      <c r="WIT4"/>
      <c r="WIU4"/>
      <c r="WIV4"/>
      <c r="WIW4"/>
      <c r="WIX4"/>
      <c r="WIY4"/>
      <c r="WIZ4"/>
      <c r="WJA4"/>
      <c r="WJB4"/>
      <c r="WJC4"/>
      <c r="WJD4"/>
      <c r="WJE4"/>
      <c r="WJF4"/>
      <c r="WJG4"/>
      <c r="WJH4"/>
      <c r="WJI4"/>
      <c r="WJJ4"/>
      <c r="WJK4"/>
      <c r="WJL4"/>
      <c r="WJM4"/>
      <c r="WJN4"/>
      <c r="WJO4"/>
      <c r="WJP4"/>
      <c r="WJQ4"/>
      <c r="WJR4"/>
      <c r="WJS4"/>
      <c r="WJT4"/>
      <c r="WJU4"/>
      <c r="WJV4"/>
      <c r="WJW4"/>
      <c r="WJX4"/>
      <c r="WJY4"/>
      <c r="WJZ4"/>
      <c r="WKA4"/>
      <c r="WKB4"/>
      <c r="WKC4"/>
      <c r="WKD4"/>
      <c r="WKE4"/>
      <c r="WKF4"/>
      <c r="WKG4"/>
      <c r="WKH4"/>
      <c r="WKI4"/>
      <c r="WKJ4"/>
      <c r="WKK4"/>
      <c r="WKL4"/>
      <c r="WKM4"/>
      <c r="WKN4"/>
      <c r="WKO4"/>
      <c r="WKP4"/>
      <c r="WKQ4"/>
      <c r="WKR4"/>
      <c r="WKS4"/>
      <c r="WKT4"/>
      <c r="WKU4"/>
      <c r="WKV4"/>
      <c r="WKW4"/>
      <c r="WKX4"/>
      <c r="WKY4"/>
      <c r="WKZ4"/>
      <c r="WLA4"/>
      <c r="WLB4"/>
      <c r="WLC4"/>
      <c r="WLD4"/>
      <c r="WLE4"/>
      <c r="WLF4"/>
      <c r="WLG4"/>
      <c r="WLH4"/>
      <c r="WLI4"/>
      <c r="WLJ4"/>
      <c r="WLK4"/>
      <c r="WLL4"/>
      <c r="WLM4"/>
      <c r="WLN4"/>
      <c r="WLO4"/>
      <c r="WLP4"/>
      <c r="WLQ4"/>
      <c r="WLR4"/>
      <c r="WLS4"/>
      <c r="WLT4"/>
      <c r="WLU4"/>
      <c r="WLV4"/>
      <c r="WLW4"/>
      <c r="WLX4"/>
      <c r="WLY4"/>
      <c r="WLZ4"/>
      <c r="WMA4"/>
      <c r="WMB4"/>
      <c r="WMC4"/>
      <c r="WMD4"/>
      <c r="WME4"/>
      <c r="WMF4"/>
      <c r="WMG4"/>
      <c r="WMH4"/>
      <c r="WMI4"/>
      <c r="WMJ4"/>
      <c r="WMK4"/>
      <c r="WML4"/>
      <c r="WMM4"/>
      <c r="WMN4"/>
      <c r="WMO4"/>
      <c r="WMP4"/>
      <c r="WMQ4"/>
      <c r="WMR4"/>
      <c r="WMS4"/>
      <c r="WMT4"/>
      <c r="WMU4"/>
      <c r="WMV4"/>
      <c r="WMW4"/>
      <c r="WMX4"/>
      <c r="WMY4"/>
      <c r="WMZ4"/>
      <c r="WNA4"/>
      <c r="WNB4"/>
      <c r="WNC4"/>
      <c r="WND4"/>
      <c r="WNE4"/>
      <c r="WNF4"/>
      <c r="WNG4"/>
      <c r="WNH4"/>
      <c r="WNI4"/>
      <c r="WNJ4"/>
      <c r="WNK4"/>
      <c r="WNL4"/>
      <c r="WNM4"/>
      <c r="WNN4"/>
      <c r="WNO4"/>
      <c r="WNP4"/>
      <c r="WNQ4"/>
      <c r="WNR4"/>
      <c r="WNS4"/>
      <c r="WNT4"/>
      <c r="WNU4"/>
      <c r="WNV4"/>
      <c r="WNW4"/>
      <c r="WNX4"/>
      <c r="WNY4"/>
      <c r="WNZ4"/>
      <c r="WOA4"/>
      <c r="WOB4"/>
      <c r="WOC4"/>
      <c r="WOD4"/>
      <c r="WOE4"/>
      <c r="WOF4"/>
      <c r="WOG4"/>
      <c r="WOH4"/>
      <c r="WOI4"/>
      <c r="WOJ4"/>
      <c r="WOK4"/>
      <c r="WOL4"/>
      <c r="WOM4"/>
      <c r="WON4"/>
      <c r="WOO4"/>
      <c r="WOP4"/>
      <c r="WOQ4"/>
      <c r="WOR4"/>
      <c r="WOS4"/>
      <c r="WOT4"/>
      <c r="WOU4"/>
      <c r="WOV4"/>
      <c r="WOW4"/>
      <c r="WOX4"/>
      <c r="WOY4"/>
      <c r="WOZ4"/>
      <c r="WPA4"/>
      <c r="WPB4"/>
      <c r="WPC4"/>
      <c r="WPD4"/>
      <c r="WPE4"/>
      <c r="WPF4"/>
      <c r="WPG4"/>
      <c r="WPH4"/>
      <c r="WPI4"/>
      <c r="WPJ4"/>
      <c r="WPK4"/>
      <c r="WPL4"/>
      <c r="WPM4"/>
      <c r="WPN4"/>
      <c r="WPO4"/>
      <c r="WPP4"/>
      <c r="WPQ4"/>
      <c r="WPR4"/>
      <c r="WPS4"/>
      <c r="WPT4"/>
      <c r="WPU4"/>
      <c r="WPV4"/>
      <c r="WPW4"/>
      <c r="WPX4"/>
      <c r="WPY4"/>
      <c r="WPZ4"/>
      <c r="WQA4"/>
      <c r="WQB4"/>
      <c r="WQC4"/>
      <c r="WQD4"/>
      <c r="WQE4"/>
      <c r="WQF4"/>
      <c r="WQG4"/>
      <c r="WQH4"/>
      <c r="WQI4"/>
      <c r="WQJ4"/>
      <c r="WQK4"/>
      <c r="WQL4"/>
      <c r="WQM4"/>
      <c r="WQN4"/>
      <c r="WQO4"/>
      <c r="WQP4"/>
      <c r="WQQ4"/>
      <c r="WQR4"/>
      <c r="WQS4"/>
      <c r="WQT4"/>
      <c r="WQU4"/>
      <c r="WQV4"/>
      <c r="WQW4"/>
      <c r="WQX4"/>
      <c r="WQY4"/>
      <c r="WQZ4"/>
      <c r="WRA4"/>
      <c r="WRB4"/>
      <c r="WRC4"/>
      <c r="WRD4"/>
      <c r="WRE4"/>
      <c r="WRF4"/>
      <c r="WRG4"/>
      <c r="WRH4"/>
      <c r="WRI4"/>
      <c r="WRJ4"/>
      <c r="WRK4"/>
      <c r="WRL4"/>
      <c r="WRM4"/>
      <c r="WRN4"/>
      <c r="WRO4"/>
      <c r="WRP4"/>
      <c r="WRQ4"/>
      <c r="WRR4"/>
      <c r="WRS4"/>
      <c r="WRT4"/>
      <c r="WRU4"/>
      <c r="WRV4"/>
      <c r="WRW4"/>
      <c r="WRX4"/>
      <c r="WRY4"/>
      <c r="WRZ4"/>
      <c r="WSA4"/>
      <c r="WSB4"/>
      <c r="WSC4"/>
      <c r="WSD4"/>
      <c r="WSE4"/>
      <c r="WSF4"/>
      <c r="WSG4"/>
      <c r="WSH4"/>
      <c r="WSI4"/>
      <c r="WSJ4"/>
      <c r="WSK4"/>
      <c r="WSL4"/>
      <c r="WSM4"/>
      <c r="WSN4"/>
      <c r="WSO4"/>
      <c r="WSP4"/>
      <c r="WSQ4"/>
      <c r="WSR4"/>
      <c r="WSS4"/>
      <c r="WST4"/>
      <c r="WSU4"/>
      <c r="WSV4"/>
      <c r="WSW4"/>
      <c r="WSX4"/>
      <c r="WSY4"/>
      <c r="WSZ4"/>
      <c r="WTA4"/>
      <c r="WTB4"/>
      <c r="WTC4"/>
      <c r="WTD4"/>
      <c r="WTE4"/>
      <c r="WTF4"/>
      <c r="WTG4"/>
      <c r="WTH4"/>
      <c r="WTI4"/>
      <c r="WTJ4"/>
      <c r="WTK4"/>
      <c r="WTL4"/>
      <c r="WTM4"/>
      <c r="WTN4"/>
      <c r="WTO4"/>
      <c r="WTP4"/>
      <c r="WTQ4"/>
      <c r="WTR4"/>
      <c r="WTS4"/>
      <c r="WTT4"/>
      <c r="WTU4"/>
      <c r="WTV4"/>
      <c r="WTW4"/>
      <c r="WTX4"/>
      <c r="WTY4"/>
      <c r="WTZ4"/>
      <c r="WUA4"/>
      <c r="WUB4"/>
      <c r="WUC4"/>
      <c r="WUD4"/>
      <c r="WUE4"/>
      <c r="WUF4"/>
      <c r="WUG4"/>
      <c r="WUH4"/>
      <c r="WUI4"/>
      <c r="WUJ4"/>
      <c r="WUK4"/>
      <c r="WUL4"/>
      <c r="WUM4"/>
      <c r="WUN4"/>
      <c r="WUO4"/>
      <c r="WUP4"/>
      <c r="WUQ4"/>
      <c r="WUR4"/>
      <c r="WUS4"/>
      <c r="WUT4"/>
      <c r="WUU4"/>
      <c r="WUV4"/>
      <c r="WUW4"/>
      <c r="WUX4"/>
      <c r="WUY4"/>
      <c r="WUZ4"/>
      <c r="WVA4"/>
      <c r="WVB4"/>
      <c r="WVC4"/>
      <c r="WVD4"/>
      <c r="WVE4"/>
      <c r="WVF4"/>
      <c r="WVG4"/>
      <c r="WVH4"/>
      <c r="WVI4"/>
      <c r="WVJ4"/>
      <c r="WVK4"/>
      <c r="WVL4"/>
      <c r="WVM4"/>
      <c r="WVN4"/>
      <c r="WVO4"/>
      <c r="WVP4"/>
      <c r="WVQ4"/>
      <c r="WVR4"/>
      <c r="WVS4"/>
      <c r="WVT4"/>
      <c r="WVU4"/>
      <c r="WVV4"/>
      <c r="WVW4"/>
      <c r="WVX4"/>
      <c r="WVY4"/>
      <c r="WVZ4"/>
      <c r="WWA4"/>
      <c r="WWB4"/>
      <c r="WWC4"/>
      <c r="WWD4"/>
      <c r="WWE4"/>
      <c r="WWF4"/>
      <c r="WWG4"/>
      <c r="WWH4"/>
      <c r="WWI4"/>
      <c r="WWJ4"/>
      <c r="WWK4"/>
      <c r="WWL4"/>
      <c r="WWM4"/>
      <c r="WWN4"/>
      <c r="WWO4"/>
      <c r="WWP4"/>
      <c r="WWQ4"/>
      <c r="WWR4"/>
      <c r="WWS4"/>
      <c r="WWT4"/>
      <c r="WWU4"/>
      <c r="WWV4"/>
      <c r="WWW4"/>
      <c r="WWX4"/>
      <c r="WWY4"/>
      <c r="WWZ4"/>
      <c r="WXA4"/>
      <c r="WXB4"/>
      <c r="WXC4"/>
      <c r="WXD4"/>
      <c r="WXE4"/>
      <c r="WXF4"/>
      <c r="WXG4"/>
      <c r="WXH4"/>
      <c r="WXI4"/>
      <c r="WXJ4"/>
      <c r="WXK4"/>
      <c r="WXL4"/>
      <c r="WXM4"/>
      <c r="WXN4"/>
      <c r="WXO4"/>
      <c r="WXP4"/>
      <c r="WXQ4"/>
      <c r="WXR4"/>
      <c r="WXS4"/>
      <c r="WXT4"/>
      <c r="WXU4"/>
      <c r="WXV4"/>
      <c r="WXW4"/>
      <c r="WXX4"/>
      <c r="WXY4"/>
      <c r="WXZ4"/>
      <c r="WYA4"/>
      <c r="WYB4"/>
      <c r="WYC4"/>
      <c r="WYD4"/>
      <c r="WYE4"/>
      <c r="WYF4"/>
      <c r="WYG4"/>
      <c r="WYH4"/>
      <c r="WYI4"/>
      <c r="WYJ4"/>
      <c r="WYK4"/>
      <c r="WYL4"/>
      <c r="WYM4"/>
      <c r="WYN4"/>
      <c r="WYO4"/>
      <c r="WYP4"/>
      <c r="WYQ4"/>
      <c r="WYR4"/>
      <c r="WYS4"/>
      <c r="WYT4"/>
      <c r="WYU4"/>
      <c r="WYV4"/>
      <c r="WYW4"/>
      <c r="WYX4"/>
      <c r="WYY4"/>
      <c r="WYZ4"/>
      <c r="WZA4"/>
      <c r="WZB4"/>
      <c r="WZC4"/>
      <c r="WZD4"/>
      <c r="WZE4"/>
      <c r="WZF4"/>
      <c r="WZG4"/>
      <c r="WZH4"/>
      <c r="WZI4"/>
      <c r="WZJ4"/>
      <c r="WZK4"/>
      <c r="WZL4"/>
      <c r="WZM4"/>
      <c r="WZN4"/>
      <c r="WZO4"/>
      <c r="WZP4"/>
      <c r="WZQ4"/>
      <c r="WZR4"/>
      <c r="WZS4"/>
      <c r="WZT4"/>
      <c r="WZU4"/>
      <c r="WZV4"/>
      <c r="WZW4"/>
      <c r="WZX4"/>
      <c r="WZY4"/>
      <c r="WZZ4"/>
      <c r="XAA4"/>
      <c r="XAB4"/>
      <c r="XAC4"/>
      <c r="XAD4"/>
      <c r="XAE4"/>
      <c r="XAF4"/>
      <c r="XAG4"/>
      <c r="XAH4"/>
      <c r="XAI4"/>
      <c r="XAJ4"/>
      <c r="XAK4"/>
      <c r="XAL4"/>
      <c r="XAM4"/>
      <c r="XAN4"/>
      <c r="XAO4"/>
      <c r="XAP4"/>
      <c r="XAQ4"/>
      <c r="XAR4"/>
      <c r="XAS4"/>
      <c r="XAT4"/>
      <c r="XAU4"/>
      <c r="XAV4"/>
      <c r="XAW4"/>
      <c r="XAX4"/>
      <c r="XAY4"/>
      <c r="XAZ4"/>
      <c r="XBA4"/>
      <c r="XBB4"/>
      <c r="XBC4"/>
      <c r="XBD4"/>
      <c r="XBE4"/>
      <c r="XBF4"/>
      <c r="XBG4"/>
      <c r="XBH4"/>
      <c r="XBI4"/>
      <c r="XBJ4"/>
      <c r="XBK4"/>
      <c r="XBL4"/>
      <c r="XBM4"/>
      <c r="XBN4"/>
      <c r="XBO4"/>
      <c r="XBP4"/>
      <c r="XBQ4"/>
      <c r="XBR4"/>
      <c r="XBS4"/>
      <c r="XBT4"/>
      <c r="XBU4"/>
      <c r="XBV4"/>
      <c r="XBW4"/>
      <c r="XBX4"/>
      <c r="XBY4"/>
      <c r="XBZ4"/>
      <c r="XCA4"/>
      <c r="XCB4"/>
      <c r="XCC4"/>
      <c r="XCD4"/>
      <c r="XCE4"/>
      <c r="XCF4"/>
      <c r="XCG4"/>
      <c r="XCH4"/>
      <c r="XCI4"/>
      <c r="XCJ4"/>
      <c r="XCK4"/>
      <c r="XCL4"/>
      <c r="XCM4"/>
      <c r="XCN4"/>
      <c r="XCO4"/>
      <c r="XCP4"/>
      <c r="XCQ4"/>
      <c r="XCR4"/>
      <c r="XCS4"/>
      <c r="XCT4"/>
      <c r="XCU4"/>
      <c r="XCV4"/>
      <c r="XCW4"/>
      <c r="XCX4"/>
      <c r="XCY4"/>
      <c r="XCZ4"/>
      <c r="XDA4"/>
      <c r="XDB4"/>
      <c r="XDC4"/>
      <c r="XDD4"/>
      <c r="XDE4"/>
      <c r="XDF4"/>
      <c r="XDG4"/>
      <c r="XDH4"/>
      <c r="XDI4"/>
      <c r="XDJ4"/>
      <c r="XDK4"/>
      <c r="XDL4"/>
      <c r="XDM4"/>
      <c r="XDN4"/>
      <c r="XDO4"/>
      <c r="XDP4"/>
      <c r="XDQ4"/>
      <c r="XDR4"/>
      <c r="XDS4"/>
      <c r="XDT4"/>
      <c r="XDU4"/>
      <c r="XDV4"/>
      <c r="XDW4"/>
      <c r="XDX4"/>
      <c r="XDY4"/>
      <c r="XDZ4"/>
      <c r="XEA4"/>
      <c r="XEB4"/>
      <c r="XEC4"/>
      <c r="XED4"/>
      <c r="XEE4"/>
      <c r="XEF4"/>
      <c r="XEG4"/>
      <c r="XEH4"/>
      <c r="XEI4"/>
      <c r="XEJ4"/>
      <c r="XEK4"/>
      <c r="XEL4"/>
      <c r="XEM4"/>
      <c r="XEN4"/>
      <c r="XEO4"/>
      <c r="XEP4"/>
      <c r="XEQ4"/>
      <c r="XER4"/>
      <c r="XES4"/>
      <c r="XET4"/>
      <c r="XEU4"/>
      <c r="XEV4"/>
      <c r="XEW4"/>
      <c r="XEX4"/>
      <c r="XEY4"/>
      <c r="XEZ4"/>
      <c r="XFA4"/>
      <c r="XFB4"/>
      <c r="XFC4"/>
      <c r="XFD4"/>
    </row>
    <row r="5" spans="1:16384" s="40" customFormat="1" x14ac:dyDescent="0.35">
      <c r="A5" s="40" t="s">
        <v>11</v>
      </c>
    </row>
    <row r="6" spans="1:16384" x14ac:dyDescent="0.35">
      <c r="A6" s="1"/>
      <c r="B6" s="1"/>
      <c r="C6" s="2" t="s">
        <v>12</v>
      </c>
      <c r="D6" s="54">
        <v>3000</v>
      </c>
      <c r="H6" s="32" t="s">
        <v>10</v>
      </c>
      <c r="I6" s="4">
        <f>D33</f>
        <v>1.2019553898255568</v>
      </c>
    </row>
    <row r="7" spans="1:16384" x14ac:dyDescent="0.35">
      <c r="A7" s="1"/>
      <c r="B7" s="1"/>
      <c r="C7" s="2" t="s">
        <v>13</v>
      </c>
      <c r="D7" s="53">
        <v>0.8</v>
      </c>
      <c r="H7" s="32" t="s">
        <v>108</v>
      </c>
      <c r="I7" s="7">
        <f>D27</f>
        <v>2400</v>
      </c>
    </row>
    <row r="8" spans="1:16384" x14ac:dyDescent="0.35">
      <c r="A8" s="1"/>
      <c r="B8" s="1"/>
      <c r="C8" s="2" t="s">
        <v>14</v>
      </c>
      <c r="D8" s="6">
        <f>D6*D7</f>
        <v>2400</v>
      </c>
      <c r="H8" s="32" t="s">
        <v>102</v>
      </c>
      <c r="I8" s="12">
        <f>I7/D6</f>
        <v>0.8</v>
      </c>
    </row>
    <row r="9" spans="1:16384" x14ac:dyDescent="0.35">
      <c r="A9" s="1"/>
      <c r="B9" s="1"/>
      <c r="C9" s="2" t="s">
        <v>1</v>
      </c>
      <c r="D9" s="51">
        <v>1.2</v>
      </c>
    </row>
    <row r="10" spans="1:16384" x14ac:dyDescent="0.35">
      <c r="A10" s="1"/>
      <c r="B10" s="1"/>
    </row>
    <row r="11" spans="1:16384" x14ac:dyDescent="0.35">
      <c r="A11" s="1"/>
      <c r="B11" s="1"/>
      <c r="C11" s="2" t="s">
        <v>2</v>
      </c>
      <c r="E11" s="4">
        <f>'Basic Case - NPV Analysis'!E16</f>
        <v>210.60000000000002</v>
      </c>
      <c r="F11" s="4">
        <f>'Basic Case - NPV Analysis'!F16</f>
        <v>227.44800000000004</v>
      </c>
      <c r="G11" s="4">
        <f>'Basic Case - NPV Analysis'!G16</f>
        <v>238.82040000000003</v>
      </c>
      <c r="H11" s="4">
        <f>'Basic Case - NPV Analysis'!H16</f>
        <v>250.76142000000004</v>
      </c>
      <c r="I11" s="4">
        <f>'Basic Case - NPV Analysis'!I16</f>
        <v>263.29949100000005</v>
      </c>
      <c r="J11" s="4">
        <f>'Basic Case - NPV Analysis'!J16</f>
        <v>276.46446555000006</v>
      </c>
      <c r="K11" s="4">
        <f>'Basic Case - NPV Analysis'!K16</f>
        <v>284.75839951650005</v>
      </c>
      <c r="L11" s="4">
        <f>'Basic Case - NPV Analysis'!L16</f>
        <v>293.30115150199504</v>
      </c>
      <c r="M11" s="4">
        <f>'Basic Case - NPV Analysis'!M16</f>
        <v>302.10018604705488</v>
      </c>
      <c r="N11" s="4">
        <f>'Basic Case - NPV Analysis'!N16</f>
        <v>308.142189767996</v>
      </c>
      <c r="O11" s="4">
        <f>'Basic Case - NPV Analysis'!O16</f>
        <v>314.30503356335595</v>
      </c>
      <c r="P11" s="4">
        <f>'Basic Case - NPV Analysis'!P16</f>
        <v>320.5911342346231</v>
      </c>
      <c r="Q11" s="4">
        <f>'Basic Case - NPV Analysis'!Q16</f>
        <v>327.00295691931558</v>
      </c>
      <c r="R11" s="4">
        <f>'Basic Case - NPV Analysis'!R16</f>
        <v>333.54301605770189</v>
      </c>
      <c r="S11" s="4">
        <f>'Basic Case - NPV Analysis'!S16</f>
        <v>340.21387637885596</v>
      </c>
      <c r="T11" s="4">
        <f>'Basic Case - NPV Analysis'!T16</f>
        <v>347.0181539064331</v>
      </c>
      <c r="U11" s="4">
        <f>'Basic Case - NPV Analysis'!U16</f>
        <v>353.95851698456175</v>
      </c>
      <c r="V11" s="4">
        <f>'Basic Case - NPV Analysis'!V16</f>
        <v>361.037687324253</v>
      </c>
      <c r="W11" s="4">
        <f>'Basic Case - NPV Analysis'!W16</f>
        <v>368.25844107073806</v>
      </c>
      <c r="X11" s="4">
        <f>'Basic Case - NPV Analysis'!X16</f>
        <v>375.62360989215284</v>
      </c>
      <c r="Y11" s="4">
        <f>'Basic Case - NPV Analysis'!Y16</f>
        <v>383.13608208999591</v>
      </c>
      <c r="Z11" s="4">
        <f>'Basic Case - NPV Analysis'!Z16</f>
        <v>390.79880373179583</v>
      </c>
      <c r="AA11" s="4">
        <f>'Basic Case - NPV Analysis'!AA16</f>
        <v>398.61477980643173</v>
      </c>
      <c r="AB11" s="4">
        <f>'Basic Case - NPV Analysis'!AB16</f>
        <v>406.58707540256034</v>
      </c>
      <c r="AC11" s="4">
        <f>'Basic Case - NPV Analysis'!AC16</f>
        <v>414.71881691061157</v>
      </c>
    </row>
    <row r="12" spans="1:16384" x14ac:dyDescent="0.35">
      <c r="A12" s="1"/>
      <c r="B12" s="1"/>
      <c r="C12" s="2" t="s">
        <v>48</v>
      </c>
      <c r="E12" s="2" t="b">
        <f>'Basic Case - NPV Analysis'!E18</f>
        <v>1</v>
      </c>
      <c r="F12" s="2" t="b">
        <f>'Basic Case - NPV Analysis'!F18</f>
        <v>1</v>
      </c>
      <c r="G12" s="2" t="b">
        <f>'Basic Case - NPV Analysis'!G18</f>
        <v>1</v>
      </c>
      <c r="H12" s="2" t="b">
        <f>'Basic Case - NPV Analysis'!H18</f>
        <v>1</v>
      </c>
      <c r="I12" s="2" t="b">
        <f>'Basic Case - NPV Analysis'!I18</f>
        <v>1</v>
      </c>
      <c r="J12" s="2" t="b">
        <f>'Basic Case - NPV Analysis'!J18</f>
        <v>1</v>
      </c>
      <c r="K12" s="2" t="b">
        <f>'Basic Case - NPV Analysis'!K18</f>
        <v>1</v>
      </c>
      <c r="L12" s="2" t="b">
        <f>'Basic Case - NPV Analysis'!L18</f>
        <v>1</v>
      </c>
      <c r="M12" s="2" t="b">
        <f>'Basic Case - NPV Analysis'!M18</f>
        <v>1</v>
      </c>
      <c r="N12" s="2" t="b">
        <f>'Basic Case - NPV Analysis'!N18</f>
        <v>1</v>
      </c>
      <c r="O12" s="2" t="b">
        <f>'Basic Case - NPV Analysis'!O18</f>
        <v>1</v>
      </c>
      <c r="P12" s="2" t="b">
        <f>'Basic Case - NPV Analysis'!P18</f>
        <v>1</v>
      </c>
      <c r="Q12" s="2" t="b">
        <f>'Basic Case - NPV Analysis'!Q18</f>
        <v>1</v>
      </c>
      <c r="R12" s="2" t="b">
        <f>'Basic Case - NPV Analysis'!R18</f>
        <v>1</v>
      </c>
      <c r="S12" s="2" t="b">
        <f>'Basic Case - NPV Analysis'!S18</f>
        <v>1</v>
      </c>
      <c r="T12" s="2" t="b">
        <f>'Basic Case - NPV Analysis'!T18</f>
        <v>0</v>
      </c>
      <c r="U12" s="2" t="b">
        <f>'Basic Case - NPV Analysis'!U18</f>
        <v>0</v>
      </c>
      <c r="V12" s="2" t="b">
        <f>'Basic Case - NPV Analysis'!V18</f>
        <v>0</v>
      </c>
      <c r="W12" s="2" t="b">
        <f>'Basic Case - NPV Analysis'!W18</f>
        <v>0</v>
      </c>
      <c r="X12" s="2" t="b">
        <f>'Basic Case - NPV Analysis'!X18</f>
        <v>0</v>
      </c>
      <c r="Y12" s="2" t="b">
        <f>'Basic Case - NPV Analysis'!Y18</f>
        <v>0</v>
      </c>
      <c r="Z12" s="2" t="b">
        <f>'Basic Case - NPV Analysis'!Z18</f>
        <v>0</v>
      </c>
      <c r="AA12" s="2" t="b">
        <f>'Basic Case - NPV Analysis'!AA18</f>
        <v>0</v>
      </c>
      <c r="AB12" s="2" t="b">
        <f>'Basic Case - NPV Analysis'!AB18</f>
        <v>0</v>
      </c>
      <c r="AC12" s="2" t="b">
        <f>'Basic Case - NPV Analysis'!AC18</f>
        <v>0</v>
      </c>
    </row>
    <row r="13" spans="1:16384" x14ac:dyDescent="0.35">
      <c r="A13" s="1"/>
      <c r="B13" s="1"/>
      <c r="C13" s="2" t="s">
        <v>15</v>
      </c>
      <c r="D13" s="6">
        <f t="array" ref="D13">NPV(Intrest_Rate,E11:AC11*E12:AC12)</f>
        <v>2884.6929355813363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</row>
    <row r="14" spans="1:16384" x14ac:dyDescent="0.35">
      <c r="A14" s="1"/>
      <c r="B14" s="1"/>
      <c r="C14" s="2" t="s">
        <v>49</v>
      </c>
      <c r="D14" s="6">
        <f>D13/D9</f>
        <v>2403.9107796511139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</row>
    <row r="15" spans="1:16384" x14ac:dyDescent="0.35">
      <c r="A15" s="1"/>
      <c r="B15" s="1"/>
      <c r="C15" s="2" t="s">
        <v>52</v>
      </c>
      <c r="D15" s="17">
        <f>D14/D6</f>
        <v>0.80130359321703792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</row>
    <row r="16" spans="1:16384" x14ac:dyDescent="0.35">
      <c r="A16" s="1"/>
      <c r="B16" s="1"/>
      <c r="C16" s="2" t="s">
        <v>53</v>
      </c>
      <c r="D16" s="18" t="str">
        <f>IF(D15&lt;D7,"DSCR","Debt to Cap")</f>
        <v>Debt to Cap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</row>
    <row r="17" spans="1:29" x14ac:dyDescent="0.35">
      <c r="A17" s="1"/>
      <c r="B17" s="1"/>
      <c r="D17" s="1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</row>
    <row r="18" spans="1:29" x14ac:dyDescent="0.35">
      <c r="A18" s="1"/>
      <c r="B18" s="1"/>
      <c r="C18" s="27" t="s">
        <v>50</v>
      </c>
      <c r="D18" s="28">
        <f>D13/D8</f>
        <v>1.2019553898255568</v>
      </c>
      <c r="E18" s="4"/>
    </row>
    <row r="19" spans="1:29" x14ac:dyDescent="0.35">
      <c r="A19" s="1"/>
      <c r="B19" s="1"/>
      <c r="D19" s="4"/>
      <c r="E19" s="4"/>
    </row>
    <row r="20" spans="1:29" x14ac:dyDescent="0.35">
      <c r="A20" s="1"/>
      <c r="B20" s="1"/>
      <c r="C20" s="2" t="s">
        <v>51</v>
      </c>
      <c r="D20" s="4">
        <f>MAX(D18,D9)</f>
        <v>1.2019553898255568</v>
      </c>
      <c r="E20" s="4"/>
    </row>
    <row r="21" spans="1:29" x14ac:dyDescent="0.35">
      <c r="A21" s="1"/>
      <c r="B21" s="1"/>
      <c r="D21" s="4"/>
      <c r="E21" s="4"/>
    </row>
    <row r="22" spans="1:29" s="4" customFormat="1" x14ac:dyDescent="0.35">
      <c r="A22" s="8"/>
      <c r="B22" s="8"/>
      <c r="C22" s="4" t="s">
        <v>3</v>
      </c>
      <c r="D22" s="4">
        <f>D20</f>
        <v>1.2019553898255568</v>
      </c>
      <c r="E22" s="4">
        <f t="shared" ref="E22:AC22" si="0">E11/$D$22*E12</f>
        <v>175.21448947499206</v>
      </c>
      <c r="F22" s="4">
        <f t="shared" si="0"/>
        <v>189.23164863299144</v>
      </c>
      <c r="G22" s="4">
        <f t="shared" si="0"/>
        <v>198.69323106464103</v>
      </c>
      <c r="H22" s="4">
        <f t="shared" si="0"/>
        <v>208.62789261787307</v>
      </c>
      <c r="I22" s="4">
        <f t="shared" si="0"/>
        <v>219.05928724876674</v>
      </c>
      <c r="J22" s="4">
        <f t="shared" si="0"/>
        <v>230.01225161120507</v>
      </c>
      <c r="K22" s="4">
        <f t="shared" si="0"/>
        <v>236.91261915954121</v>
      </c>
      <c r="L22" s="4">
        <f t="shared" si="0"/>
        <v>244.01999773432743</v>
      </c>
      <c r="M22" s="4">
        <f t="shared" si="0"/>
        <v>251.34059766635727</v>
      </c>
      <c r="N22" s="4">
        <f t="shared" si="0"/>
        <v>256.36740961968445</v>
      </c>
      <c r="O22" s="4">
        <f t="shared" si="0"/>
        <v>261.49475781207815</v>
      </c>
      <c r="P22" s="4">
        <f t="shared" si="0"/>
        <v>266.72465296831973</v>
      </c>
      <c r="Q22" s="4">
        <f t="shared" si="0"/>
        <v>272.05914602768615</v>
      </c>
      <c r="R22" s="4">
        <f t="shared" si="0"/>
        <v>277.50032894823988</v>
      </c>
      <c r="S22" s="4">
        <f t="shared" si="0"/>
        <v>283.05033552720465</v>
      </c>
      <c r="T22" s="4">
        <f t="shared" si="0"/>
        <v>0</v>
      </c>
      <c r="U22" s="4">
        <f t="shared" si="0"/>
        <v>0</v>
      </c>
      <c r="V22" s="4">
        <f t="shared" si="0"/>
        <v>0</v>
      </c>
      <c r="W22" s="4">
        <f t="shared" si="0"/>
        <v>0</v>
      </c>
      <c r="X22" s="4">
        <f t="shared" si="0"/>
        <v>0</v>
      </c>
      <c r="Y22" s="4">
        <f t="shared" si="0"/>
        <v>0</v>
      </c>
      <c r="Z22" s="4">
        <f t="shared" si="0"/>
        <v>0</v>
      </c>
      <c r="AA22" s="4">
        <f t="shared" si="0"/>
        <v>0</v>
      </c>
      <c r="AB22" s="4">
        <f t="shared" si="0"/>
        <v>0</v>
      </c>
      <c r="AC22" s="4">
        <f t="shared" si="0"/>
        <v>0</v>
      </c>
    </row>
    <row r="23" spans="1:29" s="4" customFormat="1" x14ac:dyDescent="0.35">
      <c r="A23" s="8"/>
      <c r="B23" s="8"/>
      <c r="C23" s="4" t="s">
        <v>54</v>
      </c>
      <c r="D23" s="4">
        <f>NPV(Intrest_Rate,E22:AC22)</f>
        <v>2400</v>
      </c>
    </row>
    <row r="24" spans="1:29" x14ac:dyDescent="0.35">
      <c r="A24" s="1"/>
      <c r="B24" s="1"/>
    </row>
    <row r="25" spans="1:29" x14ac:dyDescent="0.35">
      <c r="A25" s="1"/>
      <c r="B25" s="1"/>
      <c r="C25" s="2" t="s">
        <v>5</v>
      </c>
      <c r="D25" s="6"/>
      <c r="E25" s="6">
        <f t="shared" ref="E25:AC25" si="1">D27</f>
        <v>2400</v>
      </c>
      <c r="F25" s="6">
        <f t="shared" si="1"/>
        <v>2344.7855105250078</v>
      </c>
      <c r="G25" s="6">
        <f t="shared" si="1"/>
        <v>2272.7931374182667</v>
      </c>
      <c r="H25" s="6">
        <f t="shared" si="1"/>
        <v>2187.7395632245389</v>
      </c>
      <c r="I25" s="6">
        <f t="shared" si="1"/>
        <v>2088.4986487678925</v>
      </c>
      <c r="J25" s="6">
        <f t="shared" si="1"/>
        <v>1973.8642939575204</v>
      </c>
      <c r="K25" s="6">
        <f t="shared" si="1"/>
        <v>1842.5452570441914</v>
      </c>
      <c r="L25" s="6">
        <f t="shared" si="1"/>
        <v>1697.7599007368599</v>
      </c>
      <c r="M25" s="6">
        <f t="shared" si="1"/>
        <v>1538.6278980393754</v>
      </c>
      <c r="N25" s="6">
        <f t="shared" si="1"/>
        <v>1364.2186952749869</v>
      </c>
      <c r="O25" s="6">
        <f t="shared" si="1"/>
        <v>1176.0622204190518</v>
      </c>
      <c r="P25" s="6">
        <f t="shared" si="1"/>
        <v>973.37057362792621</v>
      </c>
      <c r="Q25" s="6">
        <f t="shared" si="1"/>
        <v>755.31444934100273</v>
      </c>
      <c r="R25" s="6">
        <f t="shared" si="1"/>
        <v>521.0210257803667</v>
      </c>
      <c r="S25" s="6">
        <f t="shared" si="1"/>
        <v>269.57174812114516</v>
      </c>
      <c r="T25" s="6">
        <f t="shared" si="1"/>
        <v>-2.2168933355715126E-12</v>
      </c>
      <c r="U25" s="6">
        <f t="shared" si="1"/>
        <v>-2.3277380023500884E-12</v>
      </c>
      <c r="V25" s="6">
        <f t="shared" si="1"/>
        <v>-2.4441249024675927E-12</v>
      </c>
      <c r="W25" s="6">
        <f t="shared" si="1"/>
        <v>-2.5663311475909725E-12</v>
      </c>
      <c r="X25" s="6">
        <f t="shared" si="1"/>
        <v>-2.6946477049705209E-12</v>
      </c>
      <c r="Y25" s="6">
        <f t="shared" si="1"/>
        <v>-2.8293800902190471E-12</v>
      </c>
      <c r="Z25" s="6">
        <f t="shared" si="1"/>
        <v>-2.9708490947299995E-12</v>
      </c>
      <c r="AA25" s="6">
        <f t="shared" si="1"/>
        <v>-3.1193915494664994E-12</v>
      </c>
      <c r="AB25" s="6">
        <f t="shared" si="1"/>
        <v>-3.2753611269398243E-12</v>
      </c>
      <c r="AC25" s="6">
        <f t="shared" si="1"/>
        <v>-3.4391291832868154E-12</v>
      </c>
    </row>
    <row r="26" spans="1:29" x14ac:dyDescent="0.35">
      <c r="A26" s="1"/>
      <c r="B26" s="1"/>
      <c r="C26" s="2" t="s">
        <v>6</v>
      </c>
      <c r="D26" s="6"/>
      <c r="E26" s="6">
        <f t="shared" ref="E26:AC26" si="2">E22-E28</f>
        <v>55.214489474992064</v>
      </c>
      <c r="F26" s="6">
        <f t="shared" si="2"/>
        <v>71.992373106741042</v>
      </c>
      <c r="G26" s="6">
        <f t="shared" si="2"/>
        <v>85.053574193727684</v>
      </c>
      <c r="H26" s="6">
        <f t="shared" si="2"/>
        <v>99.240914456646124</v>
      </c>
      <c r="I26" s="6">
        <f t="shared" si="2"/>
        <v>114.6343548103721</v>
      </c>
      <c r="J26" s="6">
        <f t="shared" si="2"/>
        <v>131.31903691332906</v>
      </c>
      <c r="K26" s="6">
        <f t="shared" si="2"/>
        <v>144.78535630733163</v>
      </c>
      <c r="L26" s="6">
        <f t="shared" si="2"/>
        <v>159.13200269748444</v>
      </c>
      <c r="M26" s="6">
        <f t="shared" si="2"/>
        <v>174.40920276438851</v>
      </c>
      <c r="N26" s="6">
        <f t="shared" si="2"/>
        <v>188.1564748559351</v>
      </c>
      <c r="O26" s="6">
        <f t="shared" si="2"/>
        <v>202.69164679112555</v>
      </c>
      <c r="P26" s="6">
        <f t="shared" si="2"/>
        <v>218.05612428692342</v>
      </c>
      <c r="Q26" s="6">
        <f t="shared" si="2"/>
        <v>234.29342356063603</v>
      </c>
      <c r="R26" s="6">
        <f t="shared" si="2"/>
        <v>251.44927765922154</v>
      </c>
      <c r="S26" s="6">
        <f t="shared" si="2"/>
        <v>269.57174812114738</v>
      </c>
      <c r="T26" s="6">
        <f t="shared" si="2"/>
        <v>1.1084466677857564E-13</v>
      </c>
      <c r="U26" s="6">
        <f t="shared" si="2"/>
        <v>1.1638690011750443E-13</v>
      </c>
      <c r="V26" s="6">
        <f t="shared" si="2"/>
        <v>1.2220624512337964E-13</v>
      </c>
      <c r="W26" s="6">
        <f t="shared" si="2"/>
        <v>1.2831655737954863E-13</v>
      </c>
      <c r="X26" s="6">
        <f t="shared" si="2"/>
        <v>1.3473238524852606E-13</v>
      </c>
      <c r="Y26" s="6">
        <f t="shared" si="2"/>
        <v>1.4146900451095236E-13</v>
      </c>
      <c r="Z26" s="6">
        <f t="shared" si="2"/>
        <v>1.4854245473649999E-13</v>
      </c>
      <c r="AA26" s="6">
        <f t="shared" si="2"/>
        <v>1.5596957747332498E-13</v>
      </c>
      <c r="AB26" s="6">
        <f t="shared" si="2"/>
        <v>1.6376805634699122E-13</v>
      </c>
      <c r="AC26" s="6">
        <f t="shared" si="2"/>
        <v>1.7195645916434077E-13</v>
      </c>
    </row>
    <row r="27" spans="1:29" x14ac:dyDescent="0.35">
      <c r="A27" s="1"/>
      <c r="B27" s="1"/>
      <c r="C27" s="2" t="s">
        <v>7</v>
      </c>
      <c r="D27" s="6">
        <f>D23</f>
        <v>2400</v>
      </c>
      <c r="E27" s="6">
        <f t="shared" ref="E27:AC27" si="3">E25-E26</f>
        <v>2344.7855105250078</v>
      </c>
      <c r="F27" s="6">
        <f t="shared" si="3"/>
        <v>2272.7931374182667</v>
      </c>
      <c r="G27" s="6">
        <f t="shared" si="3"/>
        <v>2187.7395632245389</v>
      </c>
      <c r="H27" s="6">
        <f t="shared" si="3"/>
        <v>2088.4986487678925</v>
      </c>
      <c r="I27" s="6">
        <f t="shared" si="3"/>
        <v>1973.8642939575204</v>
      </c>
      <c r="J27" s="6">
        <f t="shared" si="3"/>
        <v>1842.5452570441914</v>
      </c>
      <c r="K27" s="6">
        <f t="shared" si="3"/>
        <v>1697.7599007368599</v>
      </c>
      <c r="L27" s="6">
        <f t="shared" si="3"/>
        <v>1538.6278980393754</v>
      </c>
      <c r="M27" s="6">
        <f t="shared" si="3"/>
        <v>1364.2186952749869</v>
      </c>
      <c r="N27" s="6">
        <f t="shared" si="3"/>
        <v>1176.0622204190518</v>
      </c>
      <c r="O27" s="6">
        <f t="shared" si="3"/>
        <v>973.37057362792621</v>
      </c>
      <c r="P27" s="6">
        <f t="shared" si="3"/>
        <v>755.31444934100273</v>
      </c>
      <c r="Q27" s="6">
        <f t="shared" si="3"/>
        <v>521.0210257803667</v>
      </c>
      <c r="R27" s="6">
        <f t="shared" si="3"/>
        <v>269.57174812114516</v>
      </c>
      <c r="S27" s="6">
        <f t="shared" si="3"/>
        <v>-2.2168933355715126E-12</v>
      </c>
      <c r="T27" s="6">
        <f t="shared" si="3"/>
        <v>-2.3277380023500884E-12</v>
      </c>
      <c r="U27" s="6">
        <f t="shared" si="3"/>
        <v>-2.4441249024675927E-12</v>
      </c>
      <c r="V27" s="6">
        <f t="shared" si="3"/>
        <v>-2.5663311475909725E-12</v>
      </c>
      <c r="W27" s="6">
        <f t="shared" si="3"/>
        <v>-2.6946477049705209E-12</v>
      </c>
      <c r="X27" s="6">
        <f t="shared" si="3"/>
        <v>-2.8293800902190471E-12</v>
      </c>
      <c r="Y27" s="6">
        <f t="shared" si="3"/>
        <v>-2.9708490947299995E-12</v>
      </c>
      <c r="Z27" s="6">
        <f t="shared" si="3"/>
        <v>-3.1193915494664994E-12</v>
      </c>
      <c r="AA27" s="6">
        <f t="shared" si="3"/>
        <v>-3.2753611269398243E-12</v>
      </c>
      <c r="AB27" s="6">
        <f t="shared" si="3"/>
        <v>-3.4391291832868154E-12</v>
      </c>
      <c r="AC27" s="6">
        <f t="shared" si="3"/>
        <v>-3.6110856424511562E-12</v>
      </c>
    </row>
    <row r="28" spans="1:29" x14ac:dyDescent="0.35">
      <c r="A28" s="1"/>
      <c r="B28" s="1"/>
      <c r="C28" s="2" t="s">
        <v>8</v>
      </c>
      <c r="E28" s="16">
        <f t="shared" ref="E28:AC28" si="4">E25*Intrest_Rate</f>
        <v>120</v>
      </c>
      <c r="F28" s="16">
        <f t="shared" si="4"/>
        <v>117.2392755262504</v>
      </c>
      <c r="G28" s="16">
        <f t="shared" si="4"/>
        <v>113.63965687091334</v>
      </c>
      <c r="H28" s="16">
        <f t="shared" si="4"/>
        <v>109.38697816122695</v>
      </c>
      <c r="I28" s="16">
        <f t="shared" si="4"/>
        <v>104.42493243839463</v>
      </c>
      <c r="J28" s="16">
        <f t="shared" si="4"/>
        <v>98.69321469787603</v>
      </c>
      <c r="K28" s="16">
        <f t="shared" si="4"/>
        <v>92.127262852209583</v>
      </c>
      <c r="L28" s="16">
        <f t="shared" si="4"/>
        <v>84.887995036842995</v>
      </c>
      <c r="M28" s="16">
        <f t="shared" si="4"/>
        <v>76.931394901968773</v>
      </c>
      <c r="N28" s="16">
        <f t="shared" si="4"/>
        <v>68.21093476374935</v>
      </c>
      <c r="O28" s="16">
        <f t="shared" si="4"/>
        <v>58.803111020952592</v>
      </c>
      <c r="P28" s="16">
        <f t="shared" si="4"/>
        <v>48.66852868139631</v>
      </c>
      <c r="Q28" s="16">
        <f t="shared" si="4"/>
        <v>37.765722467050139</v>
      </c>
      <c r="R28" s="16">
        <f t="shared" si="4"/>
        <v>26.051051289018336</v>
      </c>
      <c r="S28" s="16">
        <f t="shared" si="4"/>
        <v>13.478587406057258</v>
      </c>
      <c r="T28" s="16">
        <f t="shared" si="4"/>
        <v>-1.1084466677857564E-13</v>
      </c>
      <c r="U28" s="16">
        <f t="shared" si="4"/>
        <v>-1.1638690011750443E-13</v>
      </c>
      <c r="V28" s="16">
        <f t="shared" si="4"/>
        <v>-1.2220624512337964E-13</v>
      </c>
      <c r="W28" s="16">
        <f t="shared" si="4"/>
        <v>-1.2831655737954863E-13</v>
      </c>
      <c r="X28" s="16">
        <f t="shared" si="4"/>
        <v>-1.3473238524852606E-13</v>
      </c>
      <c r="Y28" s="16">
        <f t="shared" si="4"/>
        <v>-1.4146900451095236E-13</v>
      </c>
      <c r="Z28" s="16">
        <f t="shared" si="4"/>
        <v>-1.4854245473649999E-13</v>
      </c>
      <c r="AA28" s="16">
        <f t="shared" si="4"/>
        <v>-1.5596957747332498E-13</v>
      </c>
      <c r="AB28" s="16">
        <f t="shared" si="4"/>
        <v>-1.6376805634699122E-13</v>
      </c>
      <c r="AC28" s="16">
        <f t="shared" si="4"/>
        <v>-1.7195645916434077E-13</v>
      </c>
    </row>
    <row r="29" spans="1:29" x14ac:dyDescent="0.35">
      <c r="A29" s="1"/>
      <c r="B29" s="1"/>
      <c r="E29" s="19">
        <f t="shared" ref="E29:AC29" si="5">E26+E28</f>
        <v>175.21448947499206</v>
      </c>
      <c r="F29" s="19">
        <f t="shared" si="5"/>
        <v>189.23164863299144</v>
      </c>
      <c r="G29" s="19">
        <f t="shared" si="5"/>
        <v>198.69323106464103</v>
      </c>
      <c r="H29" s="19">
        <f t="shared" si="5"/>
        <v>208.62789261787307</v>
      </c>
      <c r="I29" s="19">
        <f t="shared" si="5"/>
        <v>219.05928724876674</v>
      </c>
      <c r="J29" s="19">
        <f t="shared" si="5"/>
        <v>230.0122516112051</v>
      </c>
      <c r="K29" s="19">
        <f t="shared" si="5"/>
        <v>236.91261915954121</v>
      </c>
      <c r="L29" s="19">
        <f t="shared" si="5"/>
        <v>244.01999773432743</v>
      </c>
      <c r="M29" s="19">
        <f t="shared" si="5"/>
        <v>251.34059766635727</v>
      </c>
      <c r="N29" s="19">
        <f t="shared" si="5"/>
        <v>256.36740961968445</v>
      </c>
      <c r="O29" s="19">
        <f t="shared" si="5"/>
        <v>261.49475781207815</v>
      </c>
      <c r="P29" s="19">
        <f t="shared" si="5"/>
        <v>266.72465296831973</v>
      </c>
      <c r="Q29" s="19">
        <f t="shared" si="5"/>
        <v>272.05914602768615</v>
      </c>
      <c r="R29" s="19">
        <f t="shared" si="5"/>
        <v>277.50032894823988</v>
      </c>
      <c r="S29" s="19">
        <f t="shared" si="5"/>
        <v>283.05033552720465</v>
      </c>
      <c r="T29" s="19">
        <f t="shared" si="5"/>
        <v>0</v>
      </c>
      <c r="U29" s="19">
        <f t="shared" si="5"/>
        <v>0</v>
      </c>
      <c r="V29" s="19">
        <f t="shared" si="5"/>
        <v>0</v>
      </c>
      <c r="W29" s="19">
        <f t="shared" si="5"/>
        <v>0</v>
      </c>
      <c r="X29" s="19">
        <f t="shared" si="5"/>
        <v>0</v>
      </c>
      <c r="Y29" s="19">
        <f t="shared" si="5"/>
        <v>0</v>
      </c>
      <c r="Z29" s="19">
        <f t="shared" si="5"/>
        <v>0</v>
      </c>
      <c r="AA29" s="19">
        <f t="shared" si="5"/>
        <v>0</v>
      </c>
      <c r="AB29" s="19">
        <f t="shared" si="5"/>
        <v>0</v>
      </c>
      <c r="AC29" s="19">
        <f t="shared" si="5"/>
        <v>0</v>
      </c>
    </row>
    <row r="30" spans="1:29" x14ac:dyDescent="0.35">
      <c r="A30" s="1"/>
      <c r="B30" s="1"/>
      <c r="C30" s="2" t="s">
        <v>47</v>
      </c>
      <c r="D30" s="4" t="b">
        <f>ROUND(LOOKUP('Basic Case - NPV Analysis'!$D$18,'Basic Case - NPV Analysis'!$5:$5,27:27),0)=0</f>
        <v>1</v>
      </c>
    </row>
    <row r="31" spans="1:29" x14ac:dyDescent="0.35">
      <c r="A31" s="1"/>
      <c r="B31" s="1"/>
    </row>
    <row r="32" spans="1:29" x14ac:dyDescent="0.35">
      <c r="A32" s="1"/>
      <c r="B32" s="1"/>
      <c r="C32" s="2" t="s">
        <v>9</v>
      </c>
      <c r="E32" s="4">
        <f t="shared" ref="E32:AC32" si="6">IF(E29&gt;0.01,E11/E29)</f>
        <v>1.2019553898255568</v>
      </c>
      <c r="F32" s="4">
        <f t="shared" si="6"/>
        <v>1.2019553898255568</v>
      </c>
      <c r="G32" s="4">
        <f t="shared" si="6"/>
        <v>1.2019553898255568</v>
      </c>
      <c r="H32" s="4">
        <f t="shared" si="6"/>
        <v>1.2019553898255568</v>
      </c>
      <c r="I32" s="4">
        <f t="shared" si="6"/>
        <v>1.2019553898255568</v>
      </c>
      <c r="J32" s="4">
        <f t="shared" si="6"/>
        <v>1.2019553898255566</v>
      </c>
      <c r="K32" s="4">
        <f t="shared" si="6"/>
        <v>1.2019553898255568</v>
      </c>
      <c r="L32" s="4">
        <f t="shared" si="6"/>
        <v>1.2019553898255568</v>
      </c>
      <c r="M32" s="4">
        <f t="shared" si="6"/>
        <v>1.2019553898255568</v>
      </c>
      <c r="N32" s="4">
        <f t="shared" si="6"/>
        <v>1.2019553898255566</v>
      </c>
      <c r="O32" s="4">
        <f t="shared" si="6"/>
        <v>1.2019553898255568</v>
      </c>
      <c r="P32" s="4">
        <f t="shared" si="6"/>
        <v>1.2019553898255568</v>
      </c>
      <c r="Q32" s="4">
        <f t="shared" si="6"/>
        <v>1.2019553898255568</v>
      </c>
      <c r="R32" s="4">
        <f t="shared" si="6"/>
        <v>1.2019553898255568</v>
      </c>
      <c r="S32" s="4">
        <f t="shared" si="6"/>
        <v>1.2019553898255571</v>
      </c>
      <c r="T32" s="4" t="b">
        <f t="shared" si="6"/>
        <v>0</v>
      </c>
      <c r="U32" s="4" t="b">
        <f t="shared" si="6"/>
        <v>0</v>
      </c>
      <c r="V32" s="4" t="b">
        <f t="shared" si="6"/>
        <v>0</v>
      </c>
      <c r="W32" s="4" t="b">
        <f t="shared" si="6"/>
        <v>0</v>
      </c>
      <c r="X32" s="4" t="b">
        <f t="shared" si="6"/>
        <v>0</v>
      </c>
      <c r="Y32" s="4" t="b">
        <f t="shared" si="6"/>
        <v>0</v>
      </c>
      <c r="Z32" s="4" t="b">
        <f t="shared" si="6"/>
        <v>0</v>
      </c>
      <c r="AA32" s="4" t="b">
        <f t="shared" si="6"/>
        <v>0</v>
      </c>
      <c r="AB32" s="4" t="b">
        <f t="shared" si="6"/>
        <v>0</v>
      </c>
      <c r="AC32" s="4" t="b">
        <f t="shared" si="6"/>
        <v>0</v>
      </c>
    </row>
    <row r="33" spans="1:4" x14ac:dyDescent="0.35">
      <c r="A33" s="1"/>
      <c r="B33" s="1"/>
      <c r="C33" s="2" t="s">
        <v>10</v>
      </c>
      <c r="D33" s="4">
        <f t="array" ref="D33">NPV(Intrest_Rate,E11:AC11*E12:AC12)/D27</f>
        <v>1.2019553898255568</v>
      </c>
    </row>
    <row r="34" spans="1:4" x14ac:dyDescent="0.35">
      <c r="A34" s="1"/>
      <c r="B34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Spinner 1">
              <controlPr defaultSize="0" autoPict="0">
                <anchor moveWithCells="1" sizeWithCells="1">
                  <from>
                    <xdr:col>3</xdr:col>
                    <xdr:colOff>488950</xdr:colOff>
                    <xdr:row>9</xdr:row>
                    <xdr:rowOff>165100</xdr:rowOff>
                  </from>
                  <to>
                    <xdr:col>3</xdr:col>
                    <xdr:colOff>723900</xdr:colOff>
                    <xdr:row>10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>
    <tabColor rgb="FFFFFF00"/>
  </sheetPr>
  <dimension ref="A1:XFD36"/>
  <sheetViews>
    <sheetView zoomScale="80" zoomScaleNormal="80" workbookViewId="0">
      <pane xSplit="3" ySplit="6" topLeftCell="D7" activePane="bottomRight" state="frozen"/>
      <selection pane="topRight" activeCell="D1" sqref="D1"/>
      <selection pane="bottomLeft" activeCell="A6" sqref="A6"/>
      <selection pane="bottomRight" activeCell="G17" sqref="G17"/>
    </sheetView>
  </sheetViews>
  <sheetFormatPr defaultColWidth="9.1796875" defaultRowHeight="14.5" x14ac:dyDescent="0.35"/>
  <cols>
    <col min="1" max="2" width="1.26953125" style="2" customWidth="1"/>
    <col min="3" max="3" width="38.81640625" style="2" customWidth="1"/>
    <col min="4" max="4" width="12.7265625" style="2" bestFit="1" customWidth="1"/>
    <col min="5" max="64" width="10.81640625" style="2" customWidth="1"/>
    <col min="65" max="16384" width="9.1796875" style="2"/>
  </cols>
  <sheetData>
    <row r="1" spans="1:16384" ht="26" x14ac:dyDescent="0.6">
      <c r="A1" s="1"/>
      <c r="B1" s="48" t="s">
        <v>35</v>
      </c>
    </row>
    <row r="2" spans="1:16384" ht="26" x14ac:dyDescent="0.6">
      <c r="A2" s="1"/>
      <c r="B2" s="48" t="s">
        <v>150</v>
      </c>
    </row>
    <row r="3" spans="1:16384" ht="26" x14ac:dyDescent="0.6">
      <c r="A3" s="1"/>
      <c r="B3" s="48" t="s">
        <v>151</v>
      </c>
    </row>
    <row r="4" spans="1:16384" s="60" customFormat="1" ht="26" x14ac:dyDescent="0.6">
      <c r="A4" s="123"/>
      <c r="B4" s="122" t="s">
        <v>436</v>
      </c>
    </row>
    <row r="5" spans="1:16384" x14ac:dyDescent="0.35">
      <c r="A5"/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  <c r="AAB5"/>
      <c r="AAC5"/>
      <c r="AAD5"/>
      <c r="AAE5"/>
      <c r="AAF5"/>
      <c r="AAG5"/>
      <c r="AAH5"/>
      <c r="AAI5"/>
      <c r="AAJ5"/>
      <c r="AAK5"/>
      <c r="AAL5"/>
      <c r="AAM5"/>
      <c r="AAN5"/>
      <c r="AAO5"/>
      <c r="AAP5"/>
      <c r="AAQ5"/>
      <c r="AAR5"/>
      <c r="AAS5"/>
      <c r="AAT5"/>
      <c r="AAU5"/>
      <c r="AAV5"/>
      <c r="AAW5"/>
      <c r="AAX5"/>
      <c r="AAY5"/>
      <c r="AAZ5"/>
      <c r="ABA5"/>
      <c r="ABB5"/>
      <c r="ABC5"/>
      <c r="ABD5"/>
      <c r="ABE5"/>
      <c r="ABF5"/>
      <c r="ABG5"/>
      <c r="ABH5"/>
      <c r="ABI5"/>
      <c r="ABJ5"/>
      <c r="ABK5"/>
      <c r="ABL5"/>
      <c r="ABM5"/>
      <c r="ABN5"/>
      <c r="ABO5"/>
      <c r="ABP5"/>
      <c r="ABQ5"/>
      <c r="ABR5"/>
      <c r="ABS5"/>
      <c r="ABT5"/>
      <c r="ABU5"/>
      <c r="ABV5"/>
      <c r="ABW5"/>
      <c r="ABX5"/>
      <c r="ABY5"/>
      <c r="ABZ5"/>
      <c r="ACA5"/>
      <c r="ACB5"/>
      <c r="ACC5"/>
      <c r="ACD5"/>
      <c r="ACE5"/>
      <c r="ACF5"/>
      <c r="ACG5"/>
      <c r="ACH5"/>
      <c r="ACI5"/>
      <c r="ACJ5"/>
      <c r="ACK5"/>
      <c r="ACL5"/>
      <c r="ACM5"/>
      <c r="ACN5"/>
      <c r="ACO5"/>
      <c r="ACP5"/>
      <c r="ACQ5"/>
      <c r="ACR5"/>
      <c r="ACS5"/>
      <c r="ACT5"/>
      <c r="ACU5"/>
      <c r="ACV5"/>
      <c r="ACW5"/>
      <c r="ACX5"/>
      <c r="ACY5"/>
      <c r="ACZ5"/>
      <c r="ADA5"/>
      <c r="ADB5"/>
      <c r="ADC5"/>
      <c r="ADD5"/>
      <c r="ADE5"/>
      <c r="ADF5"/>
      <c r="ADG5"/>
      <c r="ADH5"/>
      <c r="ADI5"/>
      <c r="ADJ5"/>
      <c r="ADK5"/>
      <c r="ADL5"/>
      <c r="ADM5"/>
      <c r="ADN5"/>
      <c r="ADO5"/>
      <c r="ADP5"/>
      <c r="ADQ5"/>
      <c r="ADR5"/>
      <c r="ADS5"/>
      <c r="ADT5"/>
      <c r="ADU5"/>
      <c r="ADV5"/>
      <c r="ADW5"/>
      <c r="ADX5"/>
      <c r="ADY5"/>
      <c r="ADZ5"/>
      <c r="AEA5"/>
      <c r="AEB5"/>
      <c r="AEC5"/>
      <c r="AED5"/>
      <c r="AEE5"/>
      <c r="AEF5"/>
      <c r="AEG5"/>
      <c r="AEH5"/>
      <c r="AEI5"/>
      <c r="AEJ5"/>
      <c r="AEK5"/>
      <c r="AEL5"/>
      <c r="AEM5"/>
      <c r="AEN5"/>
      <c r="AEO5"/>
      <c r="AEP5"/>
      <c r="AEQ5"/>
      <c r="AER5"/>
      <c r="AES5"/>
      <c r="AET5"/>
      <c r="AEU5"/>
      <c r="AEV5"/>
      <c r="AEW5"/>
      <c r="AEX5"/>
      <c r="AEY5"/>
      <c r="AEZ5"/>
      <c r="AFA5"/>
      <c r="AFB5"/>
      <c r="AFC5"/>
      <c r="AFD5"/>
      <c r="AFE5"/>
      <c r="AFF5"/>
      <c r="AFG5"/>
      <c r="AFH5"/>
      <c r="AFI5"/>
      <c r="AFJ5"/>
      <c r="AFK5"/>
      <c r="AFL5"/>
      <c r="AFM5"/>
      <c r="AFN5"/>
      <c r="AFO5"/>
      <c r="AFP5"/>
      <c r="AFQ5"/>
      <c r="AFR5"/>
      <c r="AFS5"/>
      <c r="AFT5"/>
      <c r="AFU5"/>
      <c r="AFV5"/>
      <c r="AFW5"/>
      <c r="AFX5"/>
      <c r="AFY5"/>
      <c r="AFZ5"/>
      <c r="AGA5"/>
      <c r="AGB5"/>
      <c r="AGC5"/>
      <c r="AGD5"/>
      <c r="AGE5"/>
      <c r="AGF5"/>
      <c r="AGG5"/>
      <c r="AGH5"/>
      <c r="AGI5"/>
      <c r="AGJ5"/>
      <c r="AGK5"/>
      <c r="AGL5"/>
      <c r="AGM5"/>
      <c r="AGN5"/>
      <c r="AGO5"/>
      <c r="AGP5"/>
      <c r="AGQ5"/>
      <c r="AGR5"/>
      <c r="AGS5"/>
      <c r="AGT5"/>
      <c r="AGU5"/>
      <c r="AGV5"/>
      <c r="AGW5"/>
      <c r="AGX5"/>
      <c r="AGY5"/>
      <c r="AGZ5"/>
      <c r="AHA5"/>
      <c r="AHB5"/>
      <c r="AHC5"/>
      <c r="AHD5"/>
      <c r="AHE5"/>
      <c r="AHF5"/>
      <c r="AHG5"/>
      <c r="AHH5"/>
      <c r="AHI5"/>
      <c r="AHJ5"/>
      <c r="AHK5"/>
      <c r="AHL5"/>
      <c r="AHM5"/>
      <c r="AHN5"/>
      <c r="AHO5"/>
      <c r="AHP5"/>
      <c r="AHQ5"/>
      <c r="AHR5"/>
      <c r="AHS5"/>
      <c r="AHT5"/>
      <c r="AHU5"/>
      <c r="AHV5"/>
      <c r="AHW5"/>
      <c r="AHX5"/>
      <c r="AHY5"/>
      <c r="AHZ5"/>
      <c r="AIA5"/>
      <c r="AIB5"/>
      <c r="AIC5"/>
      <c r="AID5"/>
      <c r="AIE5"/>
      <c r="AIF5"/>
      <c r="AIG5"/>
      <c r="AIH5"/>
      <c r="AII5"/>
      <c r="AIJ5"/>
      <c r="AIK5"/>
      <c r="AIL5"/>
      <c r="AIM5"/>
      <c r="AIN5"/>
      <c r="AIO5"/>
      <c r="AIP5"/>
      <c r="AIQ5"/>
      <c r="AIR5"/>
      <c r="AIS5"/>
      <c r="AIT5"/>
      <c r="AIU5"/>
      <c r="AIV5"/>
      <c r="AIW5"/>
      <c r="AIX5"/>
      <c r="AIY5"/>
      <c r="AIZ5"/>
      <c r="AJA5"/>
      <c r="AJB5"/>
      <c r="AJC5"/>
      <c r="AJD5"/>
      <c r="AJE5"/>
      <c r="AJF5"/>
      <c r="AJG5"/>
      <c r="AJH5"/>
      <c r="AJI5"/>
      <c r="AJJ5"/>
      <c r="AJK5"/>
      <c r="AJL5"/>
      <c r="AJM5"/>
      <c r="AJN5"/>
      <c r="AJO5"/>
      <c r="AJP5"/>
      <c r="AJQ5"/>
      <c r="AJR5"/>
      <c r="AJS5"/>
      <c r="AJT5"/>
      <c r="AJU5"/>
      <c r="AJV5"/>
      <c r="AJW5"/>
      <c r="AJX5"/>
      <c r="AJY5"/>
      <c r="AJZ5"/>
      <c r="AKA5"/>
      <c r="AKB5"/>
      <c r="AKC5"/>
      <c r="AKD5"/>
      <c r="AKE5"/>
      <c r="AKF5"/>
      <c r="AKG5"/>
      <c r="AKH5"/>
      <c r="AKI5"/>
      <c r="AKJ5"/>
      <c r="AKK5"/>
      <c r="AKL5"/>
      <c r="AKM5"/>
      <c r="AKN5"/>
      <c r="AKO5"/>
      <c r="AKP5"/>
      <c r="AKQ5"/>
      <c r="AKR5"/>
      <c r="AKS5"/>
      <c r="AKT5"/>
      <c r="AKU5"/>
      <c r="AKV5"/>
      <c r="AKW5"/>
      <c r="AKX5"/>
      <c r="AKY5"/>
      <c r="AKZ5"/>
      <c r="ALA5"/>
      <c r="ALB5"/>
      <c r="ALC5"/>
      <c r="ALD5"/>
      <c r="ALE5"/>
      <c r="ALF5"/>
      <c r="ALG5"/>
      <c r="ALH5"/>
      <c r="ALI5"/>
      <c r="ALJ5"/>
      <c r="ALK5"/>
      <c r="ALL5"/>
      <c r="ALM5"/>
      <c r="ALN5"/>
      <c r="ALO5"/>
      <c r="ALP5"/>
      <c r="ALQ5"/>
      <c r="ALR5"/>
      <c r="ALS5"/>
      <c r="ALT5"/>
      <c r="ALU5"/>
      <c r="ALV5"/>
      <c r="ALW5"/>
      <c r="ALX5"/>
      <c r="ALY5"/>
      <c r="ALZ5"/>
      <c r="AMA5"/>
      <c r="AMB5"/>
      <c r="AMC5"/>
      <c r="AMD5"/>
      <c r="AME5"/>
      <c r="AMF5"/>
      <c r="AMG5"/>
      <c r="AMH5"/>
      <c r="AMI5"/>
      <c r="AMJ5"/>
      <c r="AMK5"/>
      <c r="AML5"/>
      <c r="AMM5"/>
      <c r="AMN5"/>
      <c r="AMO5"/>
      <c r="AMP5"/>
      <c r="AMQ5"/>
      <c r="AMR5"/>
      <c r="AMS5"/>
      <c r="AMT5"/>
      <c r="AMU5"/>
      <c r="AMV5"/>
      <c r="AMW5"/>
      <c r="AMX5"/>
      <c r="AMY5"/>
      <c r="AMZ5"/>
      <c r="ANA5"/>
      <c r="ANB5"/>
      <c r="ANC5"/>
      <c r="AND5"/>
      <c r="ANE5"/>
      <c r="ANF5"/>
      <c r="ANG5"/>
      <c r="ANH5"/>
      <c r="ANI5"/>
      <c r="ANJ5"/>
      <c r="ANK5"/>
      <c r="ANL5"/>
      <c r="ANM5"/>
      <c r="ANN5"/>
      <c r="ANO5"/>
      <c r="ANP5"/>
      <c r="ANQ5"/>
      <c r="ANR5"/>
      <c r="ANS5"/>
      <c r="ANT5"/>
      <c r="ANU5"/>
      <c r="ANV5"/>
      <c r="ANW5"/>
      <c r="ANX5"/>
      <c r="ANY5"/>
      <c r="ANZ5"/>
      <c r="AOA5"/>
      <c r="AOB5"/>
      <c r="AOC5"/>
      <c r="AOD5"/>
      <c r="AOE5"/>
      <c r="AOF5"/>
      <c r="AOG5"/>
      <c r="AOH5"/>
      <c r="AOI5"/>
      <c r="AOJ5"/>
      <c r="AOK5"/>
      <c r="AOL5"/>
      <c r="AOM5"/>
      <c r="AON5"/>
      <c r="AOO5"/>
      <c r="AOP5"/>
      <c r="AOQ5"/>
      <c r="AOR5"/>
      <c r="AOS5"/>
      <c r="AOT5"/>
      <c r="AOU5"/>
      <c r="AOV5"/>
      <c r="AOW5"/>
      <c r="AOX5"/>
      <c r="AOY5"/>
      <c r="AOZ5"/>
      <c r="APA5"/>
      <c r="APB5"/>
      <c r="APC5"/>
      <c r="APD5"/>
      <c r="APE5"/>
      <c r="APF5"/>
      <c r="APG5"/>
      <c r="APH5"/>
      <c r="API5"/>
      <c r="APJ5"/>
      <c r="APK5"/>
      <c r="APL5"/>
      <c r="APM5"/>
      <c r="APN5"/>
      <c r="APO5"/>
      <c r="APP5"/>
      <c r="APQ5"/>
      <c r="APR5"/>
      <c r="APS5"/>
      <c r="APT5"/>
      <c r="APU5"/>
      <c r="APV5"/>
      <c r="APW5"/>
      <c r="APX5"/>
      <c r="APY5"/>
      <c r="APZ5"/>
      <c r="AQA5"/>
      <c r="AQB5"/>
      <c r="AQC5"/>
      <c r="AQD5"/>
      <c r="AQE5"/>
      <c r="AQF5"/>
      <c r="AQG5"/>
      <c r="AQH5"/>
      <c r="AQI5"/>
      <c r="AQJ5"/>
      <c r="AQK5"/>
      <c r="AQL5"/>
      <c r="AQM5"/>
      <c r="AQN5"/>
      <c r="AQO5"/>
      <c r="AQP5"/>
      <c r="AQQ5"/>
      <c r="AQR5"/>
      <c r="AQS5"/>
      <c r="AQT5"/>
      <c r="AQU5"/>
      <c r="AQV5"/>
      <c r="AQW5"/>
      <c r="AQX5"/>
      <c r="AQY5"/>
      <c r="AQZ5"/>
      <c r="ARA5"/>
      <c r="ARB5"/>
      <c r="ARC5"/>
      <c r="ARD5"/>
      <c r="ARE5"/>
      <c r="ARF5"/>
      <c r="ARG5"/>
      <c r="ARH5"/>
      <c r="ARI5"/>
      <c r="ARJ5"/>
      <c r="ARK5"/>
      <c r="ARL5"/>
      <c r="ARM5"/>
      <c r="ARN5"/>
      <c r="ARO5"/>
      <c r="ARP5"/>
      <c r="ARQ5"/>
      <c r="ARR5"/>
      <c r="ARS5"/>
      <c r="ART5"/>
      <c r="ARU5"/>
      <c r="ARV5"/>
      <c r="ARW5"/>
      <c r="ARX5"/>
      <c r="ARY5"/>
      <c r="ARZ5"/>
      <c r="ASA5"/>
      <c r="ASB5"/>
      <c r="ASC5"/>
      <c r="ASD5"/>
      <c r="ASE5"/>
      <c r="ASF5"/>
      <c r="ASG5"/>
      <c r="ASH5"/>
      <c r="ASI5"/>
      <c r="ASJ5"/>
      <c r="ASK5"/>
      <c r="ASL5"/>
      <c r="ASM5"/>
      <c r="ASN5"/>
      <c r="ASO5"/>
      <c r="ASP5"/>
      <c r="ASQ5"/>
      <c r="ASR5"/>
      <c r="ASS5"/>
      <c r="AST5"/>
      <c r="ASU5"/>
      <c r="ASV5"/>
      <c r="ASW5"/>
      <c r="ASX5"/>
      <c r="ASY5"/>
      <c r="ASZ5"/>
      <c r="ATA5"/>
      <c r="ATB5"/>
      <c r="ATC5"/>
      <c r="ATD5"/>
      <c r="ATE5"/>
      <c r="ATF5"/>
      <c r="ATG5"/>
      <c r="ATH5"/>
      <c r="ATI5"/>
      <c r="ATJ5"/>
      <c r="ATK5"/>
      <c r="ATL5"/>
      <c r="ATM5"/>
      <c r="ATN5"/>
      <c r="ATO5"/>
      <c r="ATP5"/>
      <c r="ATQ5"/>
      <c r="ATR5"/>
      <c r="ATS5"/>
      <c r="ATT5"/>
      <c r="ATU5"/>
      <c r="ATV5"/>
      <c r="ATW5"/>
      <c r="ATX5"/>
      <c r="ATY5"/>
      <c r="ATZ5"/>
      <c r="AUA5"/>
      <c r="AUB5"/>
      <c r="AUC5"/>
      <c r="AUD5"/>
      <c r="AUE5"/>
      <c r="AUF5"/>
      <c r="AUG5"/>
      <c r="AUH5"/>
      <c r="AUI5"/>
      <c r="AUJ5"/>
      <c r="AUK5"/>
      <c r="AUL5"/>
      <c r="AUM5"/>
      <c r="AUN5"/>
      <c r="AUO5"/>
      <c r="AUP5"/>
      <c r="AUQ5"/>
      <c r="AUR5"/>
      <c r="AUS5"/>
      <c r="AUT5"/>
      <c r="AUU5"/>
      <c r="AUV5"/>
      <c r="AUW5"/>
      <c r="AUX5"/>
      <c r="AUY5"/>
      <c r="AUZ5"/>
      <c r="AVA5"/>
      <c r="AVB5"/>
      <c r="AVC5"/>
      <c r="AVD5"/>
      <c r="AVE5"/>
      <c r="AVF5"/>
      <c r="AVG5"/>
      <c r="AVH5"/>
      <c r="AVI5"/>
      <c r="AVJ5"/>
      <c r="AVK5"/>
      <c r="AVL5"/>
      <c r="AVM5"/>
      <c r="AVN5"/>
      <c r="AVO5"/>
      <c r="AVP5"/>
      <c r="AVQ5"/>
      <c r="AVR5"/>
      <c r="AVS5"/>
      <c r="AVT5"/>
      <c r="AVU5"/>
      <c r="AVV5"/>
      <c r="AVW5"/>
      <c r="AVX5"/>
      <c r="AVY5"/>
      <c r="AVZ5"/>
      <c r="AWA5"/>
      <c r="AWB5"/>
      <c r="AWC5"/>
      <c r="AWD5"/>
      <c r="AWE5"/>
      <c r="AWF5"/>
      <c r="AWG5"/>
      <c r="AWH5"/>
      <c r="AWI5"/>
      <c r="AWJ5"/>
      <c r="AWK5"/>
      <c r="AWL5"/>
      <c r="AWM5"/>
      <c r="AWN5"/>
      <c r="AWO5"/>
      <c r="AWP5"/>
      <c r="AWQ5"/>
      <c r="AWR5"/>
      <c r="AWS5"/>
      <c r="AWT5"/>
      <c r="AWU5"/>
      <c r="AWV5"/>
      <c r="AWW5"/>
      <c r="AWX5"/>
      <c r="AWY5"/>
      <c r="AWZ5"/>
      <c r="AXA5"/>
      <c r="AXB5"/>
      <c r="AXC5"/>
      <c r="AXD5"/>
      <c r="AXE5"/>
      <c r="AXF5"/>
      <c r="AXG5"/>
      <c r="AXH5"/>
      <c r="AXI5"/>
      <c r="AXJ5"/>
      <c r="AXK5"/>
      <c r="AXL5"/>
      <c r="AXM5"/>
      <c r="AXN5"/>
      <c r="AXO5"/>
      <c r="AXP5"/>
      <c r="AXQ5"/>
      <c r="AXR5"/>
      <c r="AXS5"/>
      <c r="AXT5"/>
      <c r="AXU5"/>
      <c r="AXV5"/>
      <c r="AXW5"/>
      <c r="AXX5"/>
      <c r="AXY5"/>
      <c r="AXZ5"/>
      <c r="AYA5"/>
      <c r="AYB5"/>
      <c r="AYC5"/>
      <c r="AYD5"/>
      <c r="AYE5"/>
      <c r="AYF5"/>
      <c r="AYG5"/>
      <c r="AYH5"/>
      <c r="AYI5"/>
      <c r="AYJ5"/>
      <c r="AYK5"/>
      <c r="AYL5"/>
      <c r="AYM5"/>
      <c r="AYN5"/>
      <c r="AYO5"/>
      <c r="AYP5"/>
      <c r="AYQ5"/>
      <c r="AYR5"/>
      <c r="AYS5"/>
      <c r="AYT5"/>
      <c r="AYU5"/>
      <c r="AYV5"/>
      <c r="AYW5"/>
      <c r="AYX5"/>
      <c r="AYY5"/>
      <c r="AYZ5"/>
      <c r="AZA5"/>
      <c r="AZB5"/>
      <c r="AZC5"/>
      <c r="AZD5"/>
      <c r="AZE5"/>
      <c r="AZF5"/>
      <c r="AZG5"/>
      <c r="AZH5"/>
      <c r="AZI5"/>
      <c r="AZJ5"/>
      <c r="AZK5"/>
      <c r="AZL5"/>
      <c r="AZM5"/>
      <c r="AZN5"/>
      <c r="AZO5"/>
      <c r="AZP5"/>
      <c r="AZQ5"/>
      <c r="AZR5"/>
      <c r="AZS5"/>
      <c r="AZT5"/>
      <c r="AZU5"/>
      <c r="AZV5"/>
      <c r="AZW5"/>
      <c r="AZX5"/>
      <c r="AZY5"/>
      <c r="AZZ5"/>
      <c r="BAA5"/>
      <c r="BAB5"/>
      <c r="BAC5"/>
      <c r="BAD5"/>
      <c r="BAE5"/>
      <c r="BAF5"/>
      <c r="BAG5"/>
      <c r="BAH5"/>
      <c r="BAI5"/>
      <c r="BAJ5"/>
      <c r="BAK5"/>
      <c r="BAL5"/>
      <c r="BAM5"/>
      <c r="BAN5"/>
      <c r="BAO5"/>
      <c r="BAP5"/>
      <c r="BAQ5"/>
      <c r="BAR5"/>
      <c r="BAS5"/>
      <c r="BAT5"/>
      <c r="BAU5"/>
      <c r="BAV5"/>
      <c r="BAW5"/>
      <c r="BAX5"/>
      <c r="BAY5"/>
      <c r="BAZ5"/>
      <c r="BBA5"/>
      <c r="BBB5"/>
      <c r="BBC5"/>
      <c r="BBD5"/>
      <c r="BBE5"/>
      <c r="BBF5"/>
      <c r="BBG5"/>
      <c r="BBH5"/>
      <c r="BBI5"/>
      <c r="BBJ5"/>
      <c r="BBK5"/>
      <c r="BBL5"/>
      <c r="BBM5"/>
      <c r="BBN5"/>
      <c r="BBO5"/>
      <c r="BBP5"/>
      <c r="BBQ5"/>
      <c r="BBR5"/>
      <c r="BBS5"/>
      <c r="BBT5"/>
      <c r="BBU5"/>
      <c r="BBV5"/>
      <c r="BBW5"/>
      <c r="BBX5"/>
      <c r="BBY5"/>
      <c r="BBZ5"/>
      <c r="BCA5"/>
      <c r="BCB5"/>
      <c r="BCC5"/>
      <c r="BCD5"/>
      <c r="BCE5"/>
      <c r="BCF5"/>
      <c r="BCG5"/>
      <c r="BCH5"/>
      <c r="BCI5"/>
      <c r="BCJ5"/>
      <c r="BCK5"/>
      <c r="BCL5"/>
      <c r="BCM5"/>
      <c r="BCN5"/>
      <c r="BCO5"/>
      <c r="BCP5"/>
      <c r="BCQ5"/>
      <c r="BCR5"/>
      <c r="BCS5"/>
      <c r="BCT5"/>
      <c r="BCU5"/>
      <c r="BCV5"/>
      <c r="BCW5"/>
      <c r="BCX5"/>
      <c r="BCY5"/>
      <c r="BCZ5"/>
      <c r="BDA5"/>
      <c r="BDB5"/>
      <c r="BDC5"/>
      <c r="BDD5"/>
      <c r="BDE5"/>
      <c r="BDF5"/>
      <c r="BDG5"/>
      <c r="BDH5"/>
      <c r="BDI5"/>
      <c r="BDJ5"/>
      <c r="BDK5"/>
      <c r="BDL5"/>
      <c r="BDM5"/>
      <c r="BDN5"/>
      <c r="BDO5"/>
      <c r="BDP5"/>
      <c r="BDQ5"/>
      <c r="BDR5"/>
      <c r="BDS5"/>
      <c r="BDT5"/>
      <c r="BDU5"/>
      <c r="BDV5"/>
      <c r="BDW5"/>
      <c r="BDX5"/>
      <c r="BDY5"/>
      <c r="BDZ5"/>
      <c r="BEA5"/>
      <c r="BEB5"/>
      <c r="BEC5"/>
      <c r="BED5"/>
      <c r="BEE5"/>
      <c r="BEF5"/>
      <c r="BEG5"/>
      <c r="BEH5"/>
      <c r="BEI5"/>
      <c r="BEJ5"/>
      <c r="BEK5"/>
      <c r="BEL5"/>
      <c r="BEM5"/>
      <c r="BEN5"/>
      <c r="BEO5"/>
      <c r="BEP5"/>
      <c r="BEQ5"/>
      <c r="BER5"/>
      <c r="BES5"/>
      <c r="BET5"/>
      <c r="BEU5"/>
      <c r="BEV5"/>
      <c r="BEW5"/>
      <c r="BEX5"/>
      <c r="BEY5"/>
      <c r="BEZ5"/>
      <c r="BFA5"/>
      <c r="BFB5"/>
      <c r="BFC5"/>
      <c r="BFD5"/>
      <c r="BFE5"/>
      <c r="BFF5"/>
      <c r="BFG5"/>
      <c r="BFH5"/>
      <c r="BFI5"/>
      <c r="BFJ5"/>
      <c r="BFK5"/>
      <c r="BFL5"/>
      <c r="BFM5"/>
      <c r="BFN5"/>
      <c r="BFO5"/>
      <c r="BFP5"/>
      <c r="BFQ5"/>
      <c r="BFR5"/>
      <c r="BFS5"/>
      <c r="BFT5"/>
      <c r="BFU5"/>
      <c r="BFV5"/>
      <c r="BFW5"/>
      <c r="BFX5"/>
      <c r="BFY5"/>
      <c r="BFZ5"/>
      <c r="BGA5"/>
      <c r="BGB5"/>
      <c r="BGC5"/>
      <c r="BGD5"/>
      <c r="BGE5"/>
      <c r="BGF5"/>
      <c r="BGG5"/>
      <c r="BGH5"/>
      <c r="BGI5"/>
      <c r="BGJ5"/>
      <c r="BGK5"/>
      <c r="BGL5"/>
      <c r="BGM5"/>
      <c r="BGN5"/>
      <c r="BGO5"/>
      <c r="BGP5"/>
      <c r="BGQ5"/>
      <c r="BGR5"/>
      <c r="BGS5"/>
      <c r="BGT5"/>
      <c r="BGU5"/>
      <c r="BGV5"/>
      <c r="BGW5"/>
      <c r="BGX5"/>
      <c r="BGY5"/>
      <c r="BGZ5"/>
      <c r="BHA5"/>
      <c r="BHB5"/>
      <c r="BHC5"/>
      <c r="BHD5"/>
      <c r="BHE5"/>
      <c r="BHF5"/>
      <c r="BHG5"/>
      <c r="BHH5"/>
      <c r="BHI5"/>
      <c r="BHJ5"/>
      <c r="BHK5"/>
      <c r="BHL5"/>
      <c r="BHM5"/>
      <c r="BHN5"/>
      <c r="BHO5"/>
      <c r="BHP5"/>
      <c r="BHQ5"/>
      <c r="BHR5"/>
      <c r="BHS5"/>
      <c r="BHT5"/>
      <c r="BHU5"/>
      <c r="BHV5"/>
      <c r="BHW5"/>
      <c r="BHX5"/>
      <c r="BHY5"/>
      <c r="BHZ5"/>
      <c r="BIA5"/>
      <c r="BIB5"/>
      <c r="BIC5"/>
      <c r="BID5"/>
      <c r="BIE5"/>
      <c r="BIF5"/>
      <c r="BIG5"/>
      <c r="BIH5"/>
      <c r="BII5"/>
      <c r="BIJ5"/>
      <c r="BIK5"/>
      <c r="BIL5"/>
      <c r="BIM5"/>
      <c r="BIN5"/>
      <c r="BIO5"/>
      <c r="BIP5"/>
      <c r="BIQ5"/>
      <c r="BIR5"/>
      <c r="BIS5"/>
      <c r="BIT5"/>
      <c r="BIU5"/>
      <c r="BIV5"/>
      <c r="BIW5"/>
      <c r="BIX5"/>
      <c r="BIY5"/>
      <c r="BIZ5"/>
      <c r="BJA5"/>
      <c r="BJB5"/>
      <c r="BJC5"/>
      <c r="BJD5"/>
      <c r="BJE5"/>
      <c r="BJF5"/>
      <c r="BJG5"/>
      <c r="BJH5"/>
      <c r="BJI5"/>
      <c r="BJJ5"/>
      <c r="BJK5"/>
      <c r="BJL5"/>
      <c r="BJM5"/>
      <c r="BJN5"/>
      <c r="BJO5"/>
      <c r="BJP5"/>
      <c r="BJQ5"/>
      <c r="BJR5"/>
      <c r="BJS5"/>
      <c r="BJT5"/>
      <c r="BJU5"/>
      <c r="BJV5"/>
      <c r="BJW5"/>
      <c r="BJX5"/>
      <c r="BJY5"/>
      <c r="BJZ5"/>
      <c r="BKA5"/>
      <c r="BKB5"/>
      <c r="BKC5"/>
      <c r="BKD5"/>
      <c r="BKE5"/>
      <c r="BKF5"/>
      <c r="BKG5"/>
      <c r="BKH5"/>
      <c r="BKI5"/>
      <c r="BKJ5"/>
      <c r="BKK5"/>
      <c r="BKL5"/>
      <c r="BKM5"/>
      <c r="BKN5"/>
      <c r="BKO5"/>
      <c r="BKP5"/>
      <c r="BKQ5"/>
      <c r="BKR5"/>
      <c r="BKS5"/>
      <c r="BKT5"/>
      <c r="BKU5"/>
      <c r="BKV5"/>
      <c r="BKW5"/>
      <c r="BKX5"/>
      <c r="BKY5"/>
      <c r="BKZ5"/>
      <c r="BLA5"/>
      <c r="BLB5"/>
      <c r="BLC5"/>
      <c r="BLD5"/>
      <c r="BLE5"/>
      <c r="BLF5"/>
      <c r="BLG5"/>
      <c r="BLH5"/>
      <c r="BLI5"/>
      <c r="BLJ5"/>
      <c r="BLK5"/>
      <c r="BLL5"/>
      <c r="BLM5"/>
      <c r="BLN5"/>
      <c r="BLO5"/>
      <c r="BLP5"/>
      <c r="BLQ5"/>
      <c r="BLR5"/>
      <c r="BLS5"/>
      <c r="BLT5"/>
      <c r="BLU5"/>
      <c r="BLV5"/>
      <c r="BLW5"/>
      <c r="BLX5"/>
      <c r="BLY5"/>
      <c r="BLZ5"/>
      <c r="BMA5"/>
      <c r="BMB5"/>
      <c r="BMC5"/>
      <c r="BMD5"/>
      <c r="BME5"/>
      <c r="BMF5"/>
      <c r="BMG5"/>
      <c r="BMH5"/>
      <c r="BMI5"/>
      <c r="BMJ5"/>
      <c r="BMK5"/>
      <c r="BML5"/>
      <c r="BMM5"/>
      <c r="BMN5"/>
      <c r="BMO5"/>
      <c r="BMP5"/>
      <c r="BMQ5"/>
      <c r="BMR5"/>
      <c r="BMS5"/>
      <c r="BMT5"/>
      <c r="BMU5"/>
      <c r="BMV5"/>
      <c r="BMW5"/>
      <c r="BMX5"/>
      <c r="BMY5"/>
      <c r="BMZ5"/>
      <c r="BNA5"/>
      <c r="BNB5"/>
      <c r="BNC5"/>
      <c r="BND5"/>
      <c r="BNE5"/>
      <c r="BNF5"/>
      <c r="BNG5"/>
      <c r="BNH5"/>
      <c r="BNI5"/>
      <c r="BNJ5"/>
      <c r="BNK5"/>
      <c r="BNL5"/>
      <c r="BNM5"/>
      <c r="BNN5"/>
      <c r="BNO5"/>
      <c r="BNP5"/>
      <c r="BNQ5"/>
      <c r="BNR5"/>
      <c r="BNS5"/>
      <c r="BNT5"/>
      <c r="BNU5"/>
      <c r="BNV5"/>
      <c r="BNW5"/>
      <c r="BNX5"/>
      <c r="BNY5"/>
      <c r="BNZ5"/>
      <c r="BOA5"/>
      <c r="BOB5"/>
      <c r="BOC5"/>
      <c r="BOD5"/>
      <c r="BOE5"/>
      <c r="BOF5"/>
      <c r="BOG5"/>
      <c r="BOH5"/>
      <c r="BOI5"/>
      <c r="BOJ5"/>
      <c r="BOK5"/>
      <c r="BOL5"/>
      <c r="BOM5"/>
      <c r="BON5"/>
      <c r="BOO5"/>
      <c r="BOP5"/>
      <c r="BOQ5"/>
      <c r="BOR5"/>
      <c r="BOS5"/>
      <c r="BOT5"/>
      <c r="BOU5"/>
      <c r="BOV5"/>
      <c r="BOW5"/>
      <c r="BOX5"/>
      <c r="BOY5"/>
      <c r="BOZ5"/>
      <c r="BPA5"/>
      <c r="BPB5"/>
      <c r="BPC5"/>
      <c r="BPD5"/>
      <c r="BPE5"/>
      <c r="BPF5"/>
      <c r="BPG5"/>
      <c r="BPH5"/>
      <c r="BPI5"/>
      <c r="BPJ5"/>
      <c r="BPK5"/>
      <c r="BPL5"/>
      <c r="BPM5"/>
      <c r="BPN5"/>
      <c r="BPO5"/>
      <c r="BPP5"/>
      <c r="BPQ5"/>
      <c r="BPR5"/>
      <c r="BPS5"/>
      <c r="BPT5"/>
      <c r="BPU5"/>
      <c r="BPV5"/>
      <c r="BPW5"/>
      <c r="BPX5"/>
      <c r="BPY5"/>
      <c r="BPZ5"/>
      <c r="BQA5"/>
      <c r="BQB5"/>
      <c r="BQC5"/>
      <c r="BQD5"/>
      <c r="BQE5"/>
      <c r="BQF5"/>
      <c r="BQG5"/>
      <c r="BQH5"/>
      <c r="BQI5"/>
      <c r="BQJ5"/>
      <c r="BQK5"/>
      <c r="BQL5"/>
      <c r="BQM5"/>
      <c r="BQN5"/>
      <c r="BQO5"/>
      <c r="BQP5"/>
      <c r="BQQ5"/>
      <c r="BQR5"/>
      <c r="BQS5"/>
      <c r="BQT5"/>
      <c r="BQU5"/>
      <c r="BQV5"/>
      <c r="BQW5"/>
      <c r="BQX5"/>
      <c r="BQY5"/>
      <c r="BQZ5"/>
      <c r="BRA5"/>
      <c r="BRB5"/>
      <c r="BRC5"/>
      <c r="BRD5"/>
      <c r="BRE5"/>
      <c r="BRF5"/>
      <c r="BRG5"/>
      <c r="BRH5"/>
      <c r="BRI5"/>
      <c r="BRJ5"/>
      <c r="BRK5"/>
      <c r="BRL5"/>
      <c r="BRM5"/>
      <c r="BRN5"/>
      <c r="BRO5"/>
      <c r="BRP5"/>
      <c r="BRQ5"/>
      <c r="BRR5"/>
      <c r="BRS5"/>
      <c r="BRT5"/>
      <c r="BRU5"/>
      <c r="BRV5"/>
      <c r="BRW5"/>
      <c r="BRX5"/>
      <c r="BRY5"/>
      <c r="BRZ5"/>
      <c r="BSA5"/>
      <c r="BSB5"/>
      <c r="BSC5"/>
      <c r="BSD5"/>
      <c r="BSE5"/>
      <c r="BSF5"/>
      <c r="BSG5"/>
      <c r="BSH5"/>
      <c r="BSI5"/>
      <c r="BSJ5"/>
      <c r="BSK5"/>
      <c r="BSL5"/>
      <c r="BSM5"/>
      <c r="BSN5"/>
      <c r="BSO5"/>
      <c r="BSP5"/>
      <c r="BSQ5"/>
      <c r="BSR5"/>
      <c r="BSS5"/>
      <c r="BST5"/>
      <c r="BSU5"/>
      <c r="BSV5"/>
      <c r="BSW5"/>
      <c r="BSX5"/>
      <c r="BSY5"/>
      <c r="BSZ5"/>
      <c r="BTA5"/>
      <c r="BTB5"/>
      <c r="BTC5"/>
      <c r="BTD5"/>
      <c r="BTE5"/>
      <c r="BTF5"/>
      <c r="BTG5"/>
      <c r="BTH5"/>
      <c r="BTI5"/>
      <c r="BTJ5"/>
      <c r="BTK5"/>
      <c r="BTL5"/>
      <c r="BTM5"/>
      <c r="BTN5"/>
      <c r="BTO5"/>
      <c r="BTP5"/>
      <c r="BTQ5"/>
      <c r="BTR5"/>
      <c r="BTS5"/>
      <c r="BTT5"/>
      <c r="BTU5"/>
      <c r="BTV5"/>
      <c r="BTW5"/>
      <c r="BTX5"/>
      <c r="BTY5"/>
      <c r="BTZ5"/>
      <c r="BUA5"/>
      <c r="BUB5"/>
      <c r="BUC5"/>
      <c r="BUD5"/>
      <c r="BUE5"/>
      <c r="BUF5"/>
      <c r="BUG5"/>
      <c r="BUH5"/>
      <c r="BUI5"/>
      <c r="BUJ5"/>
      <c r="BUK5"/>
      <c r="BUL5"/>
      <c r="BUM5"/>
      <c r="BUN5"/>
      <c r="BUO5"/>
      <c r="BUP5"/>
      <c r="BUQ5"/>
      <c r="BUR5"/>
      <c r="BUS5"/>
      <c r="BUT5"/>
      <c r="BUU5"/>
      <c r="BUV5"/>
      <c r="BUW5"/>
      <c r="BUX5"/>
      <c r="BUY5"/>
      <c r="BUZ5"/>
      <c r="BVA5"/>
      <c r="BVB5"/>
      <c r="BVC5"/>
      <c r="BVD5"/>
      <c r="BVE5"/>
      <c r="BVF5"/>
      <c r="BVG5"/>
      <c r="BVH5"/>
      <c r="BVI5"/>
      <c r="BVJ5"/>
      <c r="BVK5"/>
      <c r="BVL5"/>
      <c r="BVM5"/>
      <c r="BVN5"/>
      <c r="BVO5"/>
      <c r="BVP5"/>
      <c r="BVQ5"/>
      <c r="BVR5"/>
      <c r="BVS5"/>
      <c r="BVT5"/>
      <c r="BVU5"/>
      <c r="BVV5"/>
      <c r="BVW5"/>
      <c r="BVX5"/>
      <c r="BVY5"/>
      <c r="BVZ5"/>
      <c r="BWA5"/>
      <c r="BWB5"/>
      <c r="BWC5"/>
      <c r="BWD5"/>
      <c r="BWE5"/>
      <c r="BWF5"/>
      <c r="BWG5"/>
      <c r="BWH5"/>
      <c r="BWI5"/>
      <c r="BWJ5"/>
      <c r="BWK5"/>
      <c r="BWL5"/>
      <c r="BWM5"/>
      <c r="BWN5"/>
      <c r="BWO5"/>
      <c r="BWP5"/>
      <c r="BWQ5"/>
      <c r="BWR5"/>
      <c r="BWS5"/>
      <c r="BWT5"/>
      <c r="BWU5"/>
      <c r="BWV5"/>
      <c r="BWW5"/>
      <c r="BWX5"/>
      <c r="BWY5"/>
      <c r="BWZ5"/>
      <c r="BXA5"/>
      <c r="BXB5"/>
      <c r="BXC5"/>
      <c r="BXD5"/>
      <c r="BXE5"/>
      <c r="BXF5"/>
      <c r="BXG5"/>
      <c r="BXH5"/>
      <c r="BXI5"/>
      <c r="BXJ5"/>
      <c r="BXK5"/>
      <c r="BXL5"/>
      <c r="BXM5"/>
      <c r="BXN5"/>
      <c r="BXO5"/>
      <c r="BXP5"/>
      <c r="BXQ5"/>
      <c r="BXR5"/>
      <c r="BXS5"/>
      <c r="BXT5"/>
      <c r="BXU5"/>
      <c r="BXV5"/>
      <c r="BXW5"/>
      <c r="BXX5"/>
      <c r="BXY5"/>
      <c r="BXZ5"/>
      <c r="BYA5"/>
      <c r="BYB5"/>
      <c r="BYC5"/>
      <c r="BYD5"/>
      <c r="BYE5"/>
      <c r="BYF5"/>
      <c r="BYG5"/>
      <c r="BYH5"/>
      <c r="BYI5"/>
      <c r="BYJ5"/>
      <c r="BYK5"/>
      <c r="BYL5"/>
      <c r="BYM5"/>
      <c r="BYN5"/>
      <c r="BYO5"/>
      <c r="BYP5"/>
      <c r="BYQ5"/>
      <c r="BYR5"/>
      <c r="BYS5"/>
      <c r="BYT5"/>
      <c r="BYU5"/>
      <c r="BYV5"/>
      <c r="BYW5"/>
      <c r="BYX5"/>
      <c r="BYY5"/>
      <c r="BYZ5"/>
      <c r="BZA5"/>
      <c r="BZB5"/>
      <c r="BZC5"/>
      <c r="BZD5"/>
      <c r="BZE5"/>
      <c r="BZF5"/>
      <c r="BZG5"/>
      <c r="BZH5"/>
      <c r="BZI5"/>
      <c r="BZJ5"/>
      <c r="BZK5"/>
      <c r="BZL5"/>
      <c r="BZM5"/>
      <c r="BZN5"/>
      <c r="BZO5"/>
      <c r="BZP5"/>
      <c r="BZQ5"/>
      <c r="BZR5"/>
      <c r="BZS5"/>
      <c r="BZT5"/>
      <c r="BZU5"/>
      <c r="BZV5"/>
      <c r="BZW5"/>
      <c r="BZX5"/>
      <c r="BZY5"/>
      <c r="BZZ5"/>
      <c r="CAA5"/>
      <c r="CAB5"/>
      <c r="CAC5"/>
      <c r="CAD5"/>
      <c r="CAE5"/>
      <c r="CAF5"/>
      <c r="CAG5"/>
      <c r="CAH5"/>
      <c r="CAI5"/>
      <c r="CAJ5"/>
      <c r="CAK5"/>
      <c r="CAL5"/>
      <c r="CAM5"/>
      <c r="CAN5"/>
      <c r="CAO5"/>
      <c r="CAP5"/>
      <c r="CAQ5"/>
      <c r="CAR5"/>
      <c r="CAS5"/>
      <c r="CAT5"/>
      <c r="CAU5"/>
      <c r="CAV5"/>
      <c r="CAW5"/>
      <c r="CAX5"/>
      <c r="CAY5"/>
      <c r="CAZ5"/>
      <c r="CBA5"/>
      <c r="CBB5"/>
      <c r="CBC5"/>
      <c r="CBD5"/>
      <c r="CBE5"/>
      <c r="CBF5"/>
      <c r="CBG5"/>
      <c r="CBH5"/>
      <c r="CBI5"/>
      <c r="CBJ5"/>
      <c r="CBK5"/>
      <c r="CBL5"/>
      <c r="CBM5"/>
      <c r="CBN5"/>
      <c r="CBO5"/>
      <c r="CBP5"/>
      <c r="CBQ5"/>
      <c r="CBR5"/>
      <c r="CBS5"/>
      <c r="CBT5"/>
      <c r="CBU5"/>
      <c r="CBV5"/>
      <c r="CBW5"/>
      <c r="CBX5"/>
      <c r="CBY5"/>
      <c r="CBZ5"/>
      <c r="CCA5"/>
      <c r="CCB5"/>
      <c r="CCC5"/>
      <c r="CCD5"/>
      <c r="CCE5"/>
      <c r="CCF5"/>
      <c r="CCG5"/>
      <c r="CCH5"/>
      <c r="CCI5"/>
      <c r="CCJ5"/>
      <c r="CCK5"/>
      <c r="CCL5"/>
      <c r="CCM5"/>
      <c r="CCN5"/>
      <c r="CCO5"/>
      <c r="CCP5"/>
      <c r="CCQ5"/>
      <c r="CCR5"/>
      <c r="CCS5"/>
      <c r="CCT5"/>
      <c r="CCU5"/>
      <c r="CCV5"/>
      <c r="CCW5"/>
      <c r="CCX5"/>
      <c r="CCY5"/>
      <c r="CCZ5"/>
      <c r="CDA5"/>
      <c r="CDB5"/>
      <c r="CDC5"/>
      <c r="CDD5"/>
      <c r="CDE5"/>
      <c r="CDF5"/>
      <c r="CDG5"/>
      <c r="CDH5"/>
      <c r="CDI5"/>
      <c r="CDJ5"/>
      <c r="CDK5"/>
      <c r="CDL5"/>
      <c r="CDM5"/>
      <c r="CDN5"/>
      <c r="CDO5"/>
      <c r="CDP5"/>
      <c r="CDQ5"/>
      <c r="CDR5"/>
      <c r="CDS5"/>
      <c r="CDT5"/>
      <c r="CDU5"/>
      <c r="CDV5"/>
      <c r="CDW5"/>
      <c r="CDX5"/>
      <c r="CDY5"/>
      <c r="CDZ5"/>
      <c r="CEA5"/>
      <c r="CEB5"/>
      <c r="CEC5"/>
      <c r="CED5"/>
      <c r="CEE5"/>
      <c r="CEF5"/>
      <c r="CEG5"/>
      <c r="CEH5"/>
      <c r="CEI5"/>
      <c r="CEJ5"/>
      <c r="CEK5"/>
      <c r="CEL5"/>
      <c r="CEM5"/>
      <c r="CEN5"/>
      <c r="CEO5"/>
      <c r="CEP5"/>
      <c r="CEQ5"/>
      <c r="CER5"/>
      <c r="CES5"/>
      <c r="CET5"/>
      <c r="CEU5"/>
      <c r="CEV5"/>
      <c r="CEW5"/>
      <c r="CEX5"/>
      <c r="CEY5"/>
      <c r="CEZ5"/>
      <c r="CFA5"/>
      <c r="CFB5"/>
      <c r="CFC5"/>
      <c r="CFD5"/>
      <c r="CFE5"/>
      <c r="CFF5"/>
      <c r="CFG5"/>
      <c r="CFH5"/>
      <c r="CFI5"/>
      <c r="CFJ5"/>
      <c r="CFK5"/>
      <c r="CFL5"/>
      <c r="CFM5"/>
      <c r="CFN5"/>
      <c r="CFO5"/>
      <c r="CFP5"/>
      <c r="CFQ5"/>
      <c r="CFR5"/>
      <c r="CFS5"/>
      <c r="CFT5"/>
      <c r="CFU5"/>
      <c r="CFV5"/>
      <c r="CFW5"/>
      <c r="CFX5"/>
      <c r="CFY5"/>
      <c r="CFZ5"/>
      <c r="CGA5"/>
      <c r="CGB5"/>
      <c r="CGC5"/>
      <c r="CGD5"/>
      <c r="CGE5"/>
      <c r="CGF5"/>
      <c r="CGG5"/>
      <c r="CGH5"/>
      <c r="CGI5"/>
      <c r="CGJ5"/>
      <c r="CGK5"/>
      <c r="CGL5"/>
      <c r="CGM5"/>
      <c r="CGN5"/>
      <c r="CGO5"/>
      <c r="CGP5"/>
      <c r="CGQ5"/>
      <c r="CGR5"/>
      <c r="CGS5"/>
      <c r="CGT5"/>
      <c r="CGU5"/>
      <c r="CGV5"/>
      <c r="CGW5"/>
      <c r="CGX5"/>
      <c r="CGY5"/>
      <c r="CGZ5"/>
      <c r="CHA5"/>
      <c r="CHB5"/>
      <c r="CHC5"/>
      <c r="CHD5"/>
      <c r="CHE5"/>
      <c r="CHF5"/>
      <c r="CHG5"/>
      <c r="CHH5"/>
      <c r="CHI5"/>
      <c r="CHJ5"/>
      <c r="CHK5"/>
      <c r="CHL5"/>
      <c r="CHM5"/>
      <c r="CHN5"/>
      <c r="CHO5"/>
      <c r="CHP5"/>
      <c r="CHQ5"/>
      <c r="CHR5"/>
      <c r="CHS5"/>
      <c r="CHT5"/>
      <c r="CHU5"/>
      <c r="CHV5"/>
      <c r="CHW5"/>
      <c r="CHX5"/>
      <c r="CHY5"/>
      <c r="CHZ5"/>
      <c r="CIA5"/>
      <c r="CIB5"/>
      <c r="CIC5"/>
      <c r="CID5"/>
      <c r="CIE5"/>
      <c r="CIF5"/>
      <c r="CIG5"/>
      <c r="CIH5"/>
      <c r="CII5"/>
      <c r="CIJ5"/>
      <c r="CIK5"/>
      <c r="CIL5"/>
      <c r="CIM5"/>
      <c r="CIN5"/>
      <c r="CIO5"/>
      <c r="CIP5"/>
      <c r="CIQ5"/>
      <c r="CIR5"/>
      <c r="CIS5"/>
      <c r="CIT5"/>
      <c r="CIU5"/>
      <c r="CIV5"/>
      <c r="CIW5"/>
      <c r="CIX5"/>
      <c r="CIY5"/>
      <c r="CIZ5"/>
      <c r="CJA5"/>
      <c r="CJB5"/>
      <c r="CJC5"/>
      <c r="CJD5"/>
      <c r="CJE5"/>
      <c r="CJF5"/>
      <c r="CJG5"/>
      <c r="CJH5"/>
      <c r="CJI5"/>
      <c r="CJJ5"/>
      <c r="CJK5"/>
      <c r="CJL5"/>
      <c r="CJM5"/>
      <c r="CJN5"/>
      <c r="CJO5"/>
      <c r="CJP5"/>
      <c r="CJQ5"/>
      <c r="CJR5"/>
      <c r="CJS5"/>
      <c r="CJT5"/>
      <c r="CJU5"/>
      <c r="CJV5"/>
      <c r="CJW5"/>
      <c r="CJX5"/>
      <c r="CJY5"/>
      <c r="CJZ5"/>
      <c r="CKA5"/>
      <c r="CKB5"/>
      <c r="CKC5"/>
      <c r="CKD5"/>
      <c r="CKE5"/>
      <c r="CKF5"/>
      <c r="CKG5"/>
      <c r="CKH5"/>
      <c r="CKI5"/>
      <c r="CKJ5"/>
      <c r="CKK5"/>
      <c r="CKL5"/>
      <c r="CKM5"/>
      <c r="CKN5"/>
      <c r="CKO5"/>
      <c r="CKP5"/>
      <c r="CKQ5"/>
      <c r="CKR5"/>
      <c r="CKS5"/>
      <c r="CKT5"/>
      <c r="CKU5"/>
      <c r="CKV5"/>
      <c r="CKW5"/>
      <c r="CKX5"/>
      <c r="CKY5"/>
      <c r="CKZ5"/>
      <c r="CLA5"/>
      <c r="CLB5"/>
      <c r="CLC5"/>
      <c r="CLD5"/>
      <c r="CLE5"/>
      <c r="CLF5"/>
      <c r="CLG5"/>
      <c r="CLH5"/>
      <c r="CLI5"/>
      <c r="CLJ5"/>
      <c r="CLK5"/>
      <c r="CLL5"/>
      <c r="CLM5"/>
      <c r="CLN5"/>
      <c r="CLO5"/>
      <c r="CLP5"/>
      <c r="CLQ5"/>
      <c r="CLR5"/>
      <c r="CLS5"/>
      <c r="CLT5"/>
      <c r="CLU5"/>
      <c r="CLV5"/>
      <c r="CLW5"/>
      <c r="CLX5"/>
      <c r="CLY5"/>
      <c r="CLZ5"/>
      <c r="CMA5"/>
      <c r="CMB5"/>
      <c r="CMC5"/>
      <c r="CMD5"/>
      <c r="CME5"/>
      <c r="CMF5"/>
      <c r="CMG5"/>
      <c r="CMH5"/>
      <c r="CMI5"/>
      <c r="CMJ5"/>
      <c r="CMK5"/>
      <c r="CML5"/>
      <c r="CMM5"/>
      <c r="CMN5"/>
      <c r="CMO5"/>
      <c r="CMP5"/>
      <c r="CMQ5"/>
      <c r="CMR5"/>
      <c r="CMS5"/>
      <c r="CMT5"/>
      <c r="CMU5"/>
      <c r="CMV5"/>
      <c r="CMW5"/>
      <c r="CMX5"/>
      <c r="CMY5"/>
      <c r="CMZ5"/>
      <c r="CNA5"/>
      <c r="CNB5"/>
      <c r="CNC5"/>
      <c r="CND5"/>
      <c r="CNE5"/>
      <c r="CNF5"/>
      <c r="CNG5"/>
      <c r="CNH5"/>
      <c r="CNI5"/>
      <c r="CNJ5"/>
      <c r="CNK5"/>
      <c r="CNL5"/>
      <c r="CNM5"/>
      <c r="CNN5"/>
      <c r="CNO5"/>
      <c r="CNP5"/>
      <c r="CNQ5"/>
      <c r="CNR5"/>
      <c r="CNS5"/>
      <c r="CNT5"/>
      <c r="CNU5"/>
      <c r="CNV5"/>
      <c r="CNW5"/>
      <c r="CNX5"/>
      <c r="CNY5"/>
      <c r="CNZ5"/>
      <c r="COA5"/>
      <c r="COB5"/>
      <c r="COC5"/>
      <c r="COD5"/>
      <c r="COE5"/>
      <c r="COF5"/>
      <c r="COG5"/>
      <c r="COH5"/>
      <c r="COI5"/>
      <c r="COJ5"/>
      <c r="COK5"/>
      <c r="COL5"/>
      <c r="COM5"/>
      <c r="CON5"/>
      <c r="COO5"/>
      <c r="COP5"/>
      <c r="COQ5"/>
      <c r="COR5"/>
      <c r="COS5"/>
      <c r="COT5"/>
      <c r="COU5"/>
      <c r="COV5"/>
      <c r="COW5"/>
      <c r="COX5"/>
      <c r="COY5"/>
      <c r="COZ5"/>
      <c r="CPA5"/>
      <c r="CPB5"/>
      <c r="CPC5"/>
      <c r="CPD5"/>
      <c r="CPE5"/>
      <c r="CPF5"/>
      <c r="CPG5"/>
      <c r="CPH5"/>
      <c r="CPI5"/>
      <c r="CPJ5"/>
      <c r="CPK5"/>
      <c r="CPL5"/>
      <c r="CPM5"/>
      <c r="CPN5"/>
      <c r="CPO5"/>
      <c r="CPP5"/>
      <c r="CPQ5"/>
      <c r="CPR5"/>
      <c r="CPS5"/>
      <c r="CPT5"/>
      <c r="CPU5"/>
      <c r="CPV5"/>
      <c r="CPW5"/>
      <c r="CPX5"/>
      <c r="CPY5"/>
      <c r="CPZ5"/>
      <c r="CQA5"/>
      <c r="CQB5"/>
      <c r="CQC5"/>
      <c r="CQD5"/>
      <c r="CQE5"/>
      <c r="CQF5"/>
      <c r="CQG5"/>
      <c r="CQH5"/>
      <c r="CQI5"/>
      <c r="CQJ5"/>
      <c r="CQK5"/>
      <c r="CQL5"/>
      <c r="CQM5"/>
      <c r="CQN5"/>
      <c r="CQO5"/>
      <c r="CQP5"/>
      <c r="CQQ5"/>
      <c r="CQR5"/>
      <c r="CQS5"/>
      <c r="CQT5"/>
      <c r="CQU5"/>
      <c r="CQV5"/>
      <c r="CQW5"/>
      <c r="CQX5"/>
      <c r="CQY5"/>
      <c r="CQZ5"/>
      <c r="CRA5"/>
      <c r="CRB5"/>
      <c r="CRC5"/>
      <c r="CRD5"/>
      <c r="CRE5"/>
      <c r="CRF5"/>
      <c r="CRG5"/>
      <c r="CRH5"/>
      <c r="CRI5"/>
      <c r="CRJ5"/>
      <c r="CRK5"/>
      <c r="CRL5"/>
      <c r="CRM5"/>
      <c r="CRN5"/>
      <c r="CRO5"/>
      <c r="CRP5"/>
      <c r="CRQ5"/>
      <c r="CRR5"/>
      <c r="CRS5"/>
      <c r="CRT5"/>
      <c r="CRU5"/>
      <c r="CRV5"/>
      <c r="CRW5"/>
      <c r="CRX5"/>
      <c r="CRY5"/>
      <c r="CRZ5"/>
      <c r="CSA5"/>
      <c r="CSB5"/>
      <c r="CSC5"/>
      <c r="CSD5"/>
      <c r="CSE5"/>
      <c r="CSF5"/>
      <c r="CSG5"/>
      <c r="CSH5"/>
      <c r="CSI5"/>
      <c r="CSJ5"/>
      <c r="CSK5"/>
      <c r="CSL5"/>
      <c r="CSM5"/>
      <c r="CSN5"/>
      <c r="CSO5"/>
      <c r="CSP5"/>
      <c r="CSQ5"/>
      <c r="CSR5"/>
      <c r="CSS5"/>
      <c r="CST5"/>
      <c r="CSU5"/>
      <c r="CSV5"/>
      <c r="CSW5"/>
      <c r="CSX5"/>
      <c r="CSY5"/>
      <c r="CSZ5"/>
      <c r="CTA5"/>
      <c r="CTB5"/>
      <c r="CTC5"/>
      <c r="CTD5"/>
      <c r="CTE5"/>
      <c r="CTF5"/>
      <c r="CTG5"/>
      <c r="CTH5"/>
      <c r="CTI5"/>
      <c r="CTJ5"/>
      <c r="CTK5"/>
      <c r="CTL5"/>
      <c r="CTM5"/>
      <c r="CTN5"/>
      <c r="CTO5"/>
      <c r="CTP5"/>
      <c r="CTQ5"/>
      <c r="CTR5"/>
      <c r="CTS5"/>
      <c r="CTT5"/>
      <c r="CTU5"/>
      <c r="CTV5"/>
      <c r="CTW5"/>
      <c r="CTX5"/>
      <c r="CTY5"/>
      <c r="CTZ5"/>
      <c r="CUA5"/>
      <c r="CUB5"/>
      <c r="CUC5"/>
      <c r="CUD5"/>
      <c r="CUE5"/>
      <c r="CUF5"/>
      <c r="CUG5"/>
      <c r="CUH5"/>
      <c r="CUI5"/>
      <c r="CUJ5"/>
      <c r="CUK5"/>
      <c r="CUL5"/>
      <c r="CUM5"/>
      <c r="CUN5"/>
      <c r="CUO5"/>
      <c r="CUP5"/>
      <c r="CUQ5"/>
      <c r="CUR5"/>
      <c r="CUS5"/>
      <c r="CUT5"/>
      <c r="CUU5"/>
      <c r="CUV5"/>
      <c r="CUW5"/>
      <c r="CUX5"/>
      <c r="CUY5"/>
      <c r="CUZ5"/>
      <c r="CVA5"/>
      <c r="CVB5"/>
      <c r="CVC5"/>
      <c r="CVD5"/>
      <c r="CVE5"/>
      <c r="CVF5"/>
      <c r="CVG5"/>
      <c r="CVH5"/>
      <c r="CVI5"/>
      <c r="CVJ5"/>
      <c r="CVK5"/>
      <c r="CVL5"/>
      <c r="CVM5"/>
      <c r="CVN5"/>
      <c r="CVO5"/>
      <c r="CVP5"/>
      <c r="CVQ5"/>
      <c r="CVR5"/>
      <c r="CVS5"/>
      <c r="CVT5"/>
      <c r="CVU5"/>
      <c r="CVV5"/>
      <c r="CVW5"/>
      <c r="CVX5"/>
      <c r="CVY5"/>
      <c r="CVZ5"/>
      <c r="CWA5"/>
      <c r="CWB5"/>
      <c r="CWC5"/>
      <c r="CWD5"/>
      <c r="CWE5"/>
      <c r="CWF5"/>
      <c r="CWG5"/>
      <c r="CWH5"/>
      <c r="CWI5"/>
      <c r="CWJ5"/>
      <c r="CWK5"/>
      <c r="CWL5"/>
      <c r="CWM5"/>
      <c r="CWN5"/>
      <c r="CWO5"/>
      <c r="CWP5"/>
      <c r="CWQ5"/>
      <c r="CWR5"/>
      <c r="CWS5"/>
      <c r="CWT5"/>
      <c r="CWU5"/>
      <c r="CWV5"/>
      <c r="CWW5"/>
      <c r="CWX5"/>
      <c r="CWY5"/>
      <c r="CWZ5"/>
      <c r="CXA5"/>
      <c r="CXB5"/>
      <c r="CXC5"/>
      <c r="CXD5"/>
      <c r="CXE5"/>
      <c r="CXF5"/>
      <c r="CXG5"/>
      <c r="CXH5"/>
      <c r="CXI5"/>
      <c r="CXJ5"/>
      <c r="CXK5"/>
      <c r="CXL5"/>
      <c r="CXM5"/>
      <c r="CXN5"/>
      <c r="CXO5"/>
      <c r="CXP5"/>
      <c r="CXQ5"/>
      <c r="CXR5"/>
      <c r="CXS5"/>
      <c r="CXT5"/>
      <c r="CXU5"/>
      <c r="CXV5"/>
      <c r="CXW5"/>
      <c r="CXX5"/>
      <c r="CXY5"/>
      <c r="CXZ5"/>
      <c r="CYA5"/>
      <c r="CYB5"/>
      <c r="CYC5"/>
      <c r="CYD5"/>
      <c r="CYE5"/>
      <c r="CYF5"/>
      <c r="CYG5"/>
      <c r="CYH5"/>
      <c r="CYI5"/>
      <c r="CYJ5"/>
      <c r="CYK5"/>
      <c r="CYL5"/>
      <c r="CYM5"/>
      <c r="CYN5"/>
      <c r="CYO5"/>
      <c r="CYP5"/>
      <c r="CYQ5"/>
      <c r="CYR5"/>
      <c r="CYS5"/>
      <c r="CYT5"/>
      <c r="CYU5"/>
      <c r="CYV5"/>
      <c r="CYW5"/>
      <c r="CYX5"/>
      <c r="CYY5"/>
      <c r="CYZ5"/>
      <c r="CZA5"/>
      <c r="CZB5"/>
      <c r="CZC5"/>
      <c r="CZD5"/>
      <c r="CZE5"/>
      <c r="CZF5"/>
      <c r="CZG5"/>
      <c r="CZH5"/>
      <c r="CZI5"/>
      <c r="CZJ5"/>
      <c r="CZK5"/>
      <c r="CZL5"/>
      <c r="CZM5"/>
      <c r="CZN5"/>
      <c r="CZO5"/>
      <c r="CZP5"/>
      <c r="CZQ5"/>
      <c r="CZR5"/>
      <c r="CZS5"/>
      <c r="CZT5"/>
      <c r="CZU5"/>
      <c r="CZV5"/>
      <c r="CZW5"/>
      <c r="CZX5"/>
      <c r="CZY5"/>
      <c r="CZZ5"/>
      <c r="DAA5"/>
      <c r="DAB5"/>
      <c r="DAC5"/>
      <c r="DAD5"/>
      <c r="DAE5"/>
      <c r="DAF5"/>
      <c r="DAG5"/>
      <c r="DAH5"/>
      <c r="DAI5"/>
      <c r="DAJ5"/>
      <c r="DAK5"/>
      <c r="DAL5"/>
      <c r="DAM5"/>
      <c r="DAN5"/>
      <c r="DAO5"/>
      <c r="DAP5"/>
      <c r="DAQ5"/>
      <c r="DAR5"/>
      <c r="DAS5"/>
      <c r="DAT5"/>
      <c r="DAU5"/>
      <c r="DAV5"/>
      <c r="DAW5"/>
      <c r="DAX5"/>
      <c r="DAY5"/>
      <c r="DAZ5"/>
      <c r="DBA5"/>
      <c r="DBB5"/>
      <c r="DBC5"/>
      <c r="DBD5"/>
      <c r="DBE5"/>
      <c r="DBF5"/>
      <c r="DBG5"/>
      <c r="DBH5"/>
      <c r="DBI5"/>
      <c r="DBJ5"/>
      <c r="DBK5"/>
      <c r="DBL5"/>
      <c r="DBM5"/>
      <c r="DBN5"/>
      <c r="DBO5"/>
      <c r="DBP5"/>
      <c r="DBQ5"/>
      <c r="DBR5"/>
      <c r="DBS5"/>
      <c r="DBT5"/>
      <c r="DBU5"/>
      <c r="DBV5"/>
      <c r="DBW5"/>
      <c r="DBX5"/>
      <c r="DBY5"/>
      <c r="DBZ5"/>
      <c r="DCA5"/>
      <c r="DCB5"/>
      <c r="DCC5"/>
      <c r="DCD5"/>
      <c r="DCE5"/>
      <c r="DCF5"/>
      <c r="DCG5"/>
      <c r="DCH5"/>
      <c r="DCI5"/>
      <c r="DCJ5"/>
      <c r="DCK5"/>
      <c r="DCL5"/>
      <c r="DCM5"/>
      <c r="DCN5"/>
      <c r="DCO5"/>
      <c r="DCP5"/>
      <c r="DCQ5"/>
      <c r="DCR5"/>
      <c r="DCS5"/>
      <c r="DCT5"/>
      <c r="DCU5"/>
      <c r="DCV5"/>
      <c r="DCW5"/>
      <c r="DCX5"/>
      <c r="DCY5"/>
      <c r="DCZ5"/>
      <c r="DDA5"/>
      <c r="DDB5"/>
      <c r="DDC5"/>
      <c r="DDD5"/>
      <c r="DDE5"/>
      <c r="DDF5"/>
      <c r="DDG5"/>
      <c r="DDH5"/>
      <c r="DDI5"/>
      <c r="DDJ5"/>
      <c r="DDK5"/>
      <c r="DDL5"/>
      <c r="DDM5"/>
      <c r="DDN5"/>
      <c r="DDO5"/>
      <c r="DDP5"/>
      <c r="DDQ5"/>
      <c r="DDR5"/>
      <c r="DDS5"/>
      <c r="DDT5"/>
      <c r="DDU5"/>
      <c r="DDV5"/>
      <c r="DDW5"/>
      <c r="DDX5"/>
      <c r="DDY5"/>
      <c r="DDZ5"/>
      <c r="DEA5"/>
      <c r="DEB5"/>
      <c r="DEC5"/>
      <c r="DED5"/>
      <c r="DEE5"/>
      <c r="DEF5"/>
      <c r="DEG5"/>
      <c r="DEH5"/>
      <c r="DEI5"/>
      <c r="DEJ5"/>
      <c r="DEK5"/>
      <c r="DEL5"/>
      <c r="DEM5"/>
      <c r="DEN5"/>
      <c r="DEO5"/>
      <c r="DEP5"/>
      <c r="DEQ5"/>
      <c r="DER5"/>
      <c r="DES5"/>
      <c r="DET5"/>
      <c r="DEU5"/>
      <c r="DEV5"/>
      <c r="DEW5"/>
      <c r="DEX5"/>
      <c r="DEY5"/>
      <c r="DEZ5"/>
      <c r="DFA5"/>
      <c r="DFB5"/>
      <c r="DFC5"/>
      <c r="DFD5"/>
      <c r="DFE5"/>
      <c r="DFF5"/>
      <c r="DFG5"/>
      <c r="DFH5"/>
      <c r="DFI5"/>
      <c r="DFJ5"/>
      <c r="DFK5"/>
      <c r="DFL5"/>
      <c r="DFM5"/>
      <c r="DFN5"/>
      <c r="DFO5"/>
      <c r="DFP5"/>
      <c r="DFQ5"/>
      <c r="DFR5"/>
      <c r="DFS5"/>
      <c r="DFT5"/>
      <c r="DFU5"/>
      <c r="DFV5"/>
      <c r="DFW5"/>
      <c r="DFX5"/>
      <c r="DFY5"/>
      <c r="DFZ5"/>
      <c r="DGA5"/>
      <c r="DGB5"/>
      <c r="DGC5"/>
      <c r="DGD5"/>
      <c r="DGE5"/>
      <c r="DGF5"/>
      <c r="DGG5"/>
      <c r="DGH5"/>
      <c r="DGI5"/>
      <c r="DGJ5"/>
      <c r="DGK5"/>
      <c r="DGL5"/>
      <c r="DGM5"/>
      <c r="DGN5"/>
      <c r="DGO5"/>
      <c r="DGP5"/>
      <c r="DGQ5"/>
      <c r="DGR5"/>
      <c r="DGS5"/>
      <c r="DGT5"/>
      <c r="DGU5"/>
      <c r="DGV5"/>
      <c r="DGW5"/>
      <c r="DGX5"/>
      <c r="DGY5"/>
      <c r="DGZ5"/>
      <c r="DHA5"/>
      <c r="DHB5"/>
      <c r="DHC5"/>
      <c r="DHD5"/>
      <c r="DHE5"/>
      <c r="DHF5"/>
      <c r="DHG5"/>
      <c r="DHH5"/>
      <c r="DHI5"/>
      <c r="DHJ5"/>
      <c r="DHK5"/>
      <c r="DHL5"/>
      <c r="DHM5"/>
      <c r="DHN5"/>
      <c r="DHO5"/>
      <c r="DHP5"/>
      <c r="DHQ5"/>
      <c r="DHR5"/>
      <c r="DHS5"/>
      <c r="DHT5"/>
      <c r="DHU5"/>
      <c r="DHV5"/>
      <c r="DHW5"/>
      <c r="DHX5"/>
      <c r="DHY5"/>
      <c r="DHZ5"/>
      <c r="DIA5"/>
      <c r="DIB5"/>
      <c r="DIC5"/>
      <c r="DID5"/>
      <c r="DIE5"/>
      <c r="DIF5"/>
      <c r="DIG5"/>
      <c r="DIH5"/>
      <c r="DII5"/>
      <c r="DIJ5"/>
      <c r="DIK5"/>
      <c r="DIL5"/>
      <c r="DIM5"/>
      <c r="DIN5"/>
      <c r="DIO5"/>
      <c r="DIP5"/>
      <c r="DIQ5"/>
      <c r="DIR5"/>
      <c r="DIS5"/>
      <c r="DIT5"/>
      <c r="DIU5"/>
      <c r="DIV5"/>
      <c r="DIW5"/>
      <c r="DIX5"/>
      <c r="DIY5"/>
      <c r="DIZ5"/>
      <c r="DJA5"/>
      <c r="DJB5"/>
      <c r="DJC5"/>
      <c r="DJD5"/>
      <c r="DJE5"/>
      <c r="DJF5"/>
      <c r="DJG5"/>
      <c r="DJH5"/>
      <c r="DJI5"/>
      <c r="DJJ5"/>
      <c r="DJK5"/>
      <c r="DJL5"/>
      <c r="DJM5"/>
      <c r="DJN5"/>
      <c r="DJO5"/>
      <c r="DJP5"/>
      <c r="DJQ5"/>
      <c r="DJR5"/>
      <c r="DJS5"/>
      <c r="DJT5"/>
      <c r="DJU5"/>
      <c r="DJV5"/>
      <c r="DJW5"/>
      <c r="DJX5"/>
      <c r="DJY5"/>
      <c r="DJZ5"/>
      <c r="DKA5"/>
      <c r="DKB5"/>
      <c r="DKC5"/>
      <c r="DKD5"/>
      <c r="DKE5"/>
      <c r="DKF5"/>
      <c r="DKG5"/>
      <c r="DKH5"/>
      <c r="DKI5"/>
      <c r="DKJ5"/>
      <c r="DKK5"/>
      <c r="DKL5"/>
      <c r="DKM5"/>
      <c r="DKN5"/>
      <c r="DKO5"/>
      <c r="DKP5"/>
      <c r="DKQ5"/>
      <c r="DKR5"/>
      <c r="DKS5"/>
      <c r="DKT5"/>
      <c r="DKU5"/>
      <c r="DKV5"/>
      <c r="DKW5"/>
      <c r="DKX5"/>
      <c r="DKY5"/>
      <c r="DKZ5"/>
      <c r="DLA5"/>
      <c r="DLB5"/>
      <c r="DLC5"/>
      <c r="DLD5"/>
      <c r="DLE5"/>
      <c r="DLF5"/>
      <c r="DLG5"/>
      <c r="DLH5"/>
      <c r="DLI5"/>
      <c r="DLJ5"/>
      <c r="DLK5"/>
      <c r="DLL5"/>
      <c r="DLM5"/>
      <c r="DLN5"/>
      <c r="DLO5"/>
      <c r="DLP5"/>
      <c r="DLQ5"/>
      <c r="DLR5"/>
      <c r="DLS5"/>
      <c r="DLT5"/>
      <c r="DLU5"/>
      <c r="DLV5"/>
      <c r="DLW5"/>
      <c r="DLX5"/>
      <c r="DLY5"/>
      <c r="DLZ5"/>
      <c r="DMA5"/>
      <c r="DMB5"/>
      <c r="DMC5"/>
      <c r="DMD5"/>
      <c r="DME5"/>
      <c r="DMF5"/>
      <c r="DMG5"/>
      <c r="DMH5"/>
      <c r="DMI5"/>
      <c r="DMJ5"/>
      <c r="DMK5"/>
      <c r="DML5"/>
      <c r="DMM5"/>
      <c r="DMN5"/>
      <c r="DMO5"/>
      <c r="DMP5"/>
      <c r="DMQ5"/>
      <c r="DMR5"/>
      <c r="DMS5"/>
      <c r="DMT5"/>
      <c r="DMU5"/>
      <c r="DMV5"/>
      <c r="DMW5"/>
      <c r="DMX5"/>
      <c r="DMY5"/>
      <c r="DMZ5"/>
      <c r="DNA5"/>
      <c r="DNB5"/>
      <c r="DNC5"/>
      <c r="DND5"/>
      <c r="DNE5"/>
      <c r="DNF5"/>
      <c r="DNG5"/>
      <c r="DNH5"/>
      <c r="DNI5"/>
      <c r="DNJ5"/>
      <c r="DNK5"/>
      <c r="DNL5"/>
      <c r="DNM5"/>
      <c r="DNN5"/>
      <c r="DNO5"/>
      <c r="DNP5"/>
      <c r="DNQ5"/>
      <c r="DNR5"/>
      <c r="DNS5"/>
      <c r="DNT5"/>
      <c r="DNU5"/>
      <c r="DNV5"/>
      <c r="DNW5"/>
      <c r="DNX5"/>
      <c r="DNY5"/>
      <c r="DNZ5"/>
      <c r="DOA5"/>
      <c r="DOB5"/>
      <c r="DOC5"/>
      <c r="DOD5"/>
      <c r="DOE5"/>
      <c r="DOF5"/>
      <c r="DOG5"/>
      <c r="DOH5"/>
      <c r="DOI5"/>
      <c r="DOJ5"/>
      <c r="DOK5"/>
      <c r="DOL5"/>
      <c r="DOM5"/>
      <c r="DON5"/>
      <c r="DOO5"/>
      <c r="DOP5"/>
      <c r="DOQ5"/>
      <c r="DOR5"/>
      <c r="DOS5"/>
      <c r="DOT5"/>
      <c r="DOU5"/>
      <c r="DOV5"/>
      <c r="DOW5"/>
      <c r="DOX5"/>
      <c r="DOY5"/>
      <c r="DOZ5"/>
      <c r="DPA5"/>
      <c r="DPB5"/>
      <c r="DPC5"/>
      <c r="DPD5"/>
      <c r="DPE5"/>
      <c r="DPF5"/>
      <c r="DPG5"/>
      <c r="DPH5"/>
      <c r="DPI5"/>
      <c r="DPJ5"/>
      <c r="DPK5"/>
      <c r="DPL5"/>
      <c r="DPM5"/>
      <c r="DPN5"/>
      <c r="DPO5"/>
      <c r="DPP5"/>
      <c r="DPQ5"/>
      <c r="DPR5"/>
      <c r="DPS5"/>
      <c r="DPT5"/>
      <c r="DPU5"/>
      <c r="DPV5"/>
      <c r="DPW5"/>
      <c r="DPX5"/>
      <c r="DPY5"/>
      <c r="DPZ5"/>
      <c r="DQA5"/>
      <c r="DQB5"/>
      <c r="DQC5"/>
      <c r="DQD5"/>
      <c r="DQE5"/>
      <c r="DQF5"/>
      <c r="DQG5"/>
      <c r="DQH5"/>
      <c r="DQI5"/>
      <c r="DQJ5"/>
      <c r="DQK5"/>
      <c r="DQL5"/>
      <c r="DQM5"/>
      <c r="DQN5"/>
      <c r="DQO5"/>
      <c r="DQP5"/>
      <c r="DQQ5"/>
      <c r="DQR5"/>
      <c r="DQS5"/>
      <c r="DQT5"/>
      <c r="DQU5"/>
      <c r="DQV5"/>
      <c r="DQW5"/>
      <c r="DQX5"/>
      <c r="DQY5"/>
      <c r="DQZ5"/>
      <c r="DRA5"/>
      <c r="DRB5"/>
      <c r="DRC5"/>
      <c r="DRD5"/>
      <c r="DRE5"/>
      <c r="DRF5"/>
      <c r="DRG5"/>
      <c r="DRH5"/>
      <c r="DRI5"/>
      <c r="DRJ5"/>
      <c r="DRK5"/>
      <c r="DRL5"/>
      <c r="DRM5"/>
      <c r="DRN5"/>
      <c r="DRO5"/>
      <c r="DRP5"/>
      <c r="DRQ5"/>
      <c r="DRR5"/>
      <c r="DRS5"/>
      <c r="DRT5"/>
      <c r="DRU5"/>
      <c r="DRV5"/>
      <c r="DRW5"/>
      <c r="DRX5"/>
      <c r="DRY5"/>
      <c r="DRZ5"/>
      <c r="DSA5"/>
      <c r="DSB5"/>
      <c r="DSC5"/>
      <c r="DSD5"/>
      <c r="DSE5"/>
      <c r="DSF5"/>
      <c r="DSG5"/>
      <c r="DSH5"/>
      <c r="DSI5"/>
      <c r="DSJ5"/>
      <c r="DSK5"/>
      <c r="DSL5"/>
      <c r="DSM5"/>
      <c r="DSN5"/>
      <c r="DSO5"/>
      <c r="DSP5"/>
      <c r="DSQ5"/>
      <c r="DSR5"/>
      <c r="DSS5"/>
      <c r="DST5"/>
      <c r="DSU5"/>
      <c r="DSV5"/>
      <c r="DSW5"/>
      <c r="DSX5"/>
      <c r="DSY5"/>
      <c r="DSZ5"/>
      <c r="DTA5"/>
      <c r="DTB5"/>
      <c r="DTC5"/>
      <c r="DTD5"/>
      <c r="DTE5"/>
      <c r="DTF5"/>
      <c r="DTG5"/>
      <c r="DTH5"/>
      <c r="DTI5"/>
      <c r="DTJ5"/>
      <c r="DTK5"/>
      <c r="DTL5"/>
      <c r="DTM5"/>
      <c r="DTN5"/>
      <c r="DTO5"/>
      <c r="DTP5"/>
      <c r="DTQ5"/>
      <c r="DTR5"/>
      <c r="DTS5"/>
      <c r="DTT5"/>
      <c r="DTU5"/>
      <c r="DTV5"/>
      <c r="DTW5"/>
      <c r="DTX5"/>
      <c r="DTY5"/>
      <c r="DTZ5"/>
      <c r="DUA5"/>
      <c r="DUB5"/>
      <c r="DUC5"/>
      <c r="DUD5"/>
      <c r="DUE5"/>
      <c r="DUF5"/>
      <c r="DUG5"/>
      <c r="DUH5"/>
      <c r="DUI5"/>
      <c r="DUJ5"/>
      <c r="DUK5"/>
      <c r="DUL5"/>
      <c r="DUM5"/>
      <c r="DUN5"/>
      <c r="DUO5"/>
      <c r="DUP5"/>
      <c r="DUQ5"/>
      <c r="DUR5"/>
      <c r="DUS5"/>
      <c r="DUT5"/>
      <c r="DUU5"/>
      <c r="DUV5"/>
      <c r="DUW5"/>
      <c r="DUX5"/>
      <c r="DUY5"/>
      <c r="DUZ5"/>
      <c r="DVA5"/>
      <c r="DVB5"/>
      <c r="DVC5"/>
      <c r="DVD5"/>
      <c r="DVE5"/>
      <c r="DVF5"/>
      <c r="DVG5"/>
      <c r="DVH5"/>
      <c r="DVI5"/>
      <c r="DVJ5"/>
      <c r="DVK5"/>
      <c r="DVL5"/>
      <c r="DVM5"/>
      <c r="DVN5"/>
      <c r="DVO5"/>
      <c r="DVP5"/>
      <c r="DVQ5"/>
      <c r="DVR5"/>
      <c r="DVS5"/>
      <c r="DVT5"/>
      <c r="DVU5"/>
      <c r="DVV5"/>
      <c r="DVW5"/>
      <c r="DVX5"/>
      <c r="DVY5"/>
      <c r="DVZ5"/>
      <c r="DWA5"/>
      <c r="DWB5"/>
      <c r="DWC5"/>
      <c r="DWD5"/>
      <c r="DWE5"/>
      <c r="DWF5"/>
      <c r="DWG5"/>
      <c r="DWH5"/>
      <c r="DWI5"/>
      <c r="DWJ5"/>
      <c r="DWK5"/>
      <c r="DWL5"/>
      <c r="DWM5"/>
      <c r="DWN5"/>
      <c r="DWO5"/>
      <c r="DWP5"/>
      <c r="DWQ5"/>
      <c r="DWR5"/>
      <c r="DWS5"/>
      <c r="DWT5"/>
      <c r="DWU5"/>
      <c r="DWV5"/>
      <c r="DWW5"/>
      <c r="DWX5"/>
      <c r="DWY5"/>
      <c r="DWZ5"/>
      <c r="DXA5"/>
      <c r="DXB5"/>
      <c r="DXC5"/>
      <c r="DXD5"/>
      <c r="DXE5"/>
      <c r="DXF5"/>
      <c r="DXG5"/>
      <c r="DXH5"/>
      <c r="DXI5"/>
      <c r="DXJ5"/>
      <c r="DXK5"/>
      <c r="DXL5"/>
      <c r="DXM5"/>
      <c r="DXN5"/>
      <c r="DXO5"/>
      <c r="DXP5"/>
      <c r="DXQ5"/>
      <c r="DXR5"/>
      <c r="DXS5"/>
      <c r="DXT5"/>
      <c r="DXU5"/>
      <c r="DXV5"/>
      <c r="DXW5"/>
      <c r="DXX5"/>
      <c r="DXY5"/>
      <c r="DXZ5"/>
      <c r="DYA5"/>
      <c r="DYB5"/>
      <c r="DYC5"/>
      <c r="DYD5"/>
      <c r="DYE5"/>
      <c r="DYF5"/>
      <c r="DYG5"/>
      <c r="DYH5"/>
      <c r="DYI5"/>
      <c r="DYJ5"/>
      <c r="DYK5"/>
      <c r="DYL5"/>
      <c r="DYM5"/>
      <c r="DYN5"/>
      <c r="DYO5"/>
      <c r="DYP5"/>
      <c r="DYQ5"/>
      <c r="DYR5"/>
      <c r="DYS5"/>
      <c r="DYT5"/>
      <c r="DYU5"/>
      <c r="DYV5"/>
      <c r="DYW5"/>
      <c r="DYX5"/>
      <c r="DYY5"/>
      <c r="DYZ5"/>
      <c r="DZA5"/>
      <c r="DZB5"/>
      <c r="DZC5"/>
      <c r="DZD5"/>
      <c r="DZE5"/>
      <c r="DZF5"/>
      <c r="DZG5"/>
      <c r="DZH5"/>
      <c r="DZI5"/>
      <c r="DZJ5"/>
      <c r="DZK5"/>
      <c r="DZL5"/>
      <c r="DZM5"/>
      <c r="DZN5"/>
      <c r="DZO5"/>
      <c r="DZP5"/>
      <c r="DZQ5"/>
      <c r="DZR5"/>
      <c r="DZS5"/>
      <c r="DZT5"/>
      <c r="DZU5"/>
      <c r="DZV5"/>
      <c r="DZW5"/>
      <c r="DZX5"/>
      <c r="DZY5"/>
      <c r="DZZ5"/>
      <c r="EAA5"/>
      <c r="EAB5"/>
      <c r="EAC5"/>
      <c r="EAD5"/>
      <c r="EAE5"/>
      <c r="EAF5"/>
      <c r="EAG5"/>
      <c r="EAH5"/>
      <c r="EAI5"/>
      <c r="EAJ5"/>
      <c r="EAK5"/>
      <c r="EAL5"/>
      <c r="EAM5"/>
      <c r="EAN5"/>
      <c r="EAO5"/>
      <c r="EAP5"/>
      <c r="EAQ5"/>
      <c r="EAR5"/>
      <c r="EAS5"/>
      <c r="EAT5"/>
      <c r="EAU5"/>
      <c r="EAV5"/>
      <c r="EAW5"/>
      <c r="EAX5"/>
      <c r="EAY5"/>
      <c r="EAZ5"/>
      <c r="EBA5"/>
      <c r="EBB5"/>
      <c r="EBC5"/>
      <c r="EBD5"/>
      <c r="EBE5"/>
      <c r="EBF5"/>
      <c r="EBG5"/>
      <c r="EBH5"/>
      <c r="EBI5"/>
      <c r="EBJ5"/>
      <c r="EBK5"/>
      <c r="EBL5"/>
      <c r="EBM5"/>
      <c r="EBN5"/>
      <c r="EBO5"/>
      <c r="EBP5"/>
      <c r="EBQ5"/>
      <c r="EBR5"/>
      <c r="EBS5"/>
      <c r="EBT5"/>
      <c r="EBU5"/>
      <c r="EBV5"/>
      <c r="EBW5"/>
      <c r="EBX5"/>
      <c r="EBY5"/>
      <c r="EBZ5"/>
      <c r="ECA5"/>
      <c r="ECB5"/>
      <c r="ECC5"/>
      <c r="ECD5"/>
      <c r="ECE5"/>
      <c r="ECF5"/>
      <c r="ECG5"/>
      <c r="ECH5"/>
      <c r="ECI5"/>
      <c r="ECJ5"/>
      <c r="ECK5"/>
      <c r="ECL5"/>
      <c r="ECM5"/>
      <c r="ECN5"/>
      <c r="ECO5"/>
      <c r="ECP5"/>
      <c r="ECQ5"/>
      <c r="ECR5"/>
      <c r="ECS5"/>
      <c r="ECT5"/>
      <c r="ECU5"/>
      <c r="ECV5"/>
      <c r="ECW5"/>
      <c r="ECX5"/>
      <c r="ECY5"/>
      <c r="ECZ5"/>
      <c r="EDA5"/>
      <c r="EDB5"/>
      <c r="EDC5"/>
      <c r="EDD5"/>
      <c r="EDE5"/>
      <c r="EDF5"/>
      <c r="EDG5"/>
      <c r="EDH5"/>
      <c r="EDI5"/>
      <c r="EDJ5"/>
      <c r="EDK5"/>
      <c r="EDL5"/>
      <c r="EDM5"/>
      <c r="EDN5"/>
      <c r="EDO5"/>
      <c r="EDP5"/>
      <c r="EDQ5"/>
      <c r="EDR5"/>
      <c r="EDS5"/>
      <c r="EDT5"/>
      <c r="EDU5"/>
      <c r="EDV5"/>
      <c r="EDW5"/>
      <c r="EDX5"/>
      <c r="EDY5"/>
      <c r="EDZ5"/>
      <c r="EEA5"/>
      <c r="EEB5"/>
      <c r="EEC5"/>
      <c r="EED5"/>
      <c r="EEE5"/>
      <c r="EEF5"/>
      <c r="EEG5"/>
      <c r="EEH5"/>
      <c r="EEI5"/>
      <c r="EEJ5"/>
      <c r="EEK5"/>
      <c r="EEL5"/>
      <c r="EEM5"/>
      <c r="EEN5"/>
      <c r="EEO5"/>
      <c r="EEP5"/>
      <c r="EEQ5"/>
      <c r="EER5"/>
      <c r="EES5"/>
      <c r="EET5"/>
      <c r="EEU5"/>
      <c r="EEV5"/>
      <c r="EEW5"/>
      <c r="EEX5"/>
      <c r="EEY5"/>
      <c r="EEZ5"/>
      <c r="EFA5"/>
      <c r="EFB5"/>
      <c r="EFC5"/>
      <c r="EFD5"/>
      <c r="EFE5"/>
      <c r="EFF5"/>
      <c r="EFG5"/>
      <c r="EFH5"/>
      <c r="EFI5"/>
      <c r="EFJ5"/>
      <c r="EFK5"/>
      <c r="EFL5"/>
      <c r="EFM5"/>
      <c r="EFN5"/>
      <c r="EFO5"/>
      <c r="EFP5"/>
      <c r="EFQ5"/>
      <c r="EFR5"/>
      <c r="EFS5"/>
      <c r="EFT5"/>
      <c r="EFU5"/>
      <c r="EFV5"/>
      <c r="EFW5"/>
      <c r="EFX5"/>
      <c r="EFY5"/>
      <c r="EFZ5"/>
      <c r="EGA5"/>
      <c r="EGB5"/>
      <c r="EGC5"/>
      <c r="EGD5"/>
      <c r="EGE5"/>
      <c r="EGF5"/>
      <c r="EGG5"/>
      <c r="EGH5"/>
      <c r="EGI5"/>
      <c r="EGJ5"/>
      <c r="EGK5"/>
      <c r="EGL5"/>
      <c r="EGM5"/>
      <c r="EGN5"/>
      <c r="EGO5"/>
      <c r="EGP5"/>
      <c r="EGQ5"/>
      <c r="EGR5"/>
      <c r="EGS5"/>
      <c r="EGT5"/>
      <c r="EGU5"/>
      <c r="EGV5"/>
      <c r="EGW5"/>
      <c r="EGX5"/>
      <c r="EGY5"/>
      <c r="EGZ5"/>
      <c r="EHA5"/>
      <c r="EHB5"/>
      <c r="EHC5"/>
      <c r="EHD5"/>
      <c r="EHE5"/>
      <c r="EHF5"/>
      <c r="EHG5"/>
      <c r="EHH5"/>
      <c r="EHI5"/>
      <c r="EHJ5"/>
      <c r="EHK5"/>
      <c r="EHL5"/>
      <c r="EHM5"/>
      <c r="EHN5"/>
      <c r="EHO5"/>
      <c r="EHP5"/>
      <c r="EHQ5"/>
      <c r="EHR5"/>
      <c r="EHS5"/>
      <c r="EHT5"/>
      <c r="EHU5"/>
      <c r="EHV5"/>
      <c r="EHW5"/>
      <c r="EHX5"/>
      <c r="EHY5"/>
      <c r="EHZ5"/>
      <c r="EIA5"/>
      <c r="EIB5"/>
      <c r="EIC5"/>
      <c r="EID5"/>
      <c r="EIE5"/>
      <c r="EIF5"/>
      <c r="EIG5"/>
      <c r="EIH5"/>
      <c r="EII5"/>
      <c r="EIJ5"/>
      <c r="EIK5"/>
      <c r="EIL5"/>
      <c r="EIM5"/>
      <c r="EIN5"/>
      <c r="EIO5"/>
      <c r="EIP5"/>
      <c r="EIQ5"/>
      <c r="EIR5"/>
      <c r="EIS5"/>
      <c r="EIT5"/>
      <c r="EIU5"/>
      <c r="EIV5"/>
      <c r="EIW5"/>
      <c r="EIX5"/>
      <c r="EIY5"/>
      <c r="EIZ5"/>
      <c r="EJA5"/>
      <c r="EJB5"/>
      <c r="EJC5"/>
      <c r="EJD5"/>
      <c r="EJE5"/>
      <c r="EJF5"/>
      <c r="EJG5"/>
      <c r="EJH5"/>
      <c r="EJI5"/>
      <c r="EJJ5"/>
      <c r="EJK5"/>
      <c r="EJL5"/>
      <c r="EJM5"/>
      <c r="EJN5"/>
      <c r="EJO5"/>
      <c r="EJP5"/>
      <c r="EJQ5"/>
      <c r="EJR5"/>
      <c r="EJS5"/>
      <c r="EJT5"/>
      <c r="EJU5"/>
      <c r="EJV5"/>
      <c r="EJW5"/>
      <c r="EJX5"/>
      <c r="EJY5"/>
      <c r="EJZ5"/>
      <c r="EKA5"/>
      <c r="EKB5"/>
      <c r="EKC5"/>
      <c r="EKD5"/>
      <c r="EKE5"/>
      <c r="EKF5"/>
      <c r="EKG5"/>
      <c r="EKH5"/>
      <c r="EKI5"/>
      <c r="EKJ5"/>
      <c r="EKK5"/>
      <c r="EKL5"/>
      <c r="EKM5"/>
      <c r="EKN5"/>
      <c r="EKO5"/>
      <c r="EKP5"/>
      <c r="EKQ5"/>
      <c r="EKR5"/>
      <c r="EKS5"/>
      <c r="EKT5"/>
      <c r="EKU5"/>
      <c r="EKV5"/>
      <c r="EKW5"/>
      <c r="EKX5"/>
      <c r="EKY5"/>
      <c r="EKZ5"/>
      <c r="ELA5"/>
      <c r="ELB5"/>
      <c r="ELC5"/>
      <c r="ELD5"/>
      <c r="ELE5"/>
      <c r="ELF5"/>
      <c r="ELG5"/>
      <c r="ELH5"/>
      <c r="ELI5"/>
      <c r="ELJ5"/>
      <c r="ELK5"/>
      <c r="ELL5"/>
      <c r="ELM5"/>
      <c r="ELN5"/>
      <c r="ELO5"/>
      <c r="ELP5"/>
      <c r="ELQ5"/>
      <c r="ELR5"/>
      <c r="ELS5"/>
      <c r="ELT5"/>
      <c r="ELU5"/>
      <c r="ELV5"/>
      <c r="ELW5"/>
      <c r="ELX5"/>
      <c r="ELY5"/>
      <c r="ELZ5"/>
      <c r="EMA5"/>
      <c r="EMB5"/>
      <c r="EMC5"/>
      <c r="EMD5"/>
      <c r="EME5"/>
      <c r="EMF5"/>
      <c r="EMG5"/>
      <c r="EMH5"/>
      <c r="EMI5"/>
      <c r="EMJ5"/>
      <c r="EMK5"/>
      <c r="EML5"/>
      <c r="EMM5"/>
      <c r="EMN5"/>
      <c r="EMO5"/>
      <c r="EMP5"/>
      <c r="EMQ5"/>
      <c r="EMR5"/>
      <c r="EMS5"/>
      <c r="EMT5"/>
      <c r="EMU5"/>
      <c r="EMV5"/>
      <c r="EMW5"/>
      <c r="EMX5"/>
      <c r="EMY5"/>
      <c r="EMZ5"/>
      <c r="ENA5"/>
      <c r="ENB5"/>
      <c r="ENC5"/>
      <c r="END5"/>
      <c r="ENE5"/>
      <c r="ENF5"/>
      <c r="ENG5"/>
      <c r="ENH5"/>
      <c r="ENI5"/>
      <c r="ENJ5"/>
      <c r="ENK5"/>
      <c r="ENL5"/>
      <c r="ENM5"/>
      <c r="ENN5"/>
      <c r="ENO5"/>
      <c r="ENP5"/>
      <c r="ENQ5"/>
      <c r="ENR5"/>
      <c r="ENS5"/>
      <c r="ENT5"/>
      <c r="ENU5"/>
      <c r="ENV5"/>
      <c r="ENW5"/>
      <c r="ENX5"/>
      <c r="ENY5"/>
      <c r="ENZ5"/>
      <c r="EOA5"/>
      <c r="EOB5"/>
      <c r="EOC5"/>
      <c r="EOD5"/>
      <c r="EOE5"/>
      <c r="EOF5"/>
      <c r="EOG5"/>
      <c r="EOH5"/>
      <c r="EOI5"/>
      <c r="EOJ5"/>
      <c r="EOK5"/>
      <c r="EOL5"/>
      <c r="EOM5"/>
      <c r="EON5"/>
      <c r="EOO5"/>
      <c r="EOP5"/>
      <c r="EOQ5"/>
      <c r="EOR5"/>
      <c r="EOS5"/>
      <c r="EOT5"/>
      <c r="EOU5"/>
      <c r="EOV5"/>
      <c r="EOW5"/>
      <c r="EOX5"/>
      <c r="EOY5"/>
      <c r="EOZ5"/>
      <c r="EPA5"/>
      <c r="EPB5"/>
      <c r="EPC5"/>
      <c r="EPD5"/>
      <c r="EPE5"/>
      <c r="EPF5"/>
      <c r="EPG5"/>
      <c r="EPH5"/>
      <c r="EPI5"/>
      <c r="EPJ5"/>
      <c r="EPK5"/>
      <c r="EPL5"/>
      <c r="EPM5"/>
      <c r="EPN5"/>
      <c r="EPO5"/>
      <c r="EPP5"/>
      <c r="EPQ5"/>
      <c r="EPR5"/>
      <c r="EPS5"/>
      <c r="EPT5"/>
      <c r="EPU5"/>
      <c r="EPV5"/>
      <c r="EPW5"/>
      <c r="EPX5"/>
      <c r="EPY5"/>
      <c r="EPZ5"/>
      <c r="EQA5"/>
      <c r="EQB5"/>
      <c r="EQC5"/>
      <c r="EQD5"/>
      <c r="EQE5"/>
      <c r="EQF5"/>
      <c r="EQG5"/>
      <c r="EQH5"/>
      <c r="EQI5"/>
      <c r="EQJ5"/>
      <c r="EQK5"/>
      <c r="EQL5"/>
      <c r="EQM5"/>
      <c r="EQN5"/>
      <c r="EQO5"/>
      <c r="EQP5"/>
      <c r="EQQ5"/>
      <c r="EQR5"/>
      <c r="EQS5"/>
      <c r="EQT5"/>
      <c r="EQU5"/>
      <c r="EQV5"/>
      <c r="EQW5"/>
      <c r="EQX5"/>
      <c r="EQY5"/>
      <c r="EQZ5"/>
      <c r="ERA5"/>
      <c r="ERB5"/>
      <c r="ERC5"/>
      <c r="ERD5"/>
      <c r="ERE5"/>
      <c r="ERF5"/>
      <c r="ERG5"/>
      <c r="ERH5"/>
      <c r="ERI5"/>
      <c r="ERJ5"/>
      <c r="ERK5"/>
      <c r="ERL5"/>
      <c r="ERM5"/>
      <c r="ERN5"/>
      <c r="ERO5"/>
      <c r="ERP5"/>
      <c r="ERQ5"/>
      <c r="ERR5"/>
      <c r="ERS5"/>
      <c r="ERT5"/>
      <c r="ERU5"/>
      <c r="ERV5"/>
      <c r="ERW5"/>
      <c r="ERX5"/>
      <c r="ERY5"/>
      <c r="ERZ5"/>
      <c r="ESA5"/>
      <c r="ESB5"/>
      <c r="ESC5"/>
      <c r="ESD5"/>
      <c r="ESE5"/>
      <c r="ESF5"/>
      <c r="ESG5"/>
      <c r="ESH5"/>
      <c r="ESI5"/>
      <c r="ESJ5"/>
      <c r="ESK5"/>
      <c r="ESL5"/>
      <c r="ESM5"/>
      <c r="ESN5"/>
      <c r="ESO5"/>
      <c r="ESP5"/>
      <c r="ESQ5"/>
      <c r="ESR5"/>
      <c r="ESS5"/>
      <c r="EST5"/>
      <c r="ESU5"/>
      <c r="ESV5"/>
      <c r="ESW5"/>
      <c r="ESX5"/>
      <c r="ESY5"/>
      <c r="ESZ5"/>
      <c r="ETA5"/>
      <c r="ETB5"/>
      <c r="ETC5"/>
      <c r="ETD5"/>
      <c r="ETE5"/>
      <c r="ETF5"/>
      <c r="ETG5"/>
      <c r="ETH5"/>
      <c r="ETI5"/>
      <c r="ETJ5"/>
      <c r="ETK5"/>
      <c r="ETL5"/>
      <c r="ETM5"/>
      <c r="ETN5"/>
      <c r="ETO5"/>
      <c r="ETP5"/>
      <c r="ETQ5"/>
      <c r="ETR5"/>
      <c r="ETS5"/>
      <c r="ETT5"/>
      <c r="ETU5"/>
      <c r="ETV5"/>
      <c r="ETW5"/>
      <c r="ETX5"/>
      <c r="ETY5"/>
      <c r="ETZ5"/>
      <c r="EUA5"/>
      <c r="EUB5"/>
      <c r="EUC5"/>
      <c r="EUD5"/>
      <c r="EUE5"/>
      <c r="EUF5"/>
      <c r="EUG5"/>
      <c r="EUH5"/>
      <c r="EUI5"/>
      <c r="EUJ5"/>
      <c r="EUK5"/>
      <c r="EUL5"/>
      <c r="EUM5"/>
      <c r="EUN5"/>
      <c r="EUO5"/>
      <c r="EUP5"/>
      <c r="EUQ5"/>
      <c r="EUR5"/>
      <c r="EUS5"/>
      <c r="EUT5"/>
      <c r="EUU5"/>
      <c r="EUV5"/>
      <c r="EUW5"/>
      <c r="EUX5"/>
      <c r="EUY5"/>
      <c r="EUZ5"/>
      <c r="EVA5"/>
      <c r="EVB5"/>
      <c r="EVC5"/>
      <c r="EVD5"/>
      <c r="EVE5"/>
      <c r="EVF5"/>
      <c r="EVG5"/>
      <c r="EVH5"/>
      <c r="EVI5"/>
      <c r="EVJ5"/>
      <c r="EVK5"/>
      <c r="EVL5"/>
      <c r="EVM5"/>
      <c r="EVN5"/>
      <c r="EVO5"/>
      <c r="EVP5"/>
      <c r="EVQ5"/>
      <c r="EVR5"/>
      <c r="EVS5"/>
      <c r="EVT5"/>
      <c r="EVU5"/>
      <c r="EVV5"/>
      <c r="EVW5"/>
      <c r="EVX5"/>
      <c r="EVY5"/>
      <c r="EVZ5"/>
      <c r="EWA5"/>
      <c r="EWB5"/>
      <c r="EWC5"/>
      <c r="EWD5"/>
      <c r="EWE5"/>
      <c r="EWF5"/>
      <c r="EWG5"/>
      <c r="EWH5"/>
      <c r="EWI5"/>
      <c r="EWJ5"/>
      <c r="EWK5"/>
      <c r="EWL5"/>
      <c r="EWM5"/>
      <c r="EWN5"/>
      <c r="EWO5"/>
      <c r="EWP5"/>
      <c r="EWQ5"/>
      <c r="EWR5"/>
      <c r="EWS5"/>
      <c r="EWT5"/>
      <c r="EWU5"/>
      <c r="EWV5"/>
      <c r="EWW5"/>
      <c r="EWX5"/>
      <c r="EWY5"/>
      <c r="EWZ5"/>
      <c r="EXA5"/>
      <c r="EXB5"/>
      <c r="EXC5"/>
      <c r="EXD5"/>
      <c r="EXE5"/>
      <c r="EXF5"/>
      <c r="EXG5"/>
      <c r="EXH5"/>
      <c r="EXI5"/>
      <c r="EXJ5"/>
      <c r="EXK5"/>
      <c r="EXL5"/>
      <c r="EXM5"/>
      <c r="EXN5"/>
      <c r="EXO5"/>
      <c r="EXP5"/>
      <c r="EXQ5"/>
      <c r="EXR5"/>
      <c r="EXS5"/>
      <c r="EXT5"/>
      <c r="EXU5"/>
      <c r="EXV5"/>
      <c r="EXW5"/>
      <c r="EXX5"/>
      <c r="EXY5"/>
      <c r="EXZ5"/>
      <c r="EYA5"/>
      <c r="EYB5"/>
      <c r="EYC5"/>
      <c r="EYD5"/>
      <c r="EYE5"/>
      <c r="EYF5"/>
      <c r="EYG5"/>
      <c r="EYH5"/>
      <c r="EYI5"/>
      <c r="EYJ5"/>
      <c r="EYK5"/>
      <c r="EYL5"/>
      <c r="EYM5"/>
      <c r="EYN5"/>
      <c r="EYO5"/>
      <c r="EYP5"/>
      <c r="EYQ5"/>
      <c r="EYR5"/>
      <c r="EYS5"/>
      <c r="EYT5"/>
      <c r="EYU5"/>
      <c r="EYV5"/>
      <c r="EYW5"/>
      <c r="EYX5"/>
      <c r="EYY5"/>
      <c r="EYZ5"/>
      <c r="EZA5"/>
      <c r="EZB5"/>
      <c r="EZC5"/>
      <c r="EZD5"/>
      <c r="EZE5"/>
      <c r="EZF5"/>
      <c r="EZG5"/>
      <c r="EZH5"/>
      <c r="EZI5"/>
      <c r="EZJ5"/>
      <c r="EZK5"/>
      <c r="EZL5"/>
      <c r="EZM5"/>
      <c r="EZN5"/>
      <c r="EZO5"/>
      <c r="EZP5"/>
      <c r="EZQ5"/>
      <c r="EZR5"/>
      <c r="EZS5"/>
      <c r="EZT5"/>
      <c r="EZU5"/>
      <c r="EZV5"/>
      <c r="EZW5"/>
      <c r="EZX5"/>
      <c r="EZY5"/>
      <c r="EZZ5"/>
      <c r="FAA5"/>
      <c r="FAB5"/>
      <c r="FAC5"/>
      <c r="FAD5"/>
      <c r="FAE5"/>
      <c r="FAF5"/>
      <c r="FAG5"/>
      <c r="FAH5"/>
      <c r="FAI5"/>
      <c r="FAJ5"/>
      <c r="FAK5"/>
      <c r="FAL5"/>
      <c r="FAM5"/>
      <c r="FAN5"/>
      <c r="FAO5"/>
      <c r="FAP5"/>
      <c r="FAQ5"/>
      <c r="FAR5"/>
      <c r="FAS5"/>
      <c r="FAT5"/>
      <c r="FAU5"/>
      <c r="FAV5"/>
      <c r="FAW5"/>
      <c r="FAX5"/>
      <c r="FAY5"/>
      <c r="FAZ5"/>
      <c r="FBA5"/>
      <c r="FBB5"/>
      <c r="FBC5"/>
      <c r="FBD5"/>
      <c r="FBE5"/>
      <c r="FBF5"/>
      <c r="FBG5"/>
      <c r="FBH5"/>
      <c r="FBI5"/>
      <c r="FBJ5"/>
      <c r="FBK5"/>
      <c r="FBL5"/>
      <c r="FBM5"/>
      <c r="FBN5"/>
      <c r="FBO5"/>
      <c r="FBP5"/>
      <c r="FBQ5"/>
      <c r="FBR5"/>
      <c r="FBS5"/>
      <c r="FBT5"/>
      <c r="FBU5"/>
      <c r="FBV5"/>
      <c r="FBW5"/>
      <c r="FBX5"/>
      <c r="FBY5"/>
      <c r="FBZ5"/>
      <c r="FCA5"/>
      <c r="FCB5"/>
      <c r="FCC5"/>
      <c r="FCD5"/>
      <c r="FCE5"/>
      <c r="FCF5"/>
      <c r="FCG5"/>
      <c r="FCH5"/>
      <c r="FCI5"/>
      <c r="FCJ5"/>
      <c r="FCK5"/>
      <c r="FCL5"/>
      <c r="FCM5"/>
      <c r="FCN5"/>
      <c r="FCO5"/>
      <c r="FCP5"/>
      <c r="FCQ5"/>
      <c r="FCR5"/>
      <c r="FCS5"/>
      <c r="FCT5"/>
      <c r="FCU5"/>
      <c r="FCV5"/>
      <c r="FCW5"/>
      <c r="FCX5"/>
      <c r="FCY5"/>
      <c r="FCZ5"/>
      <c r="FDA5"/>
      <c r="FDB5"/>
      <c r="FDC5"/>
      <c r="FDD5"/>
      <c r="FDE5"/>
      <c r="FDF5"/>
      <c r="FDG5"/>
      <c r="FDH5"/>
      <c r="FDI5"/>
      <c r="FDJ5"/>
      <c r="FDK5"/>
      <c r="FDL5"/>
      <c r="FDM5"/>
      <c r="FDN5"/>
      <c r="FDO5"/>
      <c r="FDP5"/>
      <c r="FDQ5"/>
      <c r="FDR5"/>
      <c r="FDS5"/>
      <c r="FDT5"/>
      <c r="FDU5"/>
      <c r="FDV5"/>
      <c r="FDW5"/>
      <c r="FDX5"/>
      <c r="FDY5"/>
      <c r="FDZ5"/>
      <c r="FEA5"/>
      <c r="FEB5"/>
      <c r="FEC5"/>
      <c r="FED5"/>
      <c r="FEE5"/>
      <c r="FEF5"/>
      <c r="FEG5"/>
      <c r="FEH5"/>
      <c r="FEI5"/>
      <c r="FEJ5"/>
      <c r="FEK5"/>
      <c r="FEL5"/>
      <c r="FEM5"/>
      <c r="FEN5"/>
      <c r="FEO5"/>
      <c r="FEP5"/>
      <c r="FEQ5"/>
      <c r="FER5"/>
      <c r="FES5"/>
      <c r="FET5"/>
      <c r="FEU5"/>
      <c r="FEV5"/>
      <c r="FEW5"/>
      <c r="FEX5"/>
      <c r="FEY5"/>
      <c r="FEZ5"/>
      <c r="FFA5"/>
      <c r="FFB5"/>
      <c r="FFC5"/>
      <c r="FFD5"/>
      <c r="FFE5"/>
      <c r="FFF5"/>
      <c r="FFG5"/>
      <c r="FFH5"/>
      <c r="FFI5"/>
      <c r="FFJ5"/>
      <c r="FFK5"/>
      <c r="FFL5"/>
      <c r="FFM5"/>
      <c r="FFN5"/>
      <c r="FFO5"/>
      <c r="FFP5"/>
      <c r="FFQ5"/>
      <c r="FFR5"/>
      <c r="FFS5"/>
      <c r="FFT5"/>
      <c r="FFU5"/>
      <c r="FFV5"/>
      <c r="FFW5"/>
      <c r="FFX5"/>
      <c r="FFY5"/>
      <c r="FFZ5"/>
      <c r="FGA5"/>
      <c r="FGB5"/>
      <c r="FGC5"/>
      <c r="FGD5"/>
      <c r="FGE5"/>
      <c r="FGF5"/>
      <c r="FGG5"/>
      <c r="FGH5"/>
      <c r="FGI5"/>
      <c r="FGJ5"/>
      <c r="FGK5"/>
      <c r="FGL5"/>
      <c r="FGM5"/>
      <c r="FGN5"/>
      <c r="FGO5"/>
      <c r="FGP5"/>
      <c r="FGQ5"/>
      <c r="FGR5"/>
      <c r="FGS5"/>
      <c r="FGT5"/>
      <c r="FGU5"/>
      <c r="FGV5"/>
      <c r="FGW5"/>
      <c r="FGX5"/>
      <c r="FGY5"/>
      <c r="FGZ5"/>
      <c r="FHA5"/>
      <c r="FHB5"/>
      <c r="FHC5"/>
      <c r="FHD5"/>
      <c r="FHE5"/>
      <c r="FHF5"/>
      <c r="FHG5"/>
      <c r="FHH5"/>
      <c r="FHI5"/>
      <c r="FHJ5"/>
      <c r="FHK5"/>
      <c r="FHL5"/>
      <c r="FHM5"/>
      <c r="FHN5"/>
      <c r="FHO5"/>
      <c r="FHP5"/>
      <c r="FHQ5"/>
      <c r="FHR5"/>
      <c r="FHS5"/>
      <c r="FHT5"/>
      <c r="FHU5"/>
      <c r="FHV5"/>
      <c r="FHW5"/>
      <c r="FHX5"/>
      <c r="FHY5"/>
      <c r="FHZ5"/>
      <c r="FIA5"/>
      <c r="FIB5"/>
      <c r="FIC5"/>
      <c r="FID5"/>
      <c r="FIE5"/>
      <c r="FIF5"/>
      <c r="FIG5"/>
      <c r="FIH5"/>
      <c r="FII5"/>
      <c r="FIJ5"/>
      <c r="FIK5"/>
      <c r="FIL5"/>
      <c r="FIM5"/>
      <c r="FIN5"/>
      <c r="FIO5"/>
      <c r="FIP5"/>
      <c r="FIQ5"/>
      <c r="FIR5"/>
      <c r="FIS5"/>
      <c r="FIT5"/>
      <c r="FIU5"/>
      <c r="FIV5"/>
      <c r="FIW5"/>
      <c r="FIX5"/>
      <c r="FIY5"/>
      <c r="FIZ5"/>
      <c r="FJA5"/>
      <c r="FJB5"/>
      <c r="FJC5"/>
      <c r="FJD5"/>
      <c r="FJE5"/>
      <c r="FJF5"/>
      <c r="FJG5"/>
      <c r="FJH5"/>
      <c r="FJI5"/>
      <c r="FJJ5"/>
      <c r="FJK5"/>
      <c r="FJL5"/>
      <c r="FJM5"/>
      <c r="FJN5"/>
      <c r="FJO5"/>
      <c r="FJP5"/>
      <c r="FJQ5"/>
      <c r="FJR5"/>
      <c r="FJS5"/>
      <c r="FJT5"/>
      <c r="FJU5"/>
      <c r="FJV5"/>
      <c r="FJW5"/>
      <c r="FJX5"/>
      <c r="FJY5"/>
      <c r="FJZ5"/>
      <c r="FKA5"/>
      <c r="FKB5"/>
      <c r="FKC5"/>
      <c r="FKD5"/>
      <c r="FKE5"/>
      <c r="FKF5"/>
      <c r="FKG5"/>
      <c r="FKH5"/>
      <c r="FKI5"/>
      <c r="FKJ5"/>
      <c r="FKK5"/>
      <c r="FKL5"/>
      <c r="FKM5"/>
      <c r="FKN5"/>
      <c r="FKO5"/>
      <c r="FKP5"/>
      <c r="FKQ5"/>
      <c r="FKR5"/>
      <c r="FKS5"/>
      <c r="FKT5"/>
      <c r="FKU5"/>
      <c r="FKV5"/>
      <c r="FKW5"/>
      <c r="FKX5"/>
      <c r="FKY5"/>
      <c r="FKZ5"/>
      <c r="FLA5"/>
      <c r="FLB5"/>
      <c r="FLC5"/>
      <c r="FLD5"/>
      <c r="FLE5"/>
      <c r="FLF5"/>
      <c r="FLG5"/>
      <c r="FLH5"/>
      <c r="FLI5"/>
      <c r="FLJ5"/>
      <c r="FLK5"/>
      <c r="FLL5"/>
      <c r="FLM5"/>
      <c r="FLN5"/>
      <c r="FLO5"/>
      <c r="FLP5"/>
      <c r="FLQ5"/>
      <c r="FLR5"/>
      <c r="FLS5"/>
      <c r="FLT5"/>
      <c r="FLU5"/>
      <c r="FLV5"/>
      <c r="FLW5"/>
      <c r="FLX5"/>
      <c r="FLY5"/>
      <c r="FLZ5"/>
      <c r="FMA5"/>
      <c r="FMB5"/>
      <c r="FMC5"/>
      <c r="FMD5"/>
      <c r="FME5"/>
      <c r="FMF5"/>
      <c r="FMG5"/>
      <c r="FMH5"/>
      <c r="FMI5"/>
      <c r="FMJ5"/>
      <c r="FMK5"/>
      <c r="FML5"/>
      <c r="FMM5"/>
      <c r="FMN5"/>
      <c r="FMO5"/>
      <c r="FMP5"/>
      <c r="FMQ5"/>
      <c r="FMR5"/>
      <c r="FMS5"/>
      <c r="FMT5"/>
      <c r="FMU5"/>
      <c r="FMV5"/>
      <c r="FMW5"/>
      <c r="FMX5"/>
      <c r="FMY5"/>
      <c r="FMZ5"/>
      <c r="FNA5"/>
      <c r="FNB5"/>
      <c r="FNC5"/>
      <c r="FND5"/>
      <c r="FNE5"/>
      <c r="FNF5"/>
      <c r="FNG5"/>
      <c r="FNH5"/>
      <c r="FNI5"/>
      <c r="FNJ5"/>
      <c r="FNK5"/>
      <c r="FNL5"/>
      <c r="FNM5"/>
      <c r="FNN5"/>
      <c r="FNO5"/>
      <c r="FNP5"/>
      <c r="FNQ5"/>
      <c r="FNR5"/>
      <c r="FNS5"/>
      <c r="FNT5"/>
      <c r="FNU5"/>
      <c r="FNV5"/>
      <c r="FNW5"/>
      <c r="FNX5"/>
      <c r="FNY5"/>
      <c r="FNZ5"/>
      <c r="FOA5"/>
      <c r="FOB5"/>
      <c r="FOC5"/>
      <c r="FOD5"/>
      <c r="FOE5"/>
      <c r="FOF5"/>
      <c r="FOG5"/>
      <c r="FOH5"/>
      <c r="FOI5"/>
      <c r="FOJ5"/>
      <c r="FOK5"/>
      <c r="FOL5"/>
      <c r="FOM5"/>
      <c r="FON5"/>
      <c r="FOO5"/>
      <c r="FOP5"/>
      <c r="FOQ5"/>
      <c r="FOR5"/>
      <c r="FOS5"/>
      <c r="FOT5"/>
      <c r="FOU5"/>
      <c r="FOV5"/>
      <c r="FOW5"/>
      <c r="FOX5"/>
      <c r="FOY5"/>
      <c r="FOZ5"/>
      <c r="FPA5"/>
      <c r="FPB5"/>
      <c r="FPC5"/>
      <c r="FPD5"/>
      <c r="FPE5"/>
      <c r="FPF5"/>
      <c r="FPG5"/>
      <c r="FPH5"/>
      <c r="FPI5"/>
      <c r="FPJ5"/>
      <c r="FPK5"/>
      <c r="FPL5"/>
      <c r="FPM5"/>
      <c r="FPN5"/>
      <c r="FPO5"/>
      <c r="FPP5"/>
      <c r="FPQ5"/>
      <c r="FPR5"/>
      <c r="FPS5"/>
      <c r="FPT5"/>
      <c r="FPU5"/>
      <c r="FPV5"/>
      <c r="FPW5"/>
      <c r="FPX5"/>
      <c r="FPY5"/>
      <c r="FPZ5"/>
      <c r="FQA5"/>
      <c r="FQB5"/>
      <c r="FQC5"/>
      <c r="FQD5"/>
      <c r="FQE5"/>
      <c r="FQF5"/>
      <c r="FQG5"/>
      <c r="FQH5"/>
      <c r="FQI5"/>
      <c r="FQJ5"/>
      <c r="FQK5"/>
      <c r="FQL5"/>
      <c r="FQM5"/>
      <c r="FQN5"/>
      <c r="FQO5"/>
      <c r="FQP5"/>
      <c r="FQQ5"/>
      <c r="FQR5"/>
      <c r="FQS5"/>
      <c r="FQT5"/>
      <c r="FQU5"/>
      <c r="FQV5"/>
      <c r="FQW5"/>
      <c r="FQX5"/>
      <c r="FQY5"/>
      <c r="FQZ5"/>
      <c r="FRA5"/>
      <c r="FRB5"/>
      <c r="FRC5"/>
      <c r="FRD5"/>
      <c r="FRE5"/>
      <c r="FRF5"/>
      <c r="FRG5"/>
      <c r="FRH5"/>
      <c r="FRI5"/>
      <c r="FRJ5"/>
      <c r="FRK5"/>
      <c r="FRL5"/>
      <c r="FRM5"/>
      <c r="FRN5"/>
      <c r="FRO5"/>
      <c r="FRP5"/>
      <c r="FRQ5"/>
      <c r="FRR5"/>
      <c r="FRS5"/>
      <c r="FRT5"/>
      <c r="FRU5"/>
      <c r="FRV5"/>
      <c r="FRW5"/>
      <c r="FRX5"/>
      <c r="FRY5"/>
      <c r="FRZ5"/>
      <c r="FSA5"/>
      <c r="FSB5"/>
      <c r="FSC5"/>
      <c r="FSD5"/>
      <c r="FSE5"/>
      <c r="FSF5"/>
      <c r="FSG5"/>
      <c r="FSH5"/>
      <c r="FSI5"/>
      <c r="FSJ5"/>
      <c r="FSK5"/>
      <c r="FSL5"/>
      <c r="FSM5"/>
      <c r="FSN5"/>
      <c r="FSO5"/>
      <c r="FSP5"/>
      <c r="FSQ5"/>
      <c r="FSR5"/>
      <c r="FSS5"/>
      <c r="FST5"/>
      <c r="FSU5"/>
      <c r="FSV5"/>
      <c r="FSW5"/>
      <c r="FSX5"/>
      <c r="FSY5"/>
      <c r="FSZ5"/>
      <c r="FTA5"/>
      <c r="FTB5"/>
      <c r="FTC5"/>
      <c r="FTD5"/>
      <c r="FTE5"/>
      <c r="FTF5"/>
      <c r="FTG5"/>
      <c r="FTH5"/>
      <c r="FTI5"/>
      <c r="FTJ5"/>
      <c r="FTK5"/>
      <c r="FTL5"/>
      <c r="FTM5"/>
      <c r="FTN5"/>
      <c r="FTO5"/>
      <c r="FTP5"/>
      <c r="FTQ5"/>
      <c r="FTR5"/>
      <c r="FTS5"/>
      <c r="FTT5"/>
      <c r="FTU5"/>
      <c r="FTV5"/>
      <c r="FTW5"/>
      <c r="FTX5"/>
      <c r="FTY5"/>
      <c r="FTZ5"/>
      <c r="FUA5"/>
      <c r="FUB5"/>
      <c r="FUC5"/>
      <c r="FUD5"/>
      <c r="FUE5"/>
      <c r="FUF5"/>
      <c r="FUG5"/>
      <c r="FUH5"/>
      <c r="FUI5"/>
      <c r="FUJ5"/>
      <c r="FUK5"/>
      <c r="FUL5"/>
      <c r="FUM5"/>
      <c r="FUN5"/>
      <c r="FUO5"/>
      <c r="FUP5"/>
      <c r="FUQ5"/>
      <c r="FUR5"/>
      <c r="FUS5"/>
      <c r="FUT5"/>
      <c r="FUU5"/>
      <c r="FUV5"/>
      <c r="FUW5"/>
      <c r="FUX5"/>
      <c r="FUY5"/>
      <c r="FUZ5"/>
      <c r="FVA5"/>
      <c r="FVB5"/>
      <c r="FVC5"/>
      <c r="FVD5"/>
      <c r="FVE5"/>
      <c r="FVF5"/>
      <c r="FVG5"/>
      <c r="FVH5"/>
      <c r="FVI5"/>
      <c r="FVJ5"/>
      <c r="FVK5"/>
      <c r="FVL5"/>
      <c r="FVM5"/>
      <c r="FVN5"/>
      <c r="FVO5"/>
      <c r="FVP5"/>
      <c r="FVQ5"/>
      <c r="FVR5"/>
      <c r="FVS5"/>
      <c r="FVT5"/>
      <c r="FVU5"/>
      <c r="FVV5"/>
      <c r="FVW5"/>
      <c r="FVX5"/>
      <c r="FVY5"/>
      <c r="FVZ5"/>
      <c r="FWA5"/>
      <c r="FWB5"/>
      <c r="FWC5"/>
      <c r="FWD5"/>
      <c r="FWE5"/>
      <c r="FWF5"/>
      <c r="FWG5"/>
      <c r="FWH5"/>
      <c r="FWI5"/>
      <c r="FWJ5"/>
      <c r="FWK5"/>
      <c r="FWL5"/>
      <c r="FWM5"/>
      <c r="FWN5"/>
      <c r="FWO5"/>
      <c r="FWP5"/>
      <c r="FWQ5"/>
      <c r="FWR5"/>
      <c r="FWS5"/>
      <c r="FWT5"/>
      <c r="FWU5"/>
      <c r="FWV5"/>
      <c r="FWW5"/>
      <c r="FWX5"/>
      <c r="FWY5"/>
      <c r="FWZ5"/>
      <c r="FXA5"/>
      <c r="FXB5"/>
      <c r="FXC5"/>
      <c r="FXD5"/>
      <c r="FXE5"/>
      <c r="FXF5"/>
      <c r="FXG5"/>
      <c r="FXH5"/>
      <c r="FXI5"/>
      <c r="FXJ5"/>
      <c r="FXK5"/>
      <c r="FXL5"/>
      <c r="FXM5"/>
      <c r="FXN5"/>
      <c r="FXO5"/>
      <c r="FXP5"/>
      <c r="FXQ5"/>
      <c r="FXR5"/>
      <c r="FXS5"/>
      <c r="FXT5"/>
      <c r="FXU5"/>
      <c r="FXV5"/>
      <c r="FXW5"/>
      <c r="FXX5"/>
      <c r="FXY5"/>
      <c r="FXZ5"/>
      <c r="FYA5"/>
      <c r="FYB5"/>
      <c r="FYC5"/>
      <c r="FYD5"/>
      <c r="FYE5"/>
      <c r="FYF5"/>
      <c r="FYG5"/>
      <c r="FYH5"/>
      <c r="FYI5"/>
      <c r="FYJ5"/>
      <c r="FYK5"/>
      <c r="FYL5"/>
      <c r="FYM5"/>
      <c r="FYN5"/>
      <c r="FYO5"/>
      <c r="FYP5"/>
      <c r="FYQ5"/>
      <c r="FYR5"/>
      <c r="FYS5"/>
      <c r="FYT5"/>
      <c r="FYU5"/>
      <c r="FYV5"/>
      <c r="FYW5"/>
      <c r="FYX5"/>
      <c r="FYY5"/>
      <c r="FYZ5"/>
      <c r="FZA5"/>
      <c r="FZB5"/>
      <c r="FZC5"/>
      <c r="FZD5"/>
      <c r="FZE5"/>
      <c r="FZF5"/>
      <c r="FZG5"/>
      <c r="FZH5"/>
      <c r="FZI5"/>
      <c r="FZJ5"/>
      <c r="FZK5"/>
      <c r="FZL5"/>
      <c r="FZM5"/>
      <c r="FZN5"/>
      <c r="FZO5"/>
      <c r="FZP5"/>
      <c r="FZQ5"/>
      <c r="FZR5"/>
      <c r="FZS5"/>
      <c r="FZT5"/>
      <c r="FZU5"/>
      <c r="FZV5"/>
      <c r="FZW5"/>
      <c r="FZX5"/>
      <c r="FZY5"/>
      <c r="FZZ5"/>
      <c r="GAA5"/>
      <c r="GAB5"/>
      <c r="GAC5"/>
      <c r="GAD5"/>
      <c r="GAE5"/>
      <c r="GAF5"/>
      <c r="GAG5"/>
      <c r="GAH5"/>
      <c r="GAI5"/>
      <c r="GAJ5"/>
      <c r="GAK5"/>
      <c r="GAL5"/>
      <c r="GAM5"/>
      <c r="GAN5"/>
      <c r="GAO5"/>
      <c r="GAP5"/>
      <c r="GAQ5"/>
      <c r="GAR5"/>
      <c r="GAS5"/>
      <c r="GAT5"/>
      <c r="GAU5"/>
      <c r="GAV5"/>
      <c r="GAW5"/>
      <c r="GAX5"/>
      <c r="GAY5"/>
      <c r="GAZ5"/>
      <c r="GBA5"/>
      <c r="GBB5"/>
      <c r="GBC5"/>
      <c r="GBD5"/>
      <c r="GBE5"/>
      <c r="GBF5"/>
      <c r="GBG5"/>
      <c r="GBH5"/>
      <c r="GBI5"/>
      <c r="GBJ5"/>
      <c r="GBK5"/>
      <c r="GBL5"/>
      <c r="GBM5"/>
      <c r="GBN5"/>
      <c r="GBO5"/>
      <c r="GBP5"/>
      <c r="GBQ5"/>
      <c r="GBR5"/>
      <c r="GBS5"/>
      <c r="GBT5"/>
      <c r="GBU5"/>
      <c r="GBV5"/>
      <c r="GBW5"/>
      <c r="GBX5"/>
      <c r="GBY5"/>
      <c r="GBZ5"/>
      <c r="GCA5"/>
      <c r="GCB5"/>
      <c r="GCC5"/>
      <c r="GCD5"/>
      <c r="GCE5"/>
      <c r="GCF5"/>
      <c r="GCG5"/>
      <c r="GCH5"/>
      <c r="GCI5"/>
      <c r="GCJ5"/>
      <c r="GCK5"/>
      <c r="GCL5"/>
      <c r="GCM5"/>
      <c r="GCN5"/>
      <c r="GCO5"/>
      <c r="GCP5"/>
      <c r="GCQ5"/>
      <c r="GCR5"/>
      <c r="GCS5"/>
      <c r="GCT5"/>
      <c r="GCU5"/>
      <c r="GCV5"/>
      <c r="GCW5"/>
      <c r="GCX5"/>
      <c r="GCY5"/>
      <c r="GCZ5"/>
      <c r="GDA5"/>
      <c r="GDB5"/>
      <c r="GDC5"/>
      <c r="GDD5"/>
      <c r="GDE5"/>
      <c r="GDF5"/>
      <c r="GDG5"/>
      <c r="GDH5"/>
      <c r="GDI5"/>
      <c r="GDJ5"/>
      <c r="GDK5"/>
      <c r="GDL5"/>
      <c r="GDM5"/>
      <c r="GDN5"/>
      <c r="GDO5"/>
      <c r="GDP5"/>
      <c r="GDQ5"/>
      <c r="GDR5"/>
      <c r="GDS5"/>
      <c r="GDT5"/>
      <c r="GDU5"/>
      <c r="GDV5"/>
      <c r="GDW5"/>
      <c r="GDX5"/>
      <c r="GDY5"/>
      <c r="GDZ5"/>
      <c r="GEA5"/>
      <c r="GEB5"/>
      <c r="GEC5"/>
      <c r="GED5"/>
      <c r="GEE5"/>
      <c r="GEF5"/>
      <c r="GEG5"/>
      <c r="GEH5"/>
      <c r="GEI5"/>
      <c r="GEJ5"/>
      <c r="GEK5"/>
      <c r="GEL5"/>
      <c r="GEM5"/>
      <c r="GEN5"/>
      <c r="GEO5"/>
      <c r="GEP5"/>
      <c r="GEQ5"/>
      <c r="GER5"/>
      <c r="GES5"/>
      <c r="GET5"/>
      <c r="GEU5"/>
      <c r="GEV5"/>
      <c r="GEW5"/>
      <c r="GEX5"/>
      <c r="GEY5"/>
      <c r="GEZ5"/>
      <c r="GFA5"/>
      <c r="GFB5"/>
      <c r="GFC5"/>
      <c r="GFD5"/>
      <c r="GFE5"/>
      <c r="GFF5"/>
      <c r="GFG5"/>
      <c r="GFH5"/>
      <c r="GFI5"/>
      <c r="GFJ5"/>
      <c r="GFK5"/>
      <c r="GFL5"/>
      <c r="GFM5"/>
      <c r="GFN5"/>
      <c r="GFO5"/>
      <c r="GFP5"/>
      <c r="GFQ5"/>
      <c r="GFR5"/>
      <c r="GFS5"/>
      <c r="GFT5"/>
      <c r="GFU5"/>
      <c r="GFV5"/>
      <c r="GFW5"/>
      <c r="GFX5"/>
      <c r="GFY5"/>
      <c r="GFZ5"/>
      <c r="GGA5"/>
      <c r="GGB5"/>
      <c r="GGC5"/>
      <c r="GGD5"/>
      <c r="GGE5"/>
      <c r="GGF5"/>
      <c r="GGG5"/>
      <c r="GGH5"/>
      <c r="GGI5"/>
      <c r="GGJ5"/>
      <c r="GGK5"/>
      <c r="GGL5"/>
      <c r="GGM5"/>
      <c r="GGN5"/>
      <c r="GGO5"/>
      <c r="GGP5"/>
      <c r="GGQ5"/>
      <c r="GGR5"/>
      <c r="GGS5"/>
      <c r="GGT5"/>
      <c r="GGU5"/>
      <c r="GGV5"/>
      <c r="GGW5"/>
      <c r="GGX5"/>
      <c r="GGY5"/>
      <c r="GGZ5"/>
      <c r="GHA5"/>
      <c r="GHB5"/>
      <c r="GHC5"/>
      <c r="GHD5"/>
      <c r="GHE5"/>
      <c r="GHF5"/>
      <c r="GHG5"/>
      <c r="GHH5"/>
      <c r="GHI5"/>
      <c r="GHJ5"/>
      <c r="GHK5"/>
      <c r="GHL5"/>
      <c r="GHM5"/>
      <c r="GHN5"/>
      <c r="GHO5"/>
      <c r="GHP5"/>
      <c r="GHQ5"/>
      <c r="GHR5"/>
      <c r="GHS5"/>
      <c r="GHT5"/>
      <c r="GHU5"/>
      <c r="GHV5"/>
      <c r="GHW5"/>
      <c r="GHX5"/>
      <c r="GHY5"/>
      <c r="GHZ5"/>
      <c r="GIA5"/>
      <c r="GIB5"/>
      <c r="GIC5"/>
      <c r="GID5"/>
      <c r="GIE5"/>
      <c r="GIF5"/>
      <c r="GIG5"/>
      <c r="GIH5"/>
      <c r="GII5"/>
      <c r="GIJ5"/>
      <c r="GIK5"/>
      <c r="GIL5"/>
      <c r="GIM5"/>
      <c r="GIN5"/>
      <c r="GIO5"/>
      <c r="GIP5"/>
      <c r="GIQ5"/>
      <c r="GIR5"/>
      <c r="GIS5"/>
      <c r="GIT5"/>
      <c r="GIU5"/>
      <c r="GIV5"/>
      <c r="GIW5"/>
      <c r="GIX5"/>
      <c r="GIY5"/>
      <c r="GIZ5"/>
      <c r="GJA5"/>
      <c r="GJB5"/>
      <c r="GJC5"/>
      <c r="GJD5"/>
      <c r="GJE5"/>
      <c r="GJF5"/>
      <c r="GJG5"/>
      <c r="GJH5"/>
      <c r="GJI5"/>
      <c r="GJJ5"/>
      <c r="GJK5"/>
      <c r="GJL5"/>
      <c r="GJM5"/>
      <c r="GJN5"/>
      <c r="GJO5"/>
      <c r="GJP5"/>
      <c r="GJQ5"/>
      <c r="GJR5"/>
      <c r="GJS5"/>
      <c r="GJT5"/>
      <c r="GJU5"/>
      <c r="GJV5"/>
      <c r="GJW5"/>
      <c r="GJX5"/>
      <c r="GJY5"/>
      <c r="GJZ5"/>
      <c r="GKA5"/>
      <c r="GKB5"/>
      <c r="GKC5"/>
      <c r="GKD5"/>
      <c r="GKE5"/>
      <c r="GKF5"/>
      <c r="GKG5"/>
      <c r="GKH5"/>
      <c r="GKI5"/>
      <c r="GKJ5"/>
      <c r="GKK5"/>
      <c r="GKL5"/>
      <c r="GKM5"/>
      <c r="GKN5"/>
      <c r="GKO5"/>
      <c r="GKP5"/>
      <c r="GKQ5"/>
      <c r="GKR5"/>
      <c r="GKS5"/>
      <c r="GKT5"/>
      <c r="GKU5"/>
      <c r="GKV5"/>
      <c r="GKW5"/>
      <c r="GKX5"/>
      <c r="GKY5"/>
      <c r="GKZ5"/>
      <c r="GLA5"/>
      <c r="GLB5"/>
      <c r="GLC5"/>
      <c r="GLD5"/>
      <c r="GLE5"/>
      <c r="GLF5"/>
      <c r="GLG5"/>
      <c r="GLH5"/>
      <c r="GLI5"/>
      <c r="GLJ5"/>
      <c r="GLK5"/>
      <c r="GLL5"/>
      <c r="GLM5"/>
      <c r="GLN5"/>
      <c r="GLO5"/>
      <c r="GLP5"/>
      <c r="GLQ5"/>
      <c r="GLR5"/>
      <c r="GLS5"/>
      <c r="GLT5"/>
      <c r="GLU5"/>
      <c r="GLV5"/>
      <c r="GLW5"/>
      <c r="GLX5"/>
      <c r="GLY5"/>
      <c r="GLZ5"/>
      <c r="GMA5"/>
      <c r="GMB5"/>
      <c r="GMC5"/>
      <c r="GMD5"/>
      <c r="GME5"/>
      <c r="GMF5"/>
      <c r="GMG5"/>
      <c r="GMH5"/>
      <c r="GMI5"/>
      <c r="GMJ5"/>
      <c r="GMK5"/>
      <c r="GML5"/>
      <c r="GMM5"/>
      <c r="GMN5"/>
      <c r="GMO5"/>
      <c r="GMP5"/>
      <c r="GMQ5"/>
      <c r="GMR5"/>
      <c r="GMS5"/>
      <c r="GMT5"/>
      <c r="GMU5"/>
      <c r="GMV5"/>
      <c r="GMW5"/>
      <c r="GMX5"/>
      <c r="GMY5"/>
      <c r="GMZ5"/>
      <c r="GNA5"/>
      <c r="GNB5"/>
      <c r="GNC5"/>
      <c r="GND5"/>
      <c r="GNE5"/>
      <c r="GNF5"/>
      <c r="GNG5"/>
      <c r="GNH5"/>
      <c r="GNI5"/>
      <c r="GNJ5"/>
      <c r="GNK5"/>
      <c r="GNL5"/>
      <c r="GNM5"/>
      <c r="GNN5"/>
      <c r="GNO5"/>
      <c r="GNP5"/>
      <c r="GNQ5"/>
      <c r="GNR5"/>
      <c r="GNS5"/>
      <c r="GNT5"/>
      <c r="GNU5"/>
      <c r="GNV5"/>
      <c r="GNW5"/>
      <c r="GNX5"/>
      <c r="GNY5"/>
      <c r="GNZ5"/>
      <c r="GOA5"/>
      <c r="GOB5"/>
      <c r="GOC5"/>
      <c r="GOD5"/>
      <c r="GOE5"/>
      <c r="GOF5"/>
      <c r="GOG5"/>
      <c r="GOH5"/>
      <c r="GOI5"/>
      <c r="GOJ5"/>
      <c r="GOK5"/>
      <c r="GOL5"/>
      <c r="GOM5"/>
      <c r="GON5"/>
      <c r="GOO5"/>
      <c r="GOP5"/>
      <c r="GOQ5"/>
      <c r="GOR5"/>
      <c r="GOS5"/>
      <c r="GOT5"/>
      <c r="GOU5"/>
      <c r="GOV5"/>
      <c r="GOW5"/>
      <c r="GOX5"/>
      <c r="GOY5"/>
      <c r="GOZ5"/>
      <c r="GPA5"/>
      <c r="GPB5"/>
      <c r="GPC5"/>
      <c r="GPD5"/>
      <c r="GPE5"/>
      <c r="GPF5"/>
      <c r="GPG5"/>
      <c r="GPH5"/>
      <c r="GPI5"/>
      <c r="GPJ5"/>
      <c r="GPK5"/>
      <c r="GPL5"/>
      <c r="GPM5"/>
      <c r="GPN5"/>
      <c r="GPO5"/>
      <c r="GPP5"/>
      <c r="GPQ5"/>
      <c r="GPR5"/>
      <c r="GPS5"/>
      <c r="GPT5"/>
      <c r="GPU5"/>
      <c r="GPV5"/>
      <c r="GPW5"/>
      <c r="GPX5"/>
      <c r="GPY5"/>
      <c r="GPZ5"/>
      <c r="GQA5"/>
      <c r="GQB5"/>
      <c r="GQC5"/>
      <c r="GQD5"/>
      <c r="GQE5"/>
      <c r="GQF5"/>
      <c r="GQG5"/>
      <c r="GQH5"/>
      <c r="GQI5"/>
      <c r="GQJ5"/>
      <c r="GQK5"/>
      <c r="GQL5"/>
      <c r="GQM5"/>
      <c r="GQN5"/>
      <c r="GQO5"/>
      <c r="GQP5"/>
      <c r="GQQ5"/>
      <c r="GQR5"/>
      <c r="GQS5"/>
      <c r="GQT5"/>
      <c r="GQU5"/>
      <c r="GQV5"/>
      <c r="GQW5"/>
      <c r="GQX5"/>
      <c r="GQY5"/>
      <c r="GQZ5"/>
      <c r="GRA5"/>
      <c r="GRB5"/>
      <c r="GRC5"/>
      <c r="GRD5"/>
      <c r="GRE5"/>
      <c r="GRF5"/>
      <c r="GRG5"/>
      <c r="GRH5"/>
      <c r="GRI5"/>
      <c r="GRJ5"/>
      <c r="GRK5"/>
      <c r="GRL5"/>
      <c r="GRM5"/>
      <c r="GRN5"/>
      <c r="GRO5"/>
      <c r="GRP5"/>
      <c r="GRQ5"/>
      <c r="GRR5"/>
      <c r="GRS5"/>
      <c r="GRT5"/>
      <c r="GRU5"/>
      <c r="GRV5"/>
      <c r="GRW5"/>
      <c r="GRX5"/>
      <c r="GRY5"/>
      <c r="GRZ5"/>
      <c r="GSA5"/>
      <c r="GSB5"/>
      <c r="GSC5"/>
      <c r="GSD5"/>
      <c r="GSE5"/>
      <c r="GSF5"/>
      <c r="GSG5"/>
      <c r="GSH5"/>
      <c r="GSI5"/>
      <c r="GSJ5"/>
      <c r="GSK5"/>
      <c r="GSL5"/>
      <c r="GSM5"/>
      <c r="GSN5"/>
      <c r="GSO5"/>
      <c r="GSP5"/>
      <c r="GSQ5"/>
      <c r="GSR5"/>
      <c r="GSS5"/>
      <c r="GST5"/>
      <c r="GSU5"/>
      <c r="GSV5"/>
      <c r="GSW5"/>
      <c r="GSX5"/>
      <c r="GSY5"/>
      <c r="GSZ5"/>
      <c r="GTA5"/>
      <c r="GTB5"/>
      <c r="GTC5"/>
      <c r="GTD5"/>
      <c r="GTE5"/>
      <c r="GTF5"/>
      <c r="GTG5"/>
      <c r="GTH5"/>
      <c r="GTI5"/>
      <c r="GTJ5"/>
      <c r="GTK5"/>
      <c r="GTL5"/>
      <c r="GTM5"/>
      <c r="GTN5"/>
      <c r="GTO5"/>
      <c r="GTP5"/>
      <c r="GTQ5"/>
      <c r="GTR5"/>
      <c r="GTS5"/>
      <c r="GTT5"/>
      <c r="GTU5"/>
      <c r="GTV5"/>
      <c r="GTW5"/>
      <c r="GTX5"/>
      <c r="GTY5"/>
      <c r="GTZ5"/>
      <c r="GUA5"/>
      <c r="GUB5"/>
      <c r="GUC5"/>
      <c r="GUD5"/>
      <c r="GUE5"/>
      <c r="GUF5"/>
      <c r="GUG5"/>
      <c r="GUH5"/>
      <c r="GUI5"/>
      <c r="GUJ5"/>
      <c r="GUK5"/>
      <c r="GUL5"/>
      <c r="GUM5"/>
      <c r="GUN5"/>
      <c r="GUO5"/>
      <c r="GUP5"/>
      <c r="GUQ5"/>
      <c r="GUR5"/>
      <c r="GUS5"/>
      <c r="GUT5"/>
      <c r="GUU5"/>
      <c r="GUV5"/>
      <c r="GUW5"/>
      <c r="GUX5"/>
      <c r="GUY5"/>
      <c r="GUZ5"/>
      <c r="GVA5"/>
      <c r="GVB5"/>
      <c r="GVC5"/>
      <c r="GVD5"/>
      <c r="GVE5"/>
      <c r="GVF5"/>
      <c r="GVG5"/>
      <c r="GVH5"/>
      <c r="GVI5"/>
      <c r="GVJ5"/>
      <c r="GVK5"/>
      <c r="GVL5"/>
      <c r="GVM5"/>
      <c r="GVN5"/>
      <c r="GVO5"/>
      <c r="GVP5"/>
      <c r="GVQ5"/>
      <c r="GVR5"/>
      <c r="GVS5"/>
      <c r="GVT5"/>
      <c r="GVU5"/>
      <c r="GVV5"/>
      <c r="GVW5"/>
      <c r="GVX5"/>
      <c r="GVY5"/>
      <c r="GVZ5"/>
      <c r="GWA5"/>
      <c r="GWB5"/>
      <c r="GWC5"/>
      <c r="GWD5"/>
      <c r="GWE5"/>
      <c r="GWF5"/>
      <c r="GWG5"/>
      <c r="GWH5"/>
      <c r="GWI5"/>
      <c r="GWJ5"/>
      <c r="GWK5"/>
      <c r="GWL5"/>
      <c r="GWM5"/>
      <c r="GWN5"/>
      <c r="GWO5"/>
      <c r="GWP5"/>
      <c r="GWQ5"/>
      <c r="GWR5"/>
      <c r="GWS5"/>
      <c r="GWT5"/>
      <c r="GWU5"/>
      <c r="GWV5"/>
      <c r="GWW5"/>
      <c r="GWX5"/>
      <c r="GWY5"/>
      <c r="GWZ5"/>
      <c r="GXA5"/>
      <c r="GXB5"/>
      <c r="GXC5"/>
      <c r="GXD5"/>
      <c r="GXE5"/>
      <c r="GXF5"/>
      <c r="GXG5"/>
      <c r="GXH5"/>
      <c r="GXI5"/>
      <c r="GXJ5"/>
      <c r="GXK5"/>
      <c r="GXL5"/>
      <c r="GXM5"/>
      <c r="GXN5"/>
      <c r="GXO5"/>
      <c r="GXP5"/>
      <c r="GXQ5"/>
      <c r="GXR5"/>
      <c r="GXS5"/>
      <c r="GXT5"/>
      <c r="GXU5"/>
      <c r="GXV5"/>
      <c r="GXW5"/>
      <c r="GXX5"/>
      <c r="GXY5"/>
      <c r="GXZ5"/>
      <c r="GYA5"/>
      <c r="GYB5"/>
      <c r="GYC5"/>
      <c r="GYD5"/>
      <c r="GYE5"/>
      <c r="GYF5"/>
      <c r="GYG5"/>
      <c r="GYH5"/>
      <c r="GYI5"/>
      <c r="GYJ5"/>
      <c r="GYK5"/>
      <c r="GYL5"/>
      <c r="GYM5"/>
      <c r="GYN5"/>
      <c r="GYO5"/>
      <c r="GYP5"/>
      <c r="GYQ5"/>
      <c r="GYR5"/>
      <c r="GYS5"/>
      <c r="GYT5"/>
      <c r="GYU5"/>
      <c r="GYV5"/>
      <c r="GYW5"/>
      <c r="GYX5"/>
      <c r="GYY5"/>
      <c r="GYZ5"/>
      <c r="GZA5"/>
      <c r="GZB5"/>
      <c r="GZC5"/>
      <c r="GZD5"/>
      <c r="GZE5"/>
      <c r="GZF5"/>
      <c r="GZG5"/>
      <c r="GZH5"/>
      <c r="GZI5"/>
      <c r="GZJ5"/>
      <c r="GZK5"/>
      <c r="GZL5"/>
      <c r="GZM5"/>
      <c r="GZN5"/>
      <c r="GZO5"/>
      <c r="GZP5"/>
      <c r="GZQ5"/>
      <c r="GZR5"/>
      <c r="GZS5"/>
      <c r="GZT5"/>
      <c r="GZU5"/>
      <c r="GZV5"/>
      <c r="GZW5"/>
      <c r="GZX5"/>
      <c r="GZY5"/>
      <c r="GZZ5"/>
      <c r="HAA5"/>
      <c r="HAB5"/>
      <c r="HAC5"/>
      <c r="HAD5"/>
      <c r="HAE5"/>
      <c r="HAF5"/>
      <c r="HAG5"/>
      <c r="HAH5"/>
      <c r="HAI5"/>
      <c r="HAJ5"/>
      <c r="HAK5"/>
      <c r="HAL5"/>
      <c r="HAM5"/>
      <c r="HAN5"/>
      <c r="HAO5"/>
      <c r="HAP5"/>
      <c r="HAQ5"/>
      <c r="HAR5"/>
      <c r="HAS5"/>
      <c r="HAT5"/>
      <c r="HAU5"/>
      <c r="HAV5"/>
      <c r="HAW5"/>
      <c r="HAX5"/>
      <c r="HAY5"/>
      <c r="HAZ5"/>
      <c r="HBA5"/>
      <c r="HBB5"/>
      <c r="HBC5"/>
      <c r="HBD5"/>
      <c r="HBE5"/>
      <c r="HBF5"/>
      <c r="HBG5"/>
      <c r="HBH5"/>
      <c r="HBI5"/>
      <c r="HBJ5"/>
      <c r="HBK5"/>
      <c r="HBL5"/>
      <c r="HBM5"/>
      <c r="HBN5"/>
      <c r="HBO5"/>
      <c r="HBP5"/>
      <c r="HBQ5"/>
      <c r="HBR5"/>
      <c r="HBS5"/>
      <c r="HBT5"/>
      <c r="HBU5"/>
      <c r="HBV5"/>
      <c r="HBW5"/>
      <c r="HBX5"/>
      <c r="HBY5"/>
      <c r="HBZ5"/>
      <c r="HCA5"/>
      <c r="HCB5"/>
      <c r="HCC5"/>
      <c r="HCD5"/>
      <c r="HCE5"/>
      <c r="HCF5"/>
      <c r="HCG5"/>
      <c r="HCH5"/>
      <c r="HCI5"/>
      <c r="HCJ5"/>
      <c r="HCK5"/>
      <c r="HCL5"/>
      <c r="HCM5"/>
      <c r="HCN5"/>
      <c r="HCO5"/>
      <c r="HCP5"/>
      <c r="HCQ5"/>
      <c r="HCR5"/>
      <c r="HCS5"/>
      <c r="HCT5"/>
      <c r="HCU5"/>
      <c r="HCV5"/>
      <c r="HCW5"/>
      <c r="HCX5"/>
      <c r="HCY5"/>
      <c r="HCZ5"/>
      <c r="HDA5"/>
      <c r="HDB5"/>
      <c r="HDC5"/>
      <c r="HDD5"/>
      <c r="HDE5"/>
      <c r="HDF5"/>
      <c r="HDG5"/>
      <c r="HDH5"/>
      <c r="HDI5"/>
      <c r="HDJ5"/>
      <c r="HDK5"/>
      <c r="HDL5"/>
      <c r="HDM5"/>
      <c r="HDN5"/>
      <c r="HDO5"/>
      <c r="HDP5"/>
      <c r="HDQ5"/>
      <c r="HDR5"/>
      <c r="HDS5"/>
      <c r="HDT5"/>
      <c r="HDU5"/>
      <c r="HDV5"/>
      <c r="HDW5"/>
      <c r="HDX5"/>
      <c r="HDY5"/>
      <c r="HDZ5"/>
      <c r="HEA5"/>
      <c r="HEB5"/>
      <c r="HEC5"/>
      <c r="HED5"/>
      <c r="HEE5"/>
      <c r="HEF5"/>
      <c r="HEG5"/>
      <c r="HEH5"/>
      <c r="HEI5"/>
      <c r="HEJ5"/>
      <c r="HEK5"/>
      <c r="HEL5"/>
      <c r="HEM5"/>
      <c r="HEN5"/>
      <c r="HEO5"/>
      <c r="HEP5"/>
      <c r="HEQ5"/>
      <c r="HER5"/>
      <c r="HES5"/>
      <c r="HET5"/>
      <c r="HEU5"/>
      <c r="HEV5"/>
      <c r="HEW5"/>
      <c r="HEX5"/>
      <c r="HEY5"/>
      <c r="HEZ5"/>
      <c r="HFA5"/>
      <c r="HFB5"/>
      <c r="HFC5"/>
      <c r="HFD5"/>
      <c r="HFE5"/>
      <c r="HFF5"/>
      <c r="HFG5"/>
      <c r="HFH5"/>
      <c r="HFI5"/>
      <c r="HFJ5"/>
      <c r="HFK5"/>
      <c r="HFL5"/>
      <c r="HFM5"/>
      <c r="HFN5"/>
      <c r="HFO5"/>
      <c r="HFP5"/>
      <c r="HFQ5"/>
      <c r="HFR5"/>
      <c r="HFS5"/>
      <c r="HFT5"/>
      <c r="HFU5"/>
      <c r="HFV5"/>
      <c r="HFW5"/>
      <c r="HFX5"/>
      <c r="HFY5"/>
      <c r="HFZ5"/>
      <c r="HGA5"/>
      <c r="HGB5"/>
      <c r="HGC5"/>
      <c r="HGD5"/>
      <c r="HGE5"/>
      <c r="HGF5"/>
      <c r="HGG5"/>
      <c r="HGH5"/>
      <c r="HGI5"/>
      <c r="HGJ5"/>
      <c r="HGK5"/>
      <c r="HGL5"/>
      <c r="HGM5"/>
      <c r="HGN5"/>
      <c r="HGO5"/>
      <c r="HGP5"/>
      <c r="HGQ5"/>
      <c r="HGR5"/>
      <c r="HGS5"/>
      <c r="HGT5"/>
      <c r="HGU5"/>
      <c r="HGV5"/>
      <c r="HGW5"/>
      <c r="HGX5"/>
      <c r="HGY5"/>
      <c r="HGZ5"/>
      <c r="HHA5"/>
      <c r="HHB5"/>
      <c r="HHC5"/>
      <c r="HHD5"/>
      <c r="HHE5"/>
      <c r="HHF5"/>
      <c r="HHG5"/>
      <c r="HHH5"/>
      <c r="HHI5"/>
      <c r="HHJ5"/>
      <c r="HHK5"/>
      <c r="HHL5"/>
      <c r="HHM5"/>
      <c r="HHN5"/>
      <c r="HHO5"/>
      <c r="HHP5"/>
      <c r="HHQ5"/>
      <c r="HHR5"/>
      <c r="HHS5"/>
      <c r="HHT5"/>
      <c r="HHU5"/>
      <c r="HHV5"/>
      <c r="HHW5"/>
      <c r="HHX5"/>
      <c r="HHY5"/>
      <c r="HHZ5"/>
      <c r="HIA5"/>
      <c r="HIB5"/>
      <c r="HIC5"/>
      <c r="HID5"/>
      <c r="HIE5"/>
      <c r="HIF5"/>
      <c r="HIG5"/>
      <c r="HIH5"/>
      <c r="HII5"/>
      <c r="HIJ5"/>
      <c r="HIK5"/>
      <c r="HIL5"/>
      <c r="HIM5"/>
      <c r="HIN5"/>
      <c r="HIO5"/>
      <c r="HIP5"/>
      <c r="HIQ5"/>
      <c r="HIR5"/>
      <c r="HIS5"/>
      <c r="HIT5"/>
      <c r="HIU5"/>
      <c r="HIV5"/>
      <c r="HIW5"/>
      <c r="HIX5"/>
      <c r="HIY5"/>
      <c r="HIZ5"/>
      <c r="HJA5"/>
      <c r="HJB5"/>
      <c r="HJC5"/>
      <c r="HJD5"/>
      <c r="HJE5"/>
      <c r="HJF5"/>
      <c r="HJG5"/>
      <c r="HJH5"/>
      <c r="HJI5"/>
      <c r="HJJ5"/>
      <c r="HJK5"/>
      <c r="HJL5"/>
      <c r="HJM5"/>
      <c r="HJN5"/>
      <c r="HJO5"/>
      <c r="HJP5"/>
      <c r="HJQ5"/>
      <c r="HJR5"/>
      <c r="HJS5"/>
      <c r="HJT5"/>
      <c r="HJU5"/>
      <c r="HJV5"/>
      <c r="HJW5"/>
      <c r="HJX5"/>
      <c r="HJY5"/>
      <c r="HJZ5"/>
      <c r="HKA5"/>
      <c r="HKB5"/>
      <c r="HKC5"/>
      <c r="HKD5"/>
      <c r="HKE5"/>
      <c r="HKF5"/>
      <c r="HKG5"/>
      <c r="HKH5"/>
      <c r="HKI5"/>
      <c r="HKJ5"/>
      <c r="HKK5"/>
      <c r="HKL5"/>
      <c r="HKM5"/>
      <c r="HKN5"/>
      <c r="HKO5"/>
      <c r="HKP5"/>
      <c r="HKQ5"/>
      <c r="HKR5"/>
      <c r="HKS5"/>
      <c r="HKT5"/>
      <c r="HKU5"/>
      <c r="HKV5"/>
      <c r="HKW5"/>
      <c r="HKX5"/>
      <c r="HKY5"/>
      <c r="HKZ5"/>
      <c r="HLA5"/>
      <c r="HLB5"/>
      <c r="HLC5"/>
      <c r="HLD5"/>
      <c r="HLE5"/>
      <c r="HLF5"/>
      <c r="HLG5"/>
      <c r="HLH5"/>
      <c r="HLI5"/>
      <c r="HLJ5"/>
      <c r="HLK5"/>
      <c r="HLL5"/>
      <c r="HLM5"/>
      <c r="HLN5"/>
      <c r="HLO5"/>
      <c r="HLP5"/>
      <c r="HLQ5"/>
      <c r="HLR5"/>
      <c r="HLS5"/>
      <c r="HLT5"/>
      <c r="HLU5"/>
      <c r="HLV5"/>
      <c r="HLW5"/>
      <c r="HLX5"/>
      <c r="HLY5"/>
      <c r="HLZ5"/>
      <c r="HMA5"/>
      <c r="HMB5"/>
      <c r="HMC5"/>
      <c r="HMD5"/>
      <c r="HME5"/>
      <c r="HMF5"/>
      <c r="HMG5"/>
      <c r="HMH5"/>
      <c r="HMI5"/>
      <c r="HMJ5"/>
      <c r="HMK5"/>
      <c r="HML5"/>
      <c r="HMM5"/>
      <c r="HMN5"/>
      <c r="HMO5"/>
      <c r="HMP5"/>
      <c r="HMQ5"/>
      <c r="HMR5"/>
      <c r="HMS5"/>
      <c r="HMT5"/>
      <c r="HMU5"/>
      <c r="HMV5"/>
      <c r="HMW5"/>
      <c r="HMX5"/>
      <c r="HMY5"/>
      <c r="HMZ5"/>
      <c r="HNA5"/>
      <c r="HNB5"/>
      <c r="HNC5"/>
      <c r="HND5"/>
      <c r="HNE5"/>
      <c r="HNF5"/>
      <c r="HNG5"/>
      <c r="HNH5"/>
      <c r="HNI5"/>
      <c r="HNJ5"/>
      <c r="HNK5"/>
      <c r="HNL5"/>
      <c r="HNM5"/>
      <c r="HNN5"/>
      <c r="HNO5"/>
      <c r="HNP5"/>
      <c r="HNQ5"/>
      <c r="HNR5"/>
      <c r="HNS5"/>
      <c r="HNT5"/>
      <c r="HNU5"/>
      <c r="HNV5"/>
      <c r="HNW5"/>
      <c r="HNX5"/>
      <c r="HNY5"/>
      <c r="HNZ5"/>
      <c r="HOA5"/>
      <c r="HOB5"/>
      <c r="HOC5"/>
      <c r="HOD5"/>
      <c r="HOE5"/>
      <c r="HOF5"/>
      <c r="HOG5"/>
      <c r="HOH5"/>
      <c r="HOI5"/>
      <c r="HOJ5"/>
      <c r="HOK5"/>
      <c r="HOL5"/>
      <c r="HOM5"/>
      <c r="HON5"/>
      <c r="HOO5"/>
      <c r="HOP5"/>
      <c r="HOQ5"/>
      <c r="HOR5"/>
      <c r="HOS5"/>
      <c r="HOT5"/>
      <c r="HOU5"/>
      <c r="HOV5"/>
      <c r="HOW5"/>
      <c r="HOX5"/>
      <c r="HOY5"/>
      <c r="HOZ5"/>
      <c r="HPA5"/>
      <c r="HPB5"/>
      <c r="HPC5"/>
      <c r="HPD5"/>
      <c r="HPE5"/>
      <c r="HPF5"/>
      <c r="HPG5"/>
      <c r="HPH5"/>
      <c r="HPI5"/>
      <c r="HPJ5"/>
      <c r="HPK5"/>
      <c r="HPL5"/>
      <c r="HPM5"/>
      <c r="HPN5"/>
      <c r="HPO5"/>
      <c r="HPP5"/>
      <c r="HPQ5"/>
      <c r="HPR5"/>
      <c r="HPS5"/>
      <c r="HPT5"/>
      <c r="HPU5"/>
      <c r="HPV5"/>
      <c r="HPW5"/>
      <c r="HPX5"/>
      <c r="HPY5"/>
      <c r="HPZ5"/>
      <c r="HQA5"/>
      <c r="HQB5"/>
      <c r="HQC5"/>
      <c r="HQD5"/>
      <c r="HQE5"/>
      <c r="HQF5"/>
      <c r="HQG5"/>
      <c r="HQH5"/>
      <c r="HQI5"/>
      <c r="HQJ5"/>
      <c r="HQK5"/>
      <c r="HQL5"/>
      <c r="HQM5"/>
      <c r="HQN5"/>
      <c r="HQO5"/>
      <c r="HQP5"/>
      <c r="HQQ5"/>
      <c r="HQR5"/>
      <c r="HQS5"/>
      <c r="HQT5"/>
      <c r="HQU5"/>
      <c r="HQV5"/>
      <c r="HQW5"/>
      <c r="HQX5"/>
      <c r="HQY5"/>
      <c r="HQZ5"/>
      <c r="HRA5"/>
      <c r="HRB5"/>
      <c r="HRC5"/>
      <c r="HRD5"/>
      <c r="HRE5"/>
      <c r="HRF5"/>
      <c r="HRG5"/>
      <c r="HRH5"/>
      <c r="HRI5"/>
      <c r="HRJ5"/>
      <c r="HRK5"/>
      <c r="HRL5"/>
      <c r="HRM5"/>
      <c r="HRN5"/>
      <c r="HRO5"/>
      <c r="HRP5"/>
      <c r="HRQ5"/>
      <c r="HRR5"/>
      <c r="HRS5"/>
      <c r="HRT5"/>
      <c r="HRU5"/>
      <c r="HRV5"/>
      <c r="HRW5"/>
      <c r="HRX5"/>
      <c r="HRY5"/>
      <c r="HRZ5"/>
      <c r="HSA5"/>
      <c r="HSB5"/>
      <c r="HSC5"/>
      <c r="HSD5"/>
      <c r="HSE5"/>
      <c r="HSF5"/>
      <c r="HSG5"/>
      <c r="HSH5"/>
      <c r="HSI5"/>
      <c r="HSJ5"/>
      <c r="HSK5"/>
      <c r="HSL5"/>
      <c r="HSM5"/>
      <c r="HSN5"/>
      <c r="HSO5"/>
      <c r="HSP5"/>
      <c r="HSQ5"/>
      <c r="HSR5"/>
      <c r="HSS5"/>
      <c r="HST5"/>
      <c r="HSU5"/>
      <c r="HSV5"/>
      <c r="HSW5"/>
      <c r="HSX5"/>
      <c r="HSY5"/>
      <c r="HSZ5"/>
      <c r="HTA5"/>
      <c r="HTB5"/>
      <c r="HTC5"/>
      <c r="HTD5"/>
      <c r="HTE5"/>
      <c r="HTF5"/>
      <c r="HTG5"/>
      <c r="HTH5"/>
      <c r="HTI5"/>
      <c r="HTJ5"/>
      <c r="HTK5"/>
      <c r="HTL5"/>
      <c r="HTM5"/>
      <c r="HTN5"/>
      <c r="HTO5"/>
      <c r="HTP5"/>
      <c r="HTQ5"/>
      <c r="HTR5"/>
      <c r="HTS5"/>
      <c r="HTT5"/>
      <c r="HTU5"/>
      <c r="HTV5"/>
      <c r="HTW5"/>
      <c r="HTX5"/>
      <c r="HTY5"/>
      <c r="HTZ5"/>
      <c r="HUA5"/>
      <c r="HUB5"/>
      <c r="HUC5"/>
      <c r="HUD5"/>
      <c r="HUE5"/>
      <c r="HUF5"/>
      <c r="HUG5"/>
      <c r="HUH5"/>
      <c r="HUI5"/>
      <c r="HUJ5"/>
      <c r="HUK5"/>
      <c r="HUL5"/>
      <c r="HUM5"/>
      <c r="HUN5"/>
      <c r="HUO5"/>
      <c r="HUP5"/>
      <c r="HUQ5"/>
      <c r="HUR5"/>
      <c r="HUS5"/>
      <c r="HUT5"/>
      <c r="HUU5"/>
      <c r="HUV5"/>
      <c r="HUW5"/>
      <c r="HUX5"/>
      <c r="HUY5"/>
      <c r="HUZ5"/>
      <c r="HVA5"/>
      <c r="HVB5"/>
      <c r="HVC5"/>
      <c r="HVD5"/>
      <c r="HVE5"/>
      <c r="HVF5"/>
      <c r="HVG5"/>
      <c r="HVH5"/>
      <c r="HVI5"/>
      <c r="HVJ5"/>
      <c r="HVK5"/>
      <c r="HVL5"/>
      <c r="HVM5"/>
      <c r="HVN5"/>
      <c r="HVO5"/>
      <c r="HVP5"/>
      <c r="HVQ5"/>
      <c r="HVR5"/>
      <c r="HVS5"/>
      <c r="HVT5"/>
      <c r="HVU5"/>
      <c r="HVV5"/>
      <c r="HVW5"/>
      <c r="HVX5"/>
      <c r="HVY5"/>
      <c r="HVZ5"/>
      <c r="HWA5"/>
      <c r="HWB5"/>
      <c r="HWC5"/>
      <c r="HWD5"/>
      <c r="HWE5"/>
      <c r="HWF5"/>
      <c r="HWG5"/>
      <c r="HWH5"/>
      <c r="HWI5"/>
      <c r="HWJ5"/>
      <c r="HWK5"/>
      <c r="HWL5"/>
      <c r="HWM5"/>
      <c r="HWN5"/>
      <c r="HWO5"/>
      <c r="HWP5"/>
      <c r="HWQ5"/>
      <c r="HWR5"/>
      <c r="HWS5"/>
      <c r="HWT5"/>
      <c r="HWU5"/>
      <c r="HWV5"/>
      <c r="HWW5"/>
      <c r="HWX5"/>
      <c r="HWY5"/>
      <c r="HWZ5"/>
      <c r="HXA5"/>
      <c r="HXB5"/>
      <c r="HXC5"/>
      <c r="HXD5"/>
      <c r="HXE5"/>
      <c r="HXF5"/>
      <c r="HXG5"/>
      <c r="HXH5"/>
      <c r="HXI5"/>
      <c r="HXJ5"/>
      <c r="HXK5"/>
      <c r="HXL5"/>
      <c r="HXM5"/>
      <c r="HXN5"/>
      <c r="HXO5"/>
      <c r="HXP5"/>
      <c r="HXQ5"/>
      <c r="HXR5"/>
      <c r="HXS5"/>
      <c r="HXT5"/>
      <c r="HXU5"/>
      <c r="HXV5"/>
      <c r="HXW5"/>
      <c r="HXX5"/>
      <c r="HXY5"/>
      <c r="HXZ5"/>
      <c r="HYA5"/>
      <c r="HYB5"/>
      <c r="HYC5"/>
      <c r="HYD5"/>
      <c r="HYE5"/>
      <c r="HYF5"/>
      <c r="HYG5"/>
      <c r="HYH5"/>
      <c r="HYI5"/>
      <c r="HYJ5"/>
      <c r="HYK5"/>
      <c r="HYL5"/>
      <c r="HYM5"/>
      <c r="HYN5"/>
      <c r="HYO5"/>
      <c r="HYP5"/>
      <c r="HYQ5"/>
      <c r="HYR5"/>
      <c r="HYS5"/>
      <c r="HYT5"/>
      <c r="HYU5"/>
      <c r="HYV5"/>
      <c r="HYW5"/>
      <c r="HYX5"/>
      <c r="HYY5"/>
      <c r="HYZ5"/>
      <c r="HZA5"/>
      <c r="HZB5"/>
      <c r="HZC5"/>
      <c r="HZD5"/>
      <c r="HZE5"/>
      <c r="HZF5"/>
      <c r="HZG5"/>
      <c r="HZH5"/>
      <c r="HZI5"/>
      <c r="HZJ5"/>
      <c r="HZK5"/>
      <c r="HZL5"/>
      <c r="HZM5"/>
      <c r="HZN5"/>
      <c r="HZO5"/>
      <c r="HZP5"/>
      <c r="HZQ5"/>
      <c r="HZR5"/>
      <c r="HZS5"/>
      <c r="HZT5"/>
      <c r="HZU5"/>
      <c r="HZV5"/>
      <c r="HZW5"/>
      <c r="HZX5"/>
      <c r="HZY5"/>
      <c r="HZZ5"/>
      <c r="IAA5"/>
      <c r="IAB5"/>
      <c r="IAC5"/>
      <c r="IAD5"/>
      <c r="IAE5"/>
      <c r="IAF5"/>
      <c r="IAG5"/>
      <c r="IAH5"/>
      <c r="IAI5"/>
      <c r="IAJ5"/>
      <c r="IAK5"/>
      <c r="IAL5"/>
      <c r="IAM5"/>
      <c r="IAN5"/>
      <c r="IAO5"/>
      <c r="IAP5"/>
      <c r="IAQ5"/>
      <c r="IAR5"/>
      <c r="IAS5"/>
      <c r="IAT5"/>
      <c r="IAU5"/>
      <c r="IAV5"/>
      <c r="IAW5"/>
      <c r="IAX5"/>
      <c r="IAY5"/>
      <c r="IAZ5"/>
      <c r="IBA5"/>
      <c r="IBB5"/>
      <c r="IBC5"/>
      <c r="IBD5"/>
      <c r="IBE5"/>
      <c r="IBF5"/>
      <c r="IBG5"/>
      <c r="IBH5"/>
      <c r="IBI5"/>
      <c r="IBJ5"/>
      <c r="IBK5"/>
      <c r="IBL5"/>
      <c r="IBM5"/>
      <c r="IBN5"/>
      <c r="IBO5"/>
      <c r="IBP5"/>
      <c r="IBQ5"/>
      <c r="IBR5"/>
      <c r="IBS5"/>
      <c r="IBT5"/>
      <c r="IBU5"/>
      <c r="IBV5"/>
      <c r="IBW5"/>
      <c r="IBX5"/>
      <c r="IBY5"/>
      <c r="IBZ5"/>
      <c r="ICA5"/>
      <c r="ICB5"/>
      <c r="ICC5"/>
      <c r="ICD5"/>
      <c r="ICE5"/>
      <c r="ICF5"/>
      <c r="ICG5"/>
      <c r="ICH5"/>
      <c r="ICI5"/>
      <c r="ICJ5"/>
      <c r="ICK5"/>
      <c r="ICL5"/>
      <c r="ICM5"/>
      <c r="ICN5"/>
      <c r="ICO5"/>
      <c r="ICP5"/>
      <c r="ICQ5"/>
      <c r="ICR5"/>
      <c r="ICS5"/>
      <c r="ICT5"/>
      <c r="ICU5"/>
      <c r="ICV5"/>
      <c r="ICW5"/>
      <c r="ICX5"/>
      <c r="ICY5"/>
      <c r="ICZ5"/>
      <c r="IDA5"/>
      <c r="IDB5"/>
      <c r="IDC5"/>
      <c r="IDD5"/>
      <c r="IDE5"/>
      <c r="IDF5"/>
      <c r="IDG5"/>
      <c r="IDH5"/>
      <c r="IDI5"/>
      <c r="IDJ5"/>
      <c r="IDK5"/>
      <c r="IDL5"/>
      <c r="IDM5"/>
      <c r="IDN5"/>
      <c r="IDO5"/>
      <c r="IDP5"/>
      <c r="IDQ5"/>
      <c r="IDR5"/>
      <c r="IDS5"/>
      <c r="IDT5"/>
      <c r="IDU5"/>
      <c r="IDV5"/>
      <c r="IDW5"/>
      <c r="IDX5"/>
      <c r="IDY5"/>
      <c r="IDZ5"/>
      <c r="IEA5"/>
      <c r="IEB5"/>
      <c r="IEC5"/>
      <c r="IED5"/>
      <c r="IEE5"/>
      <c r="IEF5"/>
      <c r="IEG5"/>
      <c r="IEH5"/>
      <c r="IEI5"/>
      <c r="IEJ5"/>
      <c r="IEK5"/>
      <c r="IEL5"/>
      <c r="IEM5"/>
      <c r="IEN5"/>
      <c r="IEO5"/>
      <c r="IEP5"/>
      <c r="IEQ5"/>
      <c r="IER5"/>
      <c r="IES5"/>
      <c r="IET5"/>
      <c r="IEU5"/>
      <c r="IEV5"/>
      <c r="IEW5"/>
      <c r="IEX5"/>
      <c r="IEY5"/>
      <c r="IEZ5"/>
      <c r="IFA5"/>
      <c r="IFB5"/>
      <c r="IFC5"/>
      <c r="IFD5"/>
      <c r="IFE5"/>
      <c r="IFF5"/>
      <c r="IFG5"/>
      <c r="IFH5"/>
      <c r="IFI5"/>
      <c r="IFJ5"/>
      <c r="IFK5"/>
      <c r="IFL5"/>
      <c r="IFM5"/>
      <c r="IFN5"/>
      <c r="IFO5"/>
      <c r="IFP5"/>
      <c r="IFQ5"/>
      <c r="IFR5"/>
      <c r="IFS5"/>
      <c r="IFT5"/>
      <c r="IFU5"/>
      <c r="IFV5"/>
      <c r="IFW5"/>
      <c r="IFX5"/>
      <c r="IFY5"/>
      <c r="IFZ5"/>
      <c r="IGA5"/>
      <c r="IGB5"/>
      <c r="IGC5"/>
      <c r="IGD5"/>
      <c r="IGE5"/>
      <c r="IGF5"/>
      <c r="IGG5"/>
      <c r="IGH5"/>
      <c r="IGI5"/>
      <c r="IGJ5"/>
      <c r="IGK5"/>
      <c r="IGL5"/>
      <c r="IGM5"/>
      <c r="IGN5"/>
      <c r="IGO5"/>
      <c r="IGP5"/>
      <c r="IGQ5"/>
      <c r="IGR5"/>
      <c r="IGS5"/>
      <c r="IGT5"/>
      <c r="IGU5"/>
      <c r="IGV5"/>
      <c r="IGW5"/>
      <c r="IGX5"/>
      <c r="IGY5"/>
      <c r="IGZ5"/>
      <c r="IHA5"/>
      <c r="IHB5"/>
      <c r="IHC5"/>
      <c r="IHD5"/>
      <c r="IHE5"/>
      <c r="IHF5"/>
      <c r="IHG5"/>
      <c r="IHH5"/>
      <c r="IHI5"/>
      <c r="IHJ5"/>
      <c r="IHK5"/>
      <c r="IHL5"/>
      <c r="IHM5"/>
      <c r="IHN5"/>
      <c r="IHO5"/>
      <c r="IHP5"/>
      <c r="IHQ5"/>
      <c r="IHR5"/>
      <c r="IHS5"/>
      <c r="IHT5"/>
      <c r="IHU5"/>
      <c r="IHV5"/>
      <c r="IHW5"/>
      <c r="IHX5"/>
      <c r="IHY5"/>
      <c r="IHZ5"/>
      <c r="IIA5"/>
      <c r="IIB5"/>
      <c r="IIC5"/>
      <c r="IID5"/>
      <c r="IIE5"/>
      <c r="IIF5"/>
      <c r="IIG5"/>
      <c r="IIH5"/>
      <c r="III5"/>
      <c r="IIJ5"/>
      <c r="IIK5"/>
      <c r="IIL5"/>
      <c r="IIM5"/>
      <c r="IIN5"/>
      <c r="IIO5"/>
      <c r="IIP5"/>
      <c r="IIQ5"/>
      <c r="IIR5"/>
      <c r="IIS5"/>
      <c r="IIT5"/>
      <c r="IIU5"/>
      <c r="IIV5"/>
      <c r="IIW5"/>
      <c r="IIX5"/>
      <c r="IIY5"/>
      <c r="IIZ5"/>
      <c r="IJA5"/>
      <c r="IJB5"/>
      <c r="IJC5"/>
      <c r="IJD5"/>
      <c r="IJE5"/>
      <c r="IJF5"/>
      <c r="IJG5"/>
      <c r="IJH5"/>
      <c r="IJI5"/>
      <c r="IJJ5"/>
      <c r="IJK5"/>
      <c r="IJL5"/>
      <c r="IJM5"/>
      <c r="IJN5"/>
      <c r="IJO5"/>
      <c r="IJP5"/>
      <c r="IJQ5"/>
      <c r="IJR5"/>
      <c r="IJS5"/>
      <c r="IJT5"/>
      <c r="IJU5"/>
      <c r="IJV5"/>
      <c r="IJW5"/>
      <c r="IJX5"/>
      <c r="IJY5"/>
      <c r="IJZ5"/>
      <c r="IKA5"/>
      <c r="IKB5"/>
      <c r="IKC5"/>
      <c r="IKD5"/>
      <c r="IKE5"/>
      <c r="IKF5"/>
      <c r="IKG5"/>
      <c r="IKH5"/>
      <c r="IKI5"/>
      <c r="IKJ5"/>
      <c r="IKK5"/>
      <c r="IKL5"/>
      <c r="IKM5"/>
      <c r="IKN5"/>
      <c r="IKO5"/>
      <c r="IKP5"/>
      <c r="IKQ5"/>
      <c r="IKR5"/>
      <c r="IKS5"/>
      <c r="IKT5"/>
      <c r="IKU5"/>
      <c r="IKV5"/>
      <c r="IKW5"/>
      <c r="IKX5"/>
      <c r="IKY5"/>
      <c r="IKZ5"/>
      <c r="ILA5"/>
      <c r="ILB5"/>
      <c r="ILC5"/>
      <c r="ILD5"/>
      <c r="ILE5"/>
      <c r="ILF5"/>
      <c r="ILG5"/>
      <c r="ILH5"/>
      <c r="ILI5"/>
      <c r="ILJ5"/>
      <c r="ILK5"/>
      <c r="ILL5"/>
      <c r="ILM5"/>
      <c r="ILN5"/>
      <c r="ILO5"/>
      <c r="ILP5"/>
      <c r="ILQ5"/>
      <c r="ILR5"/>
      <c r="ILS5"/>
      <c r="ILT5"/>
      <c r="ILU5"/>
      <c r="ILV5"/>
      <c r="ILW5"/>
      <c r="ILX5"/>
      <c r="ILY5"/>
      <c r="ILZ5"/>
      <c r="IMA5"/>
      <c r="IMB5"/>
      <c r="IMC5"/>
      <c r="IMD5"/>
      <c r="IME5"/>
      <c r="IMF5"/>
      <c r="IMG5"/>
      <c r="IMH5"/>
      <c r="IMI5"/>
      <c r="IMJ5"/>
      <c r="IMK5"/>
      <c r="IML5"/>
      <c r="IMM5"/>
      <c r="IMN5"/>
      <c r="IMO5"/>
      <c r="IMP5"/>
      <c r="IMQ5"/>
      <c r="IMR5"/>
      <c r="IMS5"/>
      <c r="IMT5"/>
      <c r="IMU5"/>
      <c r="IMV5"/>
      <c r="IMW5"/>
      <c r="IMX5"/>
      <c r="IMY5"/>
      <c r="IMZ5"/>
      <c r="INA5"/>
      <c r="INB5"/>
      <c r="INC5"/>
      <c r="IND5"/>
      <c r="INE5"/>
      <c r="INF5"/>
      <c r="ING5"/>
      <c r="INH5"/>
      <c r="INI5"/>
      <c r="INJ5"/>
      <c r="INK5"/>
      <c r="INL5"/>
      <c r="INM5"/>
      <c r="INN5"/>
      <c r="INO5"/>
      <c r="INP5"/>
      <c r="INQ5"/>
      <c r="INR5"/>
      <c r="INS5"/>
      <c r="INT5"/>
      <c r="INU5"/>
      <c r="INV5"/>
      <c r="INW5"/>
      <c r="INX5"/>
      <c r="INY5"/>
      <c r="INZ5"/>
      <c r="IOA5"/>
      <c r="IOB5"/>
      <c r="IOC5"/>
      <c r="IOD5"/>
      <c r="IOE5"/>
      <c r="IOF5"/>
      <c r="IOG5"/>
      <c r="IOH5"/>
      <c r="IOI5"/>
      <c r="IOJ5"/>
      <c r="IOK5"/>
      <c r="IOL5"/>
      <c r="IOM5"/>
      <c r="ION5"/>
      <c r="IOO5"/>
      <c r="IOP5"/>
      <c r="IOQ5"/>
      <c r="IOR5"/>
      <c r="IOS5"/>
      <c r="IOT5"/>
      <c r="IOU5"/>
      <c r="IOV5"/>
      <c r="IOW5"/>
      <c r="IOX5"/>
      <c r="IOY5"/>
      <c r="IOZ5"/>
      <c r="IPA5"/>
      <c r="IPB5"/>
      <c r="IPC5"/>
      <c r="IPD5"/>
      <c r="IPE5"/>
      <c r="IPF5"/>
      <c r="IPG5"/>
      <c r="IPH5"/>
      <c r="IPI5"/>
      <c r="IPJ5"/>
      <c r="IPK5"/>
      <c r="IPL5"/>
      <c r="IPM5"/>
      <c r="IPN5"/>
      <c r="IPO5"/>
      <c r="IPP5"/>
      <c r="IPQ5"/>
      <c r="IPR5"/>
      <c r="IPS5"/>
      <c r="IPT5"/>
      <c r="IPU5"/>
      <c r="IPV5"/>
      <c r="IPW5"/>
      <c r="IPX5"/>
      <c r="IPY5"/>
      <c r="IPZ5"/>
      <c r="IQA5"/>
      <c r="IQB5"/>
      <c r="IQC5"/>
      <c r="IQD5"/>
      <c r="IQE5"/>
      <c r="IQF5"/>
      <c r="IQG5"/>
      <c r="IQH5"/>
      <c r="IQI5"/>
      <c r="IQJ5"/>
      <c r="IQK5"/>
      <c r="IQL5"/>
      <c r="IQM5"/>
      <c r="IQN5"/>
      <c r="IQO5"/>
      <c r="IQP5"/>
      <c r="IQQ5"/>
      <c r="IQR5"/>
      <c r="IQS5"/>
      <c r="IQT5"/>
      <c r="IQU5"/>
      <c r="IQV5"/>
      <c r="IQW5"/>
      <c r="IQX5"/>
      <c r="IQY5"/>
      <c r="IQZ5"/>
      <c r="IRA5"/>
      <c r="IRB5"/>
      <c r="IRC5"/>
      <c r="IRD5"/>
      <c r="IRE5"/>
      <c r="IRF5"/>
      <c r="IRG5"/>
      <c r="IRH5"/>
      <c r="IRI5"/>
      <c r="IRJ5"/>
      <c r="IRK5"/>
      <c r="IRL5"/>
      <c r="IRM5"/>
      <c r="IRN5"/>
      <c r="IRO5"/>
      <c r="IRP5"/>
      <c r="IRQ5"/>
      <c r="IRR5"/>
      <c r="IRS5"/>
      <c r="IRT5"/>
      <c r="IRU5"/>
      <c r="IRV5"/>
      <c r="IRW5"/>
      <c r="IRX5"/>
      <c r="IRY5"/>
      <c r="IRZ5"/>
      <c r="ISA5"/>
      <c r="ISB5"/>
      <c r="ISC5"/>
      <c r="ISD5"/>
      <c r="ISE5"/>
      <c r="ISF5"/>
      <c r="ISG5"/>
      <c r="ISH5"/>
      <c r="ISI5"/>
      <c r="ISJ5"/>
      <c r="ISK5"/>
      <c r="ISL5"/>
      <c r="ISM5"/>
      <c r="ISN5"/>
      <c r="ISO5"/>
      <c r="ISP5"/>
      <c r="ISQ5"/>
      <c r="ISR5"/>
      <c r="ISS5"/>
      <c r="IST5"/>
      <c r="ISU5"/>
      <c r="ISV5"/>
      <c r="ISW5"/>
      <c r="ISX5"/>
      <c r="ISY5"/>
      <c r="ISZ5"/>
      <c r="ITA5"/>
      <c r="ITB5"/>
      <c r="ITC5"/>
      <c r="ITD5"/>
      <c r="ITE5"/>
      <c r="ITF5"/>
      <c r="ITG5"/>
      <c r="ITH5"/>
      <c r="ITI5"/>
      <c r="ITJ5"/>
      <c r="ITK5"/>
      <c r="ITL5"/>
      <c r="ITM5"/>
      <c r="ITN5"/>
      <c r="ITO5"/>
      <c r="ITP5"/>
      <c r="ITQ5"/>
      <c r="ITR5"/>
      <c r="ITS5"/>
      <c r="ITT5"/>
      <c r="ITU5"/>
      <c r="ITV5"/>
      <c r="ITW5"/>
      <c r="ITX5"/>
      <c r="ITY5"/>
      <c r="ITZ5"/>
      <c r="IUA5"/>
      <c r="IUB5"/>
      <c r="IUC5"/>
      <c r="IUD5"/>
      <c r="IUE5"/>
      <c r="IUF5"/>
      <c r="IUG5"/>
      <c r="IUH5"/>
      <c r="IUI5"/>
      <c r="IUJ5"/>
      <c r="IUK5"/>
      <c r="IUL5"/>
      <c r="IUM5"/>
      <c r="IUN5"/>
      <c r="IUO5"/>
      <c r="IUP5"/>
      <c r="IUQ5"/>
      <c r="IUR5"/>
      <c r="IUS5"/>
      <c r="IUT5"/>
      <c r="IUU5"/>
      <c r="IUV5"/>
      <c r="IUW5"/>
      <c r="IUX5"/>
      <c r="IUY5"/>
      <c r="IUZ5"/>
      <c r="IVA5"/>
      <c r="IVB5"/>
      <c r="IVC5"/>
      <c r="IVD5"/>
      <c r="IVE5"/>
      <c r="IVF5"/>
      <c r="IVG5"/>
      <c r="IVH5"/>
      <c r="IVI5"/>
      <c r="IVJ5"/>
      <c r="IVK5"/>
      <c r="IVL5"/>
      <c r="IVM5"/>
      <c r="IVN5"/>
      <c r="IVO5"/>
      <c r="IVP5"/>
      <c r="IVQ5"/>
      <c r="IVR5"/>
      <c r="IVS5"/>
      <c r="IVT5"/>
      <c r="IVU5"/>
      <c r="IVV5"/>
      <c r="IVW5"/>
      <c r="IVX5"/>
      <c r="IVY5"/>
      <c r="IVZ5"/>
      <c r="IWA5"/>
      <c r="IWB5"/>
      <c r="IWC5"/>
      <c r="IWD5"/>
      <c r="IWE5"/>
      <c r="IWF5"/>
      <c r="IWG5"/>
      <c r="IWH5"/>
      <c r="IWI5"/>
      <c r="IWJ5"/>
      <c r="IWK5"/>
      <c r="IWL5"/>
      <c r="IWM5"/>
      <c r="IWN5"/>
      <c r="IWO5"/>
      <c r="IWP5"/>
      <c r="IWQ5"/>
      <c r="IWR5"/>
      <c r="IWS5"/>
      <c r="IWT5"/>
      <c r="IWU5"/>
      <c r="IWV5"/>
      <c r="IWW5"/>
      <c r="IWX5"/>
      <c r="IWY5"/>
      <c r="IWZ5"/>
      <c r="IXA5"/>
      <c r="IXB5"/>
      <c r="IXC5"/>
      <c r="IXD5"/>
      <c r="IXE5"/>
      <c r="IXF5"/>
      <c r="IXG5"/>
      <c r="IXH5"/>
      <c r="IXI5"/>
      <c r="IXJ5"/>
      <c r="IXK5"/>
      <c r="IXL5"/>
      <c r="IXM5"/>
      <c r="IXN5"/>
      <c r="IXO5"/>
      <c r="IXP5"/>
      <c r="IXQ5"/>
      <c r="IXR5"/>
      <c r="IXS5"/>
      <c r="IXT5"/>
      <c r="IXU5"/>
      <c r="IXV5"/>
      <c r="IXW5"/>
      <c r="IXX5"/>
      <c r="IXY5"/>
      <c r="IXZ5"/>
      <c r="IYA5"/>
      <c r="IYB5"/>
      <c r="IYC5"/>
      <c r="IYD5"/>
      <c r="IYE5"/>
      <c r="IYF5"/>
      <c r="IYG5"/>
      <c r="IYH5"/>
      <c r="IYI5"/>
      <c r="IYJ5"/>
      <c r="IYK5"/>
      <c r="IYL5"/>
      <c r="IYM5"/>
      <c r="IYN5"/>
      <c r="IYO5"/>
      <c r="IYP5"/>
      <c r="IYQ5"/>
      <c r="IYR5"/>
      <c r="IYS5"/>
      <c r="IYT5"/>
      <c r="IYU5"/>
      <c r="IYV5"/>
      <c r="IYW5"/>
      <c r="IYX5"/>
      <c r="IYY5"/>
      <c r="IYZ5"/>
      <c r="IZA5"/>
      <c r="IZB5"/>
      <c r="IZC5"/>
      <c r="IZD5"/>
      <c r="IZE5"/>
      <c r="IZF5"/>
      <c r="IZG5"/>
      <c r="IZH5"/>
      <c r="IZI5"/>
      <c r="IZJ5"/>
      <c r="IZK5"/>
      <c r="IZL5"/>
      <c r="IZM5"/>
      <c r="IZN5"/>
      <c r="IZO5"/>
      <c r="IZP5"/>
      <c r="IZQ5"/>
      <c r="IZR5"/>
      <c r="IZS5"/>
      <c r="IZT5"/>
      <c r="IZU5"/>
      <c r="IZV5"/>
      <c r="IZW5"/>
      <c r="IZX5"/>
      <c r="IZY5"/>
      <c r="IZZ5"/>
      <c r="JAA5"/>
      <c r="JAB5"/>
      <c r="JAC5"/>
      <c r="JAD5"/>
      <c r="JAE5"/>
      <c r="JAF5"/>
      <c r="JAG5"/>
      <c r="JAH5"/>
      <c r="JAI5"/>
      <c r="JAJ5"/>
      <c r="JAK5"/>
      <c r="JAL5"/>
      <c r="JAM5"/>
      <c r="JAN5"/>
      <c r="JAO5"/>
      <c r="JAP5"/>
      <c r="JAQ5"/>
      <c r="JAR5"/>
      <c r="JAS5"/>
      <c r="JAT5"/>
      <c r="JAU5"/>
      <c r="JAV5"/>
      <c r="JAW5"/>
      <c r="JAX5"/>
      <c r="JAY5"/>
      <c r="JAZ5"/>
      <c r="JBA5"/>
      <c r="JBB5"/>
      <c r="JBC5"/>
      <c r="JBD5"/>
      <c r="JBE5"/>
      <c r="JBF5"/>
      <c r="JBG5"/>
      <c r="JBH5"/>
      <c r="JBI5"/>
      <c r="JBJ5"/>
      <c r="JBK5"/>
      <c r="JBL5"/>
      <c r="JBM5"/>
      <c r="JBN5"/>
      <c r="JBO5"/>
      <c r="JBP5"/>
      <c r="JBQ5"/>
      <c r="JBR5"/>
      <c r="JBS5"/>
      <c r="JBT5"/>
      <c r="JBU5"/>
      <c r="JBV5"/>
      <c r="JBW5"/>
      <c r="JBX5"/>
      <c r="JBY5"/>
      <c r="JBZ5"/>
      <c r="JCA5"/>
      <c r="JCB5"/>
      <c r="JCC5"/>
      <c r="JCD5"/>
      <c r="JCE5"/>
      <c r="JCF5"/>
      <c r="JCG5"/>
      <c r="JCH5"/>
      <c r="JCI5"/>
      <c r="JCJ5"/>
      <c r="JCK5"/>
      <c r="JCL5"/>
      <c r="JCM5"/>
      <c r="JCN5"/>
      <c r="JCO5"/>
      <c r="JCP5"/>
      <c r="JCQ5"/>
      <c r="JCR5"/>
      <c r="JCS5"/>
      <c r="JCT5"/>
      <c r="JCU5"/>
      <c r="JCV5"/>
      <c r="JCW5"/>
      <c r="JCX5"/>
      <c r="JCY5"/>
      <c r="JCZ5"/>
      <c r="JDA5"/>
      <c r="JDB5"/>
      <c r="JDC5"/>
      <c r="JDD5"/>
      <c r="JDE5"/>
      <c r="JDF5"/>
      <c r="JDG5"/>
      <c r="JDH5"/>
      <c r="JDI5"/>
      <c r="JDJ5"/>
      <c r="JDK5"/>
      <c r="JDL5"/>
      <c r="JDM5"/>
      <c r="JDN5"/>
      <c r="JDO5"/>
      <c r="JDP5"/>
      <c r="JDQ5"/>
      <c r="JDR5"/>
      <c r="JDS5"/>
      <c r="JDT5"/>
      <c r="JDU5"/>
      <c r="JDV5"/>
      <c r="JDW5"/>
      <c r="JDX5"/>
      <c r="JDY5"/>
      <c r="JDZ5"/>
      <c r="JEA5"/>
      <c r="JEB5"/>
      <c r="JEC5"/>
      <c r="JED5"/>
      <c r="JEE5"/>
      <c r="JEF5"/>
      <c r="JEG5"/>
      <c r="JEH5"/>
      <c r="JEI5"/>
      <c r="JEJ5"/>
      <c r="JEK5"/>
      <c r="JEL5"/>
      <c r="JEM5"/>
      <c r="JEN5"/>
      <c r="JEO5"/>
      <c r="JEP5"/>
      <c r="JEQ5"/>
      <c r="JER5"/>
      <c r="JES5"/>
      <c r="JET5"/>
      <c r="JEU5"/>
      <c r="JEV5"/>
      <c r="JEW5"/>
      <c r="JEX5"/>
      <c r="JEY5"/>
      <c r="JEZ5"/>
      <c r="JFA5"/>
      <c r="JFB5"/>
      <c r="JFC5"/>
      <c r="JFD5"/>
      <c r="JFE5"/>
      <c r="JFF5"/>
      <c r="JFG5"/>
      <c r="JFH5"/>
      <c r="JFI5"/>
      <c r="JFJ5"/>
      <c r="JFK5"/>
      <c r="JFL5"/>
      <c r="JFM5"/>
      <c r="JFN5"/>
      <c r="JFO5"/>
      <c r="JFP5"/>
      <c r="JFQ5"/>
      <c r="JFR5"/>
      <c r="JFS5"/>
      <c r="JFT5"/>
      <c r="JFU5"/>
      <c r="JFV5"/>
      <c r="JFW5"/>
      <c r="JFX5"/>
      <c r="JFY5"/>
      <c r="JFZ5"/>
      <c r="JGA5"/>
      <c r="JGB5"/>
      <c r="JGC5"/>
      <c r="JGD5"/>
      <c r="JGE5"/>
      <c r="JGF5"/>
      <c r="JGG5"/>
      <c r="JGH5"/>
      <c r="JGI5"/>
      <c r="JGJ5"/>
      <c r="JGK5"/>
      <c r="JGL5"/>
      <c r="JGM5"/>
      <c r="JGN5"/>
      <c r="JGO5"/>
      <c r="JGP5"/>
      <c r="JGQ5"/>
      <c r="JGR5"/>
      <c r="JGS5"/>
      <c r="JGT5"/>
      <c r="JGU5"/>
      <c r="JGV5"/>
      <c r="JGW5"/>
      <c r="JGX5"/>
      <c r="JGY5"/>
      <c r="JGZ5"/>
      <c r="JHA5"/>
      <c r="JHB5"/>
      <c r="JHC5"/>
      <c r="JHD5"/>
      <c r="JHE5"/>
      <c r="JHF5"/>
      <c r="JHG5"/>
      <c r="JHH5"/>
      <c r="JHI5"/>
      <c r="JHJ5"/>
      <c r="JHK5"/>
      <c r="JHL5"/>
      <c r="JHM5"/>
      <c r="JHN5"/>
      <c r="JHO5"/>
      <c r="JHP5"/>
      <c r="JHQ5"/>
      <c r="JHR5"/>
      <c r="JHS5"/>
      <c r="JHT5"/>
      <c r="JHU5"/>
      <c r="JHV5"/>
      <c r="JHW5"/>
      <c r="JHX5"/>
      <c r="JHY5"/>
      <c r="JHZ5"/>
      <c r="JIA5"/>
      <c r="JIB5"/>
      <c r="JIC5"/>
      <c r="JID5"/>
      <c r="JIE5"/>
      <c r="JIF5"/>
      <c r="JIG5"/>
      <c r="JIH5"/>
      <c r="JII5"/>
      <c r="JIJ5"/>
      <c r="JIK5"/>
      <c r="JIL5"/>
      <c r="JIM5"/>
      <c r="JIN5"/>
      <c r="JIO5"/>
      <c r="JIP5"/>
      <c r="JIQ5"/>
      <c r="JIR5"/>
      <c r="JIS5"/>
      <c r="JIT5"/>
      <c r="JIU5"/>
      <c r="JIV5"/>
      <c r="JIW5"/>
      <c r="JIX5"/>
      <c r="JIY5"/>
      <c r="JIZ5"/>
      <c r="JJA5"/>
      <c r="JJB5"/>
      <c r="JJC5"/>
      <c r="JJD5"/>
      <c r="JJE5"/>
      <c r="JJF5"/>
      <c r="JJG5"/>
      <c r="JJH5"/>
      <c r="JJI5"/>
      <c r="JJJ5"/>
      <c r="JJK5"/>
      <c r="JJL5"/>
      <c r="JJM5"/>
      <c r="JJN5"/>
      <c r="JJO5"/>
      <c r="JJP5"/>
      <c r="JJQ5"/>
      <c r="JJR5"/>
      <c r="JJS5"/>
      <c r="JJT5"/>
      <c r="JJU5"/>
      <c r="JJV5"/>
      <c r="JJW5"/>
      <c r="JJX5"/>
      <c r="JJY5"/>
      <c r="JJZ5"/>
      <c r="JKA5"/>
      <c r="JKB5"/>
      <c r="JKC5"/>
      <c r="JKD5"/>
      <c r="JKE5"/>
      <c r="JKF5"/>
      <c r="JKG5"/>
      <c r="JKH5"/>
      <c r="JKI5"/>
      <c r="JKJ5"/>
      <c r="JKK5"/>
      <c r="JKL5"/>
      <c r="JKM5"/>
      <c r="JKN5"/>
      <c r="JKO5"/>
      <c r="JKP5"/>
      <c r="JKQ5"/>
      <c r="JKR5"/>
      <c r="JKS5"/>
      <c r="JKT5"/>
      <c r="JKU5"/>
      <c r="JKV5"/>
      <c r="JKW5"/>
      <c r="JKX5"/>
      <c r="JKY5"/>
      <c r="JKZ5"/>
      <c r="JLA5"/>
      <c r="JLB5"/>
      <c r="JLC5"/>
      <c r="JLD5"/>
      <c r="JLE5"/>
      <c r="JLF5"/>
      <c r="JLG5"/>
      <c r="JLH5"/>
      <c r="JLI5"/>
      <c r="JLJ5"/>
      <c r="JLK5"/>
      <c r="JLL5"/>
      <c r="JLM5"/>
      <c r="JLN5"/>
      <c r="JLO5"/>
      <c r="JLP5"/>
      <c r="JLQ5"/>
      <c r="JLR5"/>
      <c r="JLS5"/>
      <c r="JLT5"/>
      <c r="JLU5"/>
      <c r="JLV5"/>
      <c r="JLW5"/>
      <c r="JLX5"/>
      <c r="JLY5"/>
      <c r="JLZ5"/>
      <c r="JMA5"/>
      <c r="JMB5"/>
      <c r="JMC5"/>
      <c r="JMD5"/>
      <c r="JME5"/>
      <c r="JMF5"/>
      <c r="JMG5"/>
      <c r="JMH5"/>
      <c r="JMI5"/>
      <c r="JMJ5"/>
      <c r="JMK5"/>
      <c r="JML5"/>
      <c r="JMM5"/>
      <c r="JMN5"/>
      <c r="JMO5"/>
      <c r="JMP5"/>
      <c r="JMQ5"/>
      <c r="JMR5"/>
      <c r="JMS5"/>
      <c r="JMT5"/>
      <c r="JMU5"/>
      <c r="JMV5"/>
      <c r="JMW5"/>
      <c r="JMX5"/>
      <c r="JMY5"/>
      <c r="JMZ5"/>
      <c r="JNA5"/>
      <c r="JNB5"/>
      <c r="JNC5"/>
      <c r="JND5"/>
      <c r="JNE5"/>
      <c r="JNF5"/>
      <c r="JNG5"/>
      <c r="JNH5"/>
      <c r="JNI5"/>
      <c r="JNJ5"/>
      <c r="JNK5"/>
      <c r="JNL5"/>
      <c r="JNM5"/>
      <c r="JNN5"/>
      <c r="JNO5"/>
      <c r="JNP5"/>
      <c r="JNQ5"/>
      <c r="JNR5"/>
      <c r="JNS5"/>
      <c r="JNT5"/>
      <c r="JNU5"/>
      <c r="JNV5"/>
      <c r="JNW5"/>
      <c r="JNX5"/>
      <c r="JNY5"/>
      <c r="JNZ5"/>
      <c r="JOA5"/>
      <c r="JOB5"/>
      <c r="JOC5"/>
      <c r="JOD5"/>
      <c r="JOE5"/>
      <c r="JOF5"/>
      <c r="JOG5"/>
      <c r="JOH5"/>
      <c r="JOI5"/>
      <c r="JOJ5"/>
      <c r="JOK5"/>
      <c r="JOL5"/>
      <c r="JOM5"/>
      <c r="JON5"/>
      <c r="JOO5"/>
      <c r="JOP5"/>
      <c r="JOQ5"/>
      <c r="JOR5"/>
      <c r="JOS5"/>
      <c r="JOT5"/>
      <c r="JOU5"/>
      <c r="JOV5"/>
      <c r="JOW5"/>
      <c r="JOX5"/>
      <c r="JOY5"/>
      <c r="JOZ5"/>
      <c r="JPA5"/>
      <c r="JPB5"/>
      <c r="JPC5"/>
      <c r="JPD5"/>
      <c r="JPE5"/>
      <c r="JPF5"/>
      <c r="JPG5"/>
      <c r="JPH5"/>
      <c r="JPI5"/>
      <c r="JPJ5"/>
      <c r="JPK5"/>
      <c r="JPL5"/>
      <c r="JPM5"/>
      <c r="JPN5"/>
      <c r="JPO5"/>
      <c r="JPP5"/>
      <c r="JPQ5"/>
      <c r="JPR5"/>
      <c r="JPS5"/>
      <c r="JPT5"/>
      <c r="JPU5"/>
      <c r="JPV5"/>
      <c r="JPW5"/>
      <c r="JPX5"/>
      <c r="JPY5"/>
      <c r="JPZ5"/>
      <c r="JQA5"/>
      <c r="JQB5"/>
      <c r="JQC5"/>
      <c r="JQD5"/>
      <c r="JQE5"/>
      <c r="JQF5"/>
      <c r="JQG5"/>
      <c r="JQH5"/>
      <c r="JQI5"/>
      <c r="JQJ5"/>
      <c r="JQK5"/>
      <c r="JQL5"/>
      <c r="JQM5"/>
      <c r="JQN5"/>
      <c r="JQO5"/>
      <c r="JQP5"/>
      <c r="JQQ5"/>
      <c r="JQR5"/>
      <c r="JQS5"/>
      <c r="JQT5"/>
      <c r="JQU5"/>
      <c r="JQV5"/>
      <c r="JQW5"/>
      <c r="JQX5"/>
      <c r="JQY5"/>
      <c r="JQZ5"/>
      <c r="JRA5"/>
      <c r="JRB5"/>
      <c r="JRC5"/>
      <c r="JRD5"/>
      <c r="JRE5"/>
      <c r="JRF5"/>
      <c r="JRG5"/>
      <c r="JRH5"/>
      <c r="JRI5"/>
      <c r="JRJ5"/>
      <c r="JRK5"/>
      <c r="JRL5"/>
      <c r="JRM5"/>
      <c r="JRN5"/>
      <c r="JRO5"/>
      <c r="JRP5"/>
      <c r="JRQ5"/>
      <c r="JRR5"/>
      <c r="JRS5"/>
      <c r="JRT5"/>
      <c r="JRU5"/>
      <c r="JRV5"/>
      <c r="JRW5"/>
      <c r="JRX5"/>
      <c r="JRY5"/>
      <c r="JRZ5"/>
      <c r="JSA5"/>
      <c r="JSB5"/>
      <c r="JSC5"/>
      <c r="JSD5"/>
      <c r="JSE5"/>
      <c r="JSF5"/>
      <c r="JSG5"/>
      <c r="JSH5"/>
      <c r="JSI5"/>
      <c r="JSJ5"/>
      <c r="JSK5"/>
      <c r="JSL5"/>
      <c r="JSM5"/>
      <c r="JSN5"/>
      <c r="JSO5"/>
      <c r="JSP5"/>
      <c r="JSQ5"/>
      <c r="JSR5"/>
      <c r="JSS5"/>
      <c r="JST5"/>
      <c r="JSU5"/>
      <c r="JSV5"/>
      <c r="JSW5"/>
      <c r="JSX5"/>
      <c r="JSY5"/>
      <c r="JSZ5"/>
      <c r="JTA5"/>
      <c r="JTB5"/>
      <c r="JTC5"/>
      <c r="JTD5"/>
      <c r="JTE5"/>
      <c r="JTF5"/>
      <c r="JTG5"/>
      <c r="JTH5"/>
      <c r="JTI5"/>
      <c r="JTJ5"/>
      <c r="JTK5"/>
      <c r="JTL5"/>
      <c r="JTM5"/>
      <c r="JTN5"/>
      <c r="JTO5"/>
      <c r="JTP5"/>
      <c r="JTQ5"/>
      <c r="JTR5"/>
      <c r="JTS5"/>
      <c r="JTT5"/>
      <c r="JTU5"/>
      <c r="JTV5"/>
      <c r="JTW5"/>
      <c r="JTX5"/>
      <c r="JTY5"/>
      <c r="JTZ5"/>
      <c r="JUA5"/>
      <c r="JUB5"/>
      <c r="JUC5"/>
      <c r="JUD5"/>
      <c r="JUE5"/>
      <c r="JUF5"/>
      <c r="JUG5"/>
      <c r="JUH5"/>
      <c r="JUI5"/>
      <c r="JUJ5"/>
      <c r="JUK5"/>
      <c r="JUL5"/>
      <c r="JUM5"/>
      <c r="JUN5"/>
      <c r="JUO5"/>
      <c r="JUP5"/>
      <c r="JUQ5"/>
      <c r="JUR5"/>
      <c r="JUS5"/>
      <c r="JUT5"/>
      <c r="JUU5"/>
      <c r="JUV5"/>
      <c r="JUW5"/>
      <c r="JUX5"/>
      <c r="JUY5"/>
      <c r="JUZ5"/>
      <c r="JVA5"/>
      <c r="JVB5"/>
      <c r="JVC5"/>
      <c r="JVD5"/>
      <c r="JVE5"/>
      <c r="JVF5"/>
      <c r="JVG5"/>
      <c r="JVH5"/>
      <c r="JVI5"/>
      <c r="JVJ5"/>
      <c r="JVK5"/>
      <c r="JVL5"/>
      <c r="JVM5"/>
      <c r="JVN5"/>
      <c r="JVO5"/>
      <c r="JVP5"/>
      <c r="JVQ5"/>
      <c r="JVR5"/>
      <c r="JVS5"/>
      <c r="JVT5"/>
      <c r="JVU5"/>
      <c r="JVV5"/>
      <c r="JVW5"/>
      <c r="JVX5"/>
      <c r="JVY5"/>
      <c r="JVZ5"/>
      <c r="JWA5"/>
      <c r="JWB5"/>
      <c r="JWC5"/>
      <c r="JWD5"/>
      <c r="JWE5"/>
      <c r="JWF5"/>
      <c r="JWG5"/>
      <c r="JWH5"/>
      <c r="JWI5"/>
      <c r="JWJ5"/>
      <c r="JWK5"/>
      <c r="JWL5"/>
      <c r="JWM5"/>
      <c r="JWN5"/>
      <c r="JWO5"/>
      <c r="JWP5"/>
      <c r="JWQ5"/>
      <c r="JWR5"/>
      <c r="JWS5"/>
      <c r="JWT5"/>
      <c r="JWU5"/>
      <c r="JWV5"/>
      <c r="JWW5"/>
      <c r="JWX5"/>
      <c r="JWY5"/>
      <c r="JWZ5"/>
      <c r="JXA5"/>
      <c r="JXB5"/>
      <c r="JXC5"/>
      <c r="JXD5"/>
      <c r="JXE5"/>
      <c r="JXF5"/>
      <c r="JXG5"/>
      <c r="JXH5"/>
      <c r="JXI5"/>
      <c r="JXJ5"/>
      <c r="JXK5"/>
      <c r="JXL5"/>
      <c r="JXM5"/>
      <c r="JXN5"/>
      <c r="JXO5"/>
      <c r="JXP5"/>
      <c r="JXQ5"/>
      <c r="JXR5"/>
      <c r="JXS5"/>
      <c r="JXT5"/>
      <c r="JXU5"/>
      <c r="JXV5"/>
      <c r="JXW5"/>
      <c r="JXX5"/>
      <c r="JXY5"/>
      <c r="JXZ5"/>
      <c r="JYA5"/>
      <c r="JYB5"/>
      <c r="JYC5"/>
      <c r="JYD5"/>
      <c r="JYE5"/>
      <c r="JYF5"/>
      <c r="JYG5"/>
      <c r="JYH5"/>
      <c r="JYI5"/>
      <c r="JYJ5"/>
      <c r="JYK5"/>
      <c r="JYL5"/>
      <c r="JYM5"/>
      <c r="JYN5"/>
      <c r="JYO5"/>
      <c r="JYP5"/>
      <c r="JYQ5"/>
      <c r="JYR5"/>
      <c r="JYS5"/>
      <c r="JYT5"/>
      <c r="JYU5"/>
      <c r="JYV5"/>
      <c r="JYW5"/>
      <c r="JYX5"/>
      <c r="JYY5"/>
      <c r="JYZ5"/>
      <c r="JZA5"/>
      <c r="JZB5"/>
      <c r="JZC5"/>
      <c r="JZD5"/>
      <c r="JZE5"/>
      <c r="JZF5"/>
      <c r="JZG5"/>
      <c r="JZH5"/>
      <c r="JZI5"/>
      <c r="JZJ5"/>
      <c r="JZK5"/>
      <c r="JZL5"/>
      <c r="JZM5"/>
      <c r="JZN5"/>
      <c r="JZO5"/>
      <c r="JZP5"/>
      <c r="JZQ5"/>
      <c r="JZR5"/>
      <c r="JZS5"/>
      <c r="JZT5"/>
      <c r="JZU5"/>
      <c r="JZV5"/>
      <c r="JZW5"/>
      <c r="JZX5"/>
      <c r="JZY5"/>
      <c r="JZZ5"/>
      <c r="KAA5"/>
      <c r="KAB5"/>
      <c r="KAC5"/>
      <c r="KAD5"/>
      <c r="KAE5"/>
      <c r="KAF5"/>
      <c r="KAG5"/>
      <c r="KAH5"/>
      <c r="KAI5"/>
      <c r="KAJ5"/>
      <c r="KAK5"/>
      <c r="KAL5"/>
      <c r="KAM5"/>
      <c r="KAN5"/>
      <c r="KAO5"/>
      <c r="KAP5"/>
      <c r="KAQ5"/>
      <c r="KAR5"/>
      <c r="KAS5"/>
      <c r="KAT5"/>
      <c r="KAU5"/>
      <c r="KAV5"/>
      <c r="KAW5"/>
      <c r="KAX5"/>
      <c r="KAY5"/>
      <c r="KAZ5"/>
      <c r="KBA5"/>
      <c r="KBB5"/>
      <c r="KBC5"/>
      <c r="KBD5"/>
      <c r="KBE5"/>
      <c r="KBF5"/>
      <c r="KBG5"/>
      <c r="KBH5"/>
      <c r="KBI5"/>
      <c r="KBJ5"/>
      <c r="KBK5"/>
      <c r="KBL5"/>
      <c r="KBM5"/>
      <c r="KBN5"/>
      <c r="KBO5"/>
      <c r="KBP5"/>
      <c r="KBQ5"/>
      <c r="KBR5"/>
      <c r="KBS5"/>
      <c r="KBT5"/>
      <c r="KBU5"/>
      <c r="KBV5"/>
      <c r="KBW5"/>
      <c r="KBX5"/>
      <c r="KBY5"/>
      <c r="KBZ5"/>
      <c r="KCA5"/>
      <c r="KCB5"/>
      <c r="KCC5"/>
      <c r="KCD5"/>
      <c r="KCE5"/>
      <c r="KCF5"/>
      <c r="KCG5"/>
      <c r="KCH5"/>
      <c r="KCI5"/>
      <c r="KCJ5"/>
      <c r="KCK5"/>
      <c r="KCL5"/>
      <c r="KCM5"/>
      <c r="KCN5"/>
      <c r="KCO5"/>
      <c r="KCP5"/>
      <c r="KCQ5"/>
      <c r="KCR5"/>
      <c r="KCS5"/>
      <c r="KCT5"/>
      <c r="KCU5"/>
      <c r="KCV5"/>
      <c r="KCW5"/>
      <c r="KCX5"/>
      <c r="KCY5"/>
      <c r="KCZ5"/>
      <c r="KDA5"/>
      <c r="KDB5"/>
      <c r="KDC5"/>
      <c r="KDD5"/>
      <c r="KDE5"/>
      <c r="KDF5"/>
      <c r="KDG5"/>
      <c r="KDH5"/>
      <c r="KDI5"/>
      <c r="KDJ5"/>
      <c r="KDK5"/>
      <c r="KDL5"/>
      <c r="KDM5"/>
      <c r="KDN5"/>
      <c r="KDO5"/>
      <c r="KDP5"/>
      <c r="KDQ5"/>
      <c r="KDR5"/>
      <c r="KDS5"/>
      <c r="KDT5"/>
      <c r="KDU5"/>
      <c r="KDV5"/>
      <c r="KDW5"/>
      <c r="KDX5"/>
      <c r="KDY5"/>
      <c r="KDZ5"/>
      <c r="KEA5"/>
      <c r="KEB5"/>
      <c r="KEC5"/>
      <c r="KED5"/>
      <c r="KEE5"/>
      <c r="KEF5"/>
      <c r="KEG5"/>
      <c r="KEH5"/>
      <c r="KEI5"/>
      <c r="KEJ5"/>
      <c r="KEK5"/>
      <c r="KEL5"/>
      <c r="KEM5"/>
      <c r="KEN5"/>
      <c r="KEO5"/>
      <c r="KEP5"/>
      <c r="KEQ5"/>
      <c r="KER5"/>
      <c r="KES5"/>
      <c r="KET5"/>
      <c r="KEU5"/>
      <c r="KEV5"/>
      <c r="KEW5"/>
      <c r="KEX5"/>
      <c r="KEY5"/>
      <c r="KEZ5"/>
      <c r="KFA5"/>
      <c r="KFB5"/>
      <c r="KFC5"/>
      <c r="KFD5"/>
      <c r="KFE5"/>
      <c r="KFF5"/>
      <c r="KFG5"/>
      <c r="KFH5"/>
      <c r="KFI5"/>
      <c r="KFJ5"/>
      <c r="KFK5"/>
      <c r="KFL5"/>
      <c r="KFM5"/>
      <c r="KFN5"/>
      <c r="KFO5"/>
      <c r="KFP5"/>
      <c r="KFQ5"/>
      <c r="KFR5"/>
      <c r="KFS5"/>
      <c r="KFT5"/>
      <c r="KFU5"/>
      <c r="KFV5"/>
      <c r="KFW5"/>
      <c r="KFX5"/>
      <c r="KFY5"/>
      <c r="KFZ5"/>
      <c r="KGA5"/>
      <c r="KGB5"/>
      <c r="KGC5"/>
      <c r="KGD5"/>
      <c r="KGE5"/>
      <c r="KGF5"/>
      <c r="KGG5"/>
      <c r="KGH5"/>
      <c r="KGI5"/>
      <c r="KGJ5"/>
      <c r="KGK5"/>
      <c r="KGL5"/>
      <c r="KGM5"/>
      <c r="KGN5"/>
      <c r="KGO5"/>
      <c r="KGP5"/>
      <c r="KGQ5"/>
      <c r="KGR5"/>
      <c r="KGS5"/>
      <c r="KGT5"/>
      <c r="KGU5"/>
      <c r="KGV5"/>
      <c r="KGW5"/>
      <c r="KGX5"/>
      <c r="KGY5"/>
      <c r="KGZ5"/>
      <c r="KHA5"/>
      <c r="KHB5"/>
      <c r="KHC5"/>
      <c r="KHD5"/>
      <c r="KHE5"/>
      <c r="KHF5"/>
      <c r="KHG5"/>
      <c r="KHH5"/>
      <c r="KHI5"/>
      <c r="KHJ5"/>
      <c r="KHK5"/>
      <c r="KHL5"/>
      <c r="KHM5"/>
      <c r="KHN5"/>
      <c r="KHO5"/>
      <c r="KHP5"/>
      <c r="KHQ5"/>
      <c r="KHR5"/>
      <c r="KHS5"/>
      <c r="KHT5"/>
      <c r="KHU5"/>
      <c r="KHV5"/>
      <c r="KHW5"/>
      <c r="KHX5"/>
      <c r="KHY5"/>
      <c r="KHZ5"/>
      <c r="KIA5"/>
      <c r="KIB5"/>
      <c r="KIC5"/>
      <c r="KID5"/>
      <c r="KIE5"/>
      <c r="KIF5"/>
      <c r="KIG5"/>
      <c r="KIH5"/>
      <c r="KII5"/>
      <c r="KIJ5"/>
      <c r="KIK5"/>
      <c r="KIL5"/>
      <c r="KIM5"/>
      <c r="KIN5"/>
      <c r="KIO5"/>
      <c r="KIP5"/>
      <c r="KIQ5"/>
      <c r="KIR5"/>
      <c r="KIS5"/>
      <c r="KIT5"/>
      <c r="KIU5"/>
      <c r="KIV5"/>
      <c r="KIW5"/>
      <c r="KIX5"/>
      <c r="KIY5"/>
      <c r="KIZ5"/>
      <c r="KJA5"/>
      <c r="KJB5"/>
      <c r="KJC5"/>
      <c r="KJD5"/>
      <c r="KJE5"/>
      <c r="KJF5"/>
      <c r="KJG5"/>
      <c r="KJH5"/>
      <c r="KJI5"/>
      <c r="KJJ5"/>
      <c r="KJK5"/>
      <c r="KJL5"/>
      <c r="KJM5"/>
      <c r="KJN5"/>
      <c r="KJO5"/>
      <c r="KJP5"/>
      <c r="KJQ5"/>
      <c r="KJR5"/>
      <c r="KJS5"/>
      <c r="KJT5"/>
      <c r="KJU5"/>
      <c r="KJV5"/>
      <c r="KJW5"/>
      <c r="KJX5"/>
      <c r="KJY5"/>
      <c r="KJZ5"/>
      <c r="KKA5"/>
      <c r="KKB5"/>
      <c r="KKC5"/>
      <c r="KKD5"/>
      <c r="KKE5"/>
      <c r="KKF5"/>
      <c r="KKG5"/>
      <c r="KKH5"/>
      <c r="KKI5"/>
      <c r="KKJ5"/>
      <c r="KKK5"/>
      <c r="KKL5"/>
      <c r="KKM5"/>
      <c r="KKN5"/>
      <c r="KKO5"/>
      <c r="KKP5"/>
      <c r="KKQ5"/>
      <c r="KKR5"/>
      <c r="KKS5"/>
      <c r="KKT5"/>
      <c r="KKU5"/>
      <c r="KKV5"/>
      <c r="KKW5"/>
      <c r="KKX5"/>
      <c r="KKY5"/>
      <c r="KKZ5"/>
      <c r="KLA5"/>
      <c r="KLB5"/>
      <c r="KLC5"/>
      <c r="KLD5"/>
      <c r="KLE5"/>
      <c r="KLF5"/>
      <c r="KLG5"/>
      <c r="KLH5"/>
      <c r="KLI5"/>
      <c r="KLJ5"/>
      <c r="KLK5"/>
      <c r="KLL5"/>
      <c r="KLM5"/>
      <c r="KLN5"/>
      <c r="KLO5"/>
      <c r="KLP5"/>
      <c r="KLQ5"/>
      <c r="KLR5"/>
      <c r="KLS5"/>
      <c r="KLT5"/>
      <c r="KLU5"/>
      <c r="KLV5"/>
      <c r="KLW5"/>
      <c r="KLX5"/>
      <c r="KLY5"/>
      <c r="KLZ5"/>
      <c r="KMA5"/>
      <c r="KMB5"/>
      <c r="KMC5"/>
      <c r="KMD5"/>
      <c r="KME5"/>
      <c r="KMF5"/>
      <c r="KMG5"/>
      <c r="KMH5"/>
      <c r="KMI5"/>
      <c r="KMJ5"/>
      <c r="KMK5"/>
      <c r="KML5"/>
      <c r="KMM5"/>
      <c r="KMN5"/>
      <c r="KMO5"/>
      <c r="KMP5"/>
      <c r="KMQ5"/>
      <c r="KMR5"/>
      <c r="KMS5"/>
      <c r="KMT5"/>
      <c r="KMU5"/>
      <c r="KMV5"/>
      <c r="KMW5"/>
      <c r="KMX5"/>
      <c r="KMY5"/>
      <c r="KMZ5"/>
      <c r="KNA5"/>
      <c r="KNB5"/>
      <c r="KNC5"/>
      <c r="KND5"/>
      <c r="KNE5"/>
      <c r="KNF5"/>
      <c r="KNG5"/>
      <c r="KNH5"/>
      <c r="KNI5"/>
      <c r="KNJ5"/>
      <c r="KNK5"/>
      <c r="KNL5"/>
      <c r="KNM5"/>
      <c r="KNN5"/>
      <c r="KNO5"/>
      <c r="KNP5"/>
      <c r="KNQ5"/>
      <c r="KNR5"/>
      <c r="KNS5"/>
      <c r="KNT5"/>
      <c r="KNU5"/>
      <c r="KNV5"/>
      <c r="KNW5"/>
      <c r="KNX5"/>
      <c r="KNY5"/>
      <c r="KNZ5"/>
      <c r="KOA5"/>
      <c r="KOB5"/>
      <c r="KOC5"/>
      <c r="KOD5"/>
      <c r="KOE5"/>
      <c r="KOF5"/>
      <c r="KOG5"/>
      <c r="KOH5"/>
      <c r="KOI5"/>
      <c r="KOJ5"/>
      <c r="KOK5"/>
      <c r="KOL5"/>
      <c r="KOM5"/>
      <c r="KON5"/>
      <c r="KOO5"/>
      <c r="KOP5"/>
      <c r="KOQ5"/>
      <c r="KOR5"/>
      <c r="KOS5"/>
      <c r="KOT5"/>
      <c r="KOU5"/>
      <c r="KOV5"/>
      <c r="KOW5"/>
      <c r="KOX5"/>
      <c r="KOY5"/>
      <c r="KOZ5"/>
      <c r="KPA5"/>
      <c r="KPB5"/>
      <c r="KPC5"/>
      <c r="KPD5"/>
      <c r="KPE5"/>
      <c r="KPF5"/>
      <c r="KPG5"/>
      <c r="KPH5"/>
      <c r="KPI5"/>
      <c r="KPJ5"/>
      <c r="KPK5"/>
      <c r="KPL5"/>
      <c r="KPM5"/>
      <c r="KPN5"/>
      <c r="KPO5"/>
      <c r="KPP5"/>
      <c r="KPQ5"/>
      <c r="KPR5"/>
      <c r="KPS5"/>
      <c r="KPT5"/>
      <c r="KPU5"/>
      <c r="KPV5"/>
      <c r="KPW5"/>
      <c r="KPX5"/>
      <c r="KPY5"/>
      <c r="KPZ5"/>
      <c r="KQA5"/>
      <c r="KQB5"/>
      <c r="KQC5"/>
      <c r="KQD5"/>
      <c r="KQE5"/>
      <c r="KQF5"/>
      <c r="KQG5"/>
      <c r="KQH5"/>
      <c r="KQI5"/>
      <c r="KQJ5"/>
      <c r="KQK5"/>
      <c r="KQL5"/>
      <c r="KQM5"/>
      <c r="KQN5"/>
      <c r="KQO5"/>
      <c r="KQP5"/>
      <c r="KQQ5"/>
      <c r="KQR5"/>
      <c r="KQS5"/>
      <c r="KQT5"/>
      <c r="KQU5"/>
      <c r="KQV5"/>
      <c r="KQW5"/>
      <c r="KQX5"/>
      <c r="KQY5"/>
      <c r="KQZ5"/>
      <c r="KRA5"/>
      <c r="KRB5"/>
      <c r="KRC5"/>
      <c r="KRD5"/>
      <c r="KRE5"/>
      <c r="KRF5"/>
      <c r="KRG5"/>
      <c r="KRH5"/>
      <c r="KRI5"/>
      <c r="KRJ5"/>
      <c r="KRK5"/>
      <c r="KRL5"/>
      <c r="KRM5"/>
      <c r="KRN5"/>
      <c r="KRO5"/>
      <c r="KRP5"/>
      <c r="KRQ5"/>
      <c r="KRR5"/>
      <c r="KRS5"/>
      <c r="KRT5"/>
      <c r="KRU5"/>
      <c r="KRV5"/>
      <c r="KRW5"/>
      <c r="KRX5"/>
      <c r="KRY5"/>
      <c r="KRZ5"/>
      <c r="KSA5"/>
      <c r="KSB5"/>
      <c r="KSC5"/>
      <c r="KSD5"/>
      <c r="KSE5"/>
      <c r="KSF5"/>
      <c r="KSG5"/>
      <c r="KSH5"/>
      <c r="KSI5"/>
      <c r="KSJ5"/>
      <c r="KSK5"/>
      <c r="KSL5"/>
      <c r="KSM5"/>
      <c r="KSN5"/>
      <c r="KSO5"/>
      <c r="KSP5"/>
      <c r="KSQ5"/>
      <c r="KSR5"/>
      <c r="KSS5"/>
      <c r="KST5"/>
      <c r="KSU5"/>
      <c r="KSV5"/>
      <c r="KSW5"/>
      <c r="KSX5"/>
      <c r="KSY5"/>
      <c r="KSZ5"/>
      <c r="KTA5"/>
      <c r="KTB5"/>
      <c r="KTC5"/>
      <c r="KTD5"/>
      <c r="KTE5"/>
      <c r="KTF5"/>
      <c r="KTG5"/>
      <c r="KTH5"/>
      <c r="KTI5"/>
      <c r="KTJ5"/>
      <c r="KTK5"/>
      <c r="KTL5"/>
      <c r="KTM5"/>
      <c r="KTN5"/>
      <c r="KTO5"/>
      <c r="KTP5"/>
      <c r="KTQ5"/>
      <c r="KTR5"/>
      <c r="KTS5"/>
      <c r="KTT5"/>
      <c r="KTU5"/>
      <c r="KTV5"/>
      <c r="KTW5"/>
      <c r="KTX5"/>
      <c r="KTY5"/>
      <c r="KTZ5"/>
      <c r="KUA5"/>
      <c r="KUB5"/>
      <c r="KUC5"/>
      <c r="KUD5"/>
      <c r="KUE5"/>
      <c r="KUF5"/>
      <c r="KUG5"/>
      <c r="KUH5"/>
      <c r="KUI5"/>
      <c r="KUJ5"/>
      <c r="KUK5"/>
      <c r="KUL5"/>
      <c r="KUM5"/>
      <c r="KUN5"/>
      <c r="KUO5"/>
      <c r="KUP5"/>
      <c r="KUQ5"/>
      <c r="KUR5"/>
      <c r="KUS5"/>
      <c r="KUT5"/>
      <c r="KUU5"/>
      <c r="KUV5"/>
      <c r="KUW5"/>
      <c r="KUX5"/>
      <c r="KUY5"/>
      <c r="KUZ5"/>
      <c r="KVA5"/>
      <c r="KVB5"/>
      <c r="KVC5"/>
      <c r="KVD5"/>
      <c r="KVE5"/>
      <c r="KVF5"/>
      <c r="KVG5"/>
      <c r="KVH5"/>
      <c r="KVI5"/>
      <c r="KVJ5"/>
      <c r="KVK5"/>
      <c r="KVL5"/>
      <c r="KVM5"/>
      <c r="KVN5"/>
      <c r="KVO5"/>
      <c r="KVP5"/>
      <c r="KVQ5"/>
      <c r="KVR5"/>
      <c r="KVS5"/>
      <c r="KVT5"/>
      <c r="KVU5"/>
      <c r="KVV5"/>
      <c r="KVW5"/>
      <c r="KVX5"/>
      <c r="KVY5"/>
      <c r="KVZ5"/>
      <c r="KWA5"/>
      <c r="KWB5"/>
      <c r="KWC5"/>
      <c r="KWD5"/>
      <c r="KWE5"/>
      <c r="KWF5"/>
      <c r="KWG5"/>
      <c r="KWH5"/>
      <c r="KWI5"/>
      <c r="KWJ5"/>
      <c r="KWK5"/>
      <c r="KWL5"/>
      <c r="KWM5"/>
      <c r="KWN5"/>
      <c r="KWO5"/>
      <c r="KWP5"/>
      <c r="KWQ5"/>
      <c r="KWR5"/>
      <c r="KWS5"/>
      <c r="KWT5"/>
      <c r="KWU5"/>
      <c r="KWV5"/>
      <c r="KWW5"/>
      <c r="KWX5"/>
      <c r="KWY5"/>
      <c r="KWZ5"/>
      <c r="KXA5"/>
      <c r="KXB5"/>
      <c r="KXC5"/>
      <c r="KXD5"/>
      <c r="KXE5"/>
      <c r="KXF5"/>
      <c r="KXG5"/>
      <c r="KXH5"/>
      <c r="KXI5"/>
      <c r="KXJ5"/>
      <c r="KXK5"/>
      <c r="KXL5"/>
      <c r="KXM5"/>
      <c r="KXN5"/>
      <c r="KXO5"/>
      <c r="KXP5"/>
      <c r="KXQ5"/>
      <c r="KXR5"/>
      <c r="KXS5"/>
      <c r="KXT5"/>
      <c r="KXU5"/>
      <c r="KXV5"/>
      <c r="KXW5"/>
      <c r="KXX5"/>
      <c r="KXY5"/>
      <c r="KXZ5"/>
      <c r="KYA5"/>
      <c r="KYB5"/>
      <c r="KYC5"/>
      <c r="KYD5"/>
      <c r="KYE5"/>
      <c r="KYF5"/>
      <c r="KYG5"/>
      <c r="KYH5"/>
      <c r="KYI5"/>
      <c r="KYJ5"/>
      <c r="KYK5"/>
      <c r="KYL5"/>
      <c r="KYM5"/>
      <c r="KYN5"/>
      <c r="KYO5"/>
      <c r="KYP5"/>
      <c r="KYQ5"/>
      <c r="KYR5"/>
      <c r="KYS5"/>
      <c r="KYT5"/>
      <c r="KYU5"/>
      <c r="KYV5"/>
      <c r="KYW5"/>
      <c r="KYX5"/>
      <c r="KYY5"/>
      <c r="KYZ5"/>
      <c r="KZA5"/>
      <c r="KZB5"/>
      <c r="KZC5"/>
      <c r="KZD5"/>
      <c r="KZE5"/>
      <c r="KZF5"/>
      <c r="KZG5"/>
      <c r="KZH5"/>
      <c r="KZI5"/>
      <c r="KZJ5"/>
      <c r="KZK5"/>
      <c r="KZL5"/>
      <c r="KZM5"/>
      <c r="KZN5"/>
      <c r="KZO5"/>
      <c r="KZP5"/>
      <c r="KZQ5"/>
      <c r="KZR5"/>
      <c r="KZS5"/>
      <c r="KZT5"/>
      <c r="KZU5"/>
      <c r="KZV5"/>
      <c r="KZW5"/>
      <c r="KZX5"/>
      <c r="KZY5"/>
      <c r="KZZ5"/>
      <c r="LAA5"/>
      <c r="LAB5"/>
      <c r="LAC5"/>
      <c r="LAD5"/>
      <c r="LAE5"/>
      <c r="LAF5"/>
      <c r="LAG5"/>
      <c r="LAH5"/>
      <c r="LAI5"/>
      <c r="LAJ5"/>
      <c r="LAK5"/>
      <c r="LAL5"/>
      <c r="LAM5"/>
      <c r="LAN5"/>
      <c r="LAO5"/>
      <c r="LAP5"/>
      <c r="LAQ5"/>
      <c r="LAR5"/>
      <c r="LAS5"/>
      <c r="LAT5"/>
      <c r="LAU5"/>
      <c r="LAV5"/>
      <c r="LAW5"/>
      <c r="LAX5"/>
      <c r="LAY5"/>
      <c r="LAZ5"/>
      <c r="LBA5"/>
      <c r="LBB5"/>
      <c r="LBC5"/>
      <c r="LBD5"/>
      <c r="LBE5"/>
      <c r="LBF5"/>
      <c r="LBG5"/>
      <c r="LBH5"/>
      <c r="LBI5"/>
      <c r="LBJ5"/>
      <c r="LBK5"/>
      <c r="LBL5"/>
      <c r="LBM5"/>
      <c r="LBN5"/>
      <c r="LBO5"/>
      <c r="LBP5"/>
      <c r="LBQ5"/>
      <c r="LBR5"/>
      <c r="LBS5"/>
      <c r="LBT5"/>
      <c r="LBU5"/>
      <c r="LBV5"/>
      <c r="LBW5"/>
      <c r="LBX5"/>
      <c r="LBY5"/>
      <c r="LBZ5"/>
      <c r="LCA5"/>
      <c r="LCB5"/>
      <c r="LCC5"/>
      <c r="LCD5"/>
      <c r="LCE5"/>
      <c r="LCF5"/>
      <c r="LCG5"/>
      <c r="LCH5"/>
      <c r="LCI5"/>
      <c r="LCJ5"/>
      <c r="LCK5"/>
      <c r="LCL5"/>
      <c r="LCM5"/>
      <c r="LCN5"/>
      <c r="LCO5"/>
      <c r="LCP5"/>
      <c r="LCQ5"/>
      <c r="LCR5"/>
      <c r="LCS5"/>
      <c r="LCT5"/>
      <c r="LCU5"/>
      <c r="LCV5"/>
      <c r="LCW5"/>
      <c r="LCX5"/>
      <c r="LCY5"/>
      <c r="LCZ5"/>
      <c r="LDA5"/>
      <c r="LDB5"/>
      <c r="LDC5"/>
      <c r="LDD5"/>
      <c r="LDE5"/>
      <c r="LDF5"/>
      <c r="LDG5"/>
      <c r="LDH5"/>
      <c r="LDI5"/>
      <c r="LDJ5"/>
      <c r="LDK5"/>
      <c r="LDL5"/>
      <c r="LDM5"/>
      <c r="LDN5"/>
      <c r="LDO5"/>
      <c r="LDP5"/>
      <c r="LDQ5"/>
      <c r="LDR5"/>
      <c r="LDS5"/>
      <c r="LDT5"/>
      <c r="LDU5"/>
      <c r="LDV5"/>
      <c r="LDW5"/>
      <c r="LDX5"/>
      <c r="LDY5"/>
      <c r="LDZ5"/>
      <c r="LEA5"/>
      <c r="LEB5"/>
      <c r="LEC5"/>
      <c r="LED5"/>
      <c r="LEE5"/>
      <c r="LEF5"/>
      <c r="LEG5"/>
      <c r="LEH5"/>
      <c r="LEI5"/>
      <c r="LEJ5"/>
      <c r="LEK5"/>
      <c r="LEL5"/>
      <c r="LEM5"/>
      <c r="LEN5"/>
      <c r="LEO5"/>
      <c r="LEP5"/>
      <c r="LEQ5"/>
      <c r="LER5"/>
      <c r="LES5"/>
      <c r="LET5"/>
      <c r="LEU5"/>
      <c r="LEV5"/>
      <c r="LEW5"/>
      <c r="LEX5"/>
      <c r="LEY5"/>
      <c r="LEZ5"/>
      <c r="LFA5"/>
      <c r="LFB5"/>
      <c r="LFC5"/>
      <c r="LFD5"/>
      <c r="LFE5"/>
      <c r="LFF5"/>
      <c r="LFG5"/>
      <c r="LFH5"/>
      <c r="LFI5"/>
      <c r="LFJ5"/>
      <c r="LFK5"/>
      <c r="LFL5"/>
      <c r="LFM5"/>
      <c r="LFN5"/>
      <c r="LFO5"/>
      <c r="LFP5"/>
      <c r="LFQ5"/>
      <c r="LFR5"/>
      <c r="LFS5"/>
      <c r="LFT5"/>
      <c r="LFU5"/>
      <c r="LFV5"/>
      <c r="LFW5"/>
      <c r="LFX5"/>
      <c r="LFY5"/>
      <c r="LFZ5"/>
      <c r="LGA5"/>
      <c r="LGB5"/>
      <c r="LGC5"/>
      <c r="LGD5"/>
      <c r="LGE5"/>
      <c r="LGF5"/>
      <c r="LGG5"/>
      <c r="LGH5"/>
      <c r="LGI5"/>
      <c r="LGJ5"/>
      <c r="LGK5"/>
      <c r="LGL5"/>
      <c r="LGM5"/>
      <c r="LGN5"/>
      <c r="LGO5"/>
      <c r="LGP5"/>
      <c r="LGQ5"/>
      <c r="LGR5"/>
      <c r="LGS5"/>
      <c r="LGT5"/>
      <c r="LGU5"/>
      <c r="LGV5"/>
      <c r="LGW5"/>
      <c r="LGX5"/>
      <c r="LGY5"/>
      <c r="LGZ5"/>
      <c r="LHA5"/>
      <c r="LHB5"/>
      <c r="LHC5"/>
      <c r="LHD5"/>
      <c r="LHE5"/>
      <c r="LHF5"/>
      <c r="LHG5"/>
      <c r="LHH5"/>
      <c r="LHI5"/>
      <c r="LHJ5"/>
      <c r="LHK5"/>
      <c r="LHL5"/>
      <c r="LHM5"/>
      <c r="LHN5"/>
      <c r="LHO5"/>
      <c r="LHP5"/>
      <c r="LHQ5"/>
      <c r="LHR5"/>
      <c r="LHS5"/>
      <c r="LHT5"/>
      <c r="LHU5"/>
      <c r="LHV5"/>
      <c r="LHW5"/>
      <c r="LHX5"/>
      <c r="LHY5"/>
      <c r="LHZ5"/>
      <c r="LIA5"/>
      <c r="LIB5"/>
      <c r="LIC5"/>
      <c r="LID5"/>
      <c r="LIE5"/>
      <c r="LIF5"/>
      <c r="LIG5"/>
      <c r="LIH5"/>
      <c r="LII5"/>
      <c r="LIJ5"/>
      <c r="LIK5"/>
      <c r="LIL5"/>
      <c r="LIM5"/>
      <c r="LIN5"/>
      <c r="LIO5"/>
      <c r="LIP5"/>
      <c r="LIQ5"/>
      <c r="LIR5"/>
      <c r="LIS5"/>
      <c r="LIT5"/>
      <c r="LIU5"/>
      <c r="LIV5"/>
      <c r="LIW5"/>
      <c r="LIX5"/>
      <c r="LIY5"/>
      <c r="LIZ5"/>
      <c r="LJA5"/>
      <c r="LJB5"/>
      <c r="LJC5"/>
      <c r="LJD5"/>
      <c r="LJE5"/>
      <c r="LJF5"/>
      <c r="LJG5"/>
      <c r="LJH5"/>
      <c r="LJI5"/>
      <c r="LJJ5"/>
      <c r="LJK5"/>
      <c r="LJL5"/>
      <c r="LJM5"/>
      <c r="LJN5"/>
      <c r="LJO5"/>
      <c r="LJP5"/>
      <c r="LJQ5"/>
      <c r="LJR5"/>
      <c r="LJS5"/>
      <c r="LJT5"/>
      <c r="LJU5"/>
      <c r="LJV5"/>
      <c r="LJW5"/>
      <c r="LJX5"/>
      <c r="LJY5"/>
      <c r="LJZ5"/>
      <c r="LKA5"/>
      <c r="LKB5"/>
      <c r="LKC5"/>
      <c r="LKD5"/>
      <c r="LKE5"/>
      <c r="LKF5"/>
      <c r="LKG5"/>
      <c r="LKH5"/>
      <c r="LKI5"/>
      <c r="LKJ5"/>
      <c r="LKK5"/>
      <c r="LKL5"/>
      <c r="LKM5"/>
      <c r="LKN5"/>
      <c r="LKO5"/>
      <c r="LKP5"/>
      <c r="LKQ5"/>
      <c r="LKR5"/>
      <c r="LKS5"/>
      <c r="LKT5"/>
      <c r="LKU5"/>
      <c r="LKV5"/>
      <c r="LKW5"/>
      <c r="LKX5"/>
      <c r="LKY5"/>
      <c r="LKZ5"/>
      <c r="LLA5"/>
      <c r="LLB5"/>
      <c r="LLC5"/>
      <c r="LLD5"/>
      <c r="LLE5"/>
      <c r="LLF5"/>
      <c r="LLG5"/>
      <c r="LLH5"/>
      <c r="LLI5"/>
      <c r="LLJ5"/>
      <c r="LLK5"/>
      <c r="LLL5"/>
      <c r="LLM5"/>
      <c r="LLN5"/>
      <c r="LLO5"/>
      <c r="LLP5"/>
      <c r="LLQ5"/>
      <c r="LLR5"/>
      <c r="LLS5"/>
      <c r="LLT5"/>
      <c r="LLU5"/>
      <c r="LLV5"/>
      <c r="LLW5"/>
      <c r="LLX5"/>
      <c r="LLY5"/>
      <c r="LLZ5"/>
      <c r="LMA5"/>
      <c r="LMB5"/>
      <c r="LMC5"/>
      <c r="LMD5"/>
      <c r="LME5"/>
      <c r="LMF5"/>
      <c r="LMG5"/>
      <c r="LMH5"/>
      <c r="LMI5"/>
      <c r="LMJ5"/>
      <c r="LMK5"/>
      <c r="LML5"/>
      <c r="LMM5"/>
      <c r="LMN5"/>
      <c r="LMO5"/>
      <c r="LMP5"/>
      <c r="LMQ5"/>
      <c r="LMR5"/>
      <c r="LMS5"/>
      <c r="LMT5"/>
      <c r="LMU5"/>
      <c r="LMV5"/>
      <c r="LMW5"/>
      <c r="LMX5"/>
      <c r="LMY5"/>
      <c r="LMZ5"/>
      <c r="LNA5"/>
      <c r="LNB5"/>
      <c r="LNC5"/>
      <c r="LND5"/>
      <c r="LNE5"/>
      <c r="LNF5"/>
      <c r="LNG5"/>
      <c r="LNH5"/>
      <c r="LNI5"/>
      <c r="LNJ5"/>
      <c r="LNK5"/>
      <c r="LNL5"/>
      <c r="LNM5"/>
      <c r="LNN5"/>
      <c r="LNO5"/>
      <c r="LNP5"/>
      <c r="LNQ5"/>
      <c r="LNR5"/>
      <c r="LNS5"/>
      <c r="LNT5"/>
      <c r="LNU5"/>
      <c r="LNV5"/>
      <c r="LNW5"/>
      <c r="LNX5"/>
      <c r="LNY5"/>
      <c r="LNZ5"/>
      <c r="LOA5"/>
      <c r="LOB5"/>
      <c r="LOC5"/>
      <c r="LOD5"/>
      <c r="LOE5"/>
      <c r="LOF5"/>
      <c r="LOG5"/>
      <c r="LOH5"/>
      <c r="LOI5"/>
      <c r="LOJ5"/>
      <c r="LOK5"/>
      <c r="LOL5"/>
      <c r="LOM5"/>
      <c r="LON5"/>
      <c r="LOO5"/>
      <c r="LOP5"/>
      <c r="LOQ5"/>
      <c r="LOR5"/>
      <c r="LOS5"/>
      <c r="LOT5"/>
      <c r="LOU5"/>
      <c r="LOV5"/>
      <c r="LOW5"/>
      <c r="LOX5"/>
      <c r="LOY5"/>
      <c r="LOZ5"/>
      <c r="LPA5"/>
      <c r="LPB5"/>
      <c r="LPC5"/>
      <c r="LPD5"/>
      <c r="LPE5"/>
      <c r="LPF5"/>
      <c r="LPG5"/>
      <c r="LPH5"/>
      <c r="LPI5"/>
      <c r="LPJ5"/>
      <c r="LPK5"/>
      <c r="LPL5"/>
      <c r="LPM5"/>
      <c r="LPN5"/>
      <c r="LPO5"/>
      <c r="LPP5"/>
      <c r="LPQ5"/>
      <c r="LPR5"/>
      <c r="LPS5"/>
      <c r="LPT5"/>
      <c r="LPU5"/>
      <c r="LPV5"/>
      <c r="LPW5"/>
      <c r="LPX5"/>
      <c r="LPY5"/>
      <c r="LPZ5"/>
      <c r="LQA5"/>
      <c r="LQB5"/>
      <c r="LQC5"/>
      <c r="LQD5"/>
      <c r="LQE5"/>
      <c r="LQF5"/>
      <c r="LQG5"/>
      <c r="LQH5"/>
      <c r="LQI5"/>
      <c r="LQJ5"/>
      <c r="LQK5"/>
      <c r="LQL5"/>
      <c r="LQM5"/>
      <c r="LQN5"/>
      <c r="LQO5"/>
      <c r="LQP5"/>
      <c r="LQQ5"/>
      <c r="LQR5"/>
      <c r="LQS5"/>
      <c r="LQT5"/>
      <c r="LQU5"/>
      <c r="LQV5"/>
      <c r="LQW5"/>
      <c r="LQX5"/>
      <c r="LQY5"/>
      <c r="LQZ5"/>
      <c r="LRA5"/>
      <c r="LRB5"/>
      <c r="LRC5"/>
      <c r="LRD5"/>
      <c r="LRE5"/>
      <c r="LRF5"/>
      <c r="LRG5"/>
      <c r="LRH5"/>
      <c r="LRI5"/>
      <c r="LRJ5"/>
      <c r="LRK5"/>
      <c r="LRL5"/>
      <c r="LRM5"/>
      <c r="LRN5"/>
      <c r="LRO5"/>
      <c r="LRP5"/>
      <c r="LRQ5"/>
      <c r="LRR5"/>
      <c r="LRS5"/>
      <c r="LRT5"/>
      <c r="LRU5"/>
      <c r="LRV5"/>
      <c r="LRW5"/>
      <c r="LRX5"/>
      <c r="LRY5"/>
      <c r="LRZ5"/>
      <c r="LSA5"/>
      <c r="LSB5"/>
      <c r="LSC5"/>
      <c r="LSD5"/>
      <c r="LSE5"/>
      <c r="LSF5"/>
      <c r="LSG5"/>
      <c r="LSH5"/>
      <c r="LSI5"/>
      <c r="LSJ5"/>
      <c r="LSK5"/>
      <c r="LSL5"/>
      <c r="LSM5"/>
      <c r="LSN5"/>
      <c r="LSO5"/>
      <c r="LSP5"/>
      <c r="LSQ5"/>
      <c r="LSR5"/>
      <c r="LSS5"/>
      <c r="LST5"/>
      <c r="LSU5"/>
      <c r="LSV5"/>
      <c r="LSW5"/>
      <c r="LSX5"/>
      <c r="LSY5"/>
      <c r="LSZ5"/>
      <c r="LTA5"/>
      <c r="LTB5"/>
      <c r="LTC5"/>
      <c r="LTD5"/>
      <c r="LTE5"/>
      <c r="LTF5"/>
      <c r="LTG5"/>
      <c r="LTH5"/>
      <c r="LTI5"/>
      <c r="LTJ5"/>
      <c r="LTK5"/>
      <c r="LTL5"/>
      <c r="LTM5"/>
      <c r="LTN5"/>
      <c r="LTO5"/>
      <c r="LTP5"/>
      <c r="LTQ5"/>
      <c r="LTR5"/>
      <c r="LTS5"/>
      <c r="LTT5"/>
      <c r="LTU5"/>
      <c r="LTV5"/>
      <c r="LTW5"/>
      <c r="LTX5"/>
      <c r="LTY5"/>
      <c r="LTZ5"/>
      <c r="LUA5"/>
      <c r="LUB5"/>
      <c r="LUC5"/>
      <c r="LUD5"/>
      <c r="LUE5"/>
      <c r="LUF5"/>
      <c r="LUG5"/>
      <c r="LUH5"/>
      <c r="LUI5"/>
      <c r="LUJ5"/>
      <c r="LUK5"/>
      <c r="LUL5"/>
      <c r="LUM5"/>
      <c r="LUN5"/>
      <c r="LUO5"/>
      <c r="LUP5"/>
      <c r="LUQ5"/>
      <c r="LUR5"/>
      <c r="LUS5"/>
      <c r="LUT5"/>
      <c r="LUU5"/>
      <c r="LUV5"/>
      <c r="LUW5"/>
      <c r="LUX5"/>
      <c r="LUY5"/>
      <c r="LUZ5"/>
      <c r="LVA5"/>
      <c r="LVB5"/>
      <c r="LVC5"/>
      <c r="LVD5"/>
      <c r="LVE5"/>
      <c r="LVF5"/>
      <c r="LVG5"/>
      <c r="LVH5"/>
      <c r="LVI5"/>
      <c r="LVJ5"/>
      <c r="LVK5"/>
      <c r="LVL5"/>
      <c r="LVM5"/>
      <c r="LVN5"/>
      <c r="LVO5"/>
      <c r="LVP5"/>
      <c r="LVQ5"/>
      <c r="LVR5"/>
      <c r="LVS5"/>
      <c r="LVT5"/>
      <c r="LVU5"/>
      <c r="LVV5"/>
      <c r="LVW5"/>
      <c r="LVX5"/>
      <c r="LVY5"/>
      <c r="LVZ5"/>
      <c r="LWA5"/>
      <c r="LWB5"/>
      <c r="LWC5"/>
      <c r="LWD5"/>
      <c r="LWE5"/>
      <c r="LWF5"/>
      <c r="LWG5"/>
      <c r="LWH5"/>
      <c r="LWI5"/>
      <c r="LWJ5"/>
      <c r="LWK5"/>
      <c r="LWL5"/>
      <c r="LWM5"/>
      <c r="LWN5"/>
      <c r="LWO5"/>
      <c r="LWP5"/>
      <c r="LWQ5"/>
      <c r="LWR5"/>
      <c r="LWS5"/>
      <c r="LWT5"/>
      <c r="LWU5"/>
      <c r="LWV5"/>
      <c r="LWW5"/>
      <c r="LWX5"/>
      <c r="LWY5"/>
      <c r="LWZ5"/>
      <c r="LXA5"/>
      <c r="LXB5"/>
      <c r="LXC5"/>
      <c r="LXD5"/>
      <c r="LXE5"/>
      <c r="LXF5"/>
      <c r="LXG5"/>
      <c r="LXH5"/>
      <c r="LXI5"/>
      <c r="LXJ5"/>
      <c r="LXK5"/>
      <c r="LXL5"/>
      <c r="LXM5"/>
      <c r="LXN5"/>
      <c r="LXO5"/>
      <c r="LXP5"/>
      <c r="LXQ5"/>
      <c r="LXR5"/>
      <c r="LXS5"/>
      <c r="LXT5"/>
      <c r="LXU5"/>
      <c r="LXV5"/>
      <c r="LXW5"/>
      <c r="LXX5"/>
      <c r="LXY5"/>
      <c r="LXZ5"/>
      <c r="LYA5"/>
      <c r="LYB5"/>
      <c r="LYC5"/>
      <c r="LYD5"/>
      <c r="LYE5"/>
      <c r="LYF5"/>
      <c r="LYG5"/>
      <c r="LYH5"/>
      <c r="LYI5"/>
      <c r="LYJ5"/>
      <c r="LYK5"/>
      <c r="LYL5"/>
      <c r="LYM5"/>
      <c r="LYN5"/>
      <c r="LYO5"/>
      <c r="LYP5"/>
      <c r="LYQ5"/>
      <c r="LYR5"/>
      <c r="LYS5"/>
      <c r="LYT5"/>
      <c r="LYU5"/>
      <c r="LYV5"/>
      <c r="LYW5"/>
      <c r="LYX5"/>
      <c r="LYY5"/>
      <c r="LYZ5"/>
      <c r="LZA5"/>
      <c r="LZB5"/>
      <c r="LZC5"/>
      <c r="LZD5"/>
      <c r="LZE5"/>
      <c r="LZF5"/>
      <c r="LZG5"/>
      <c r="LZH5"/>
      <c r="LZI5"/>
      <c r="LZJ5"/>
      <c r="LZK5"/>
      <c r="LZL5"/>
      <c r="LZM5"/>
      <c r="LZN5"/>
      <c r="LZO5"/>
      <c r="LZP5"/>
      <c r="LZQ5"/>
      <c r="LZR5"/>
      <c r="LZS5"/>
      <c r="LZT5"/>
      <c r="LZU5"/>
      <c r="LZV5"/>
      <c r="LZW5"/>
      <c r="LZX5"/>
      <c r="LZY5"/>
      <c r="LZZ5"/>
      <c r="MAA5"/>
      <c r="MAB5"/>
      <c r="MAC5"/>
      <c r="MAD5"/>
      <c r="MAE5"/>
      <c r="MAF5"/>
      <c r="MAG5"/>
      <c r="MAH5"/>
      <c r="MAI5"/>
      <c r="MAJ5"/>
      <c r="MAK5"/>
      <c r="MAL5"/>
      <c r="MAM5"/>
      <c r="MAN5"/>
      <c r="MAO5"/>
      <c r="MAP5"/>
      <c r="MAQ5"/>
      <c r="MAR5"/>
      <c r="MAS5"/>
      <c r="MAT5"/>
      <c r="MAU5"/>
      <c r="MAV5"/>
      <c r="MAW5"/>
      <c r="MAX5"/>
      <c r="MAY5"/>
      <c r="MAZ5"/>
      <c r="MBA5"/>
      <c r="MBB5"/>
      <c r="MBC5"/>
      <c r="MBD5"/>
      <c r="MBE5"/>
      <c r="MBF5"/>
      <c r="MBG5"/>
      <c r="MBH5"/>
      <c r="MBI5"/>
      <c r="MBJ5"/>
      <c r="MBK5"/>
      <c r="MBL5"/>
      <c r="MBM5"/>
      <c r="MBN5"/>
      <c r="MBO5"/>
      <c r="MBP5"/>
      <c r="MBQ5"/>
      <c r="MBR5"/>
      <c r="MBS5"/>
      <c r="MBT5"/>
      <c r="MBU5"/>
      <c r="MBV5"/>
      <c r="MBW5"/>
      <c r="MBX5"/>
      <c r="MBY5"/>
      <c r="MBZ5"/>
      <c r="MCA5"/>
      <c r="MCB5"/>
      <c r="MCC5"/>
      <c r="MCD5"/>
      <c r="MCE5"/>
      <c r="MCF5"/>
      <c r="MCG5"/>
      <c r="MCH5"/>
      <c r="MCI5"/>
      <c r="MCJ5"/>
      <c r="MCK5"/>
      <c r="MCL5"/>
      <c r="MCM5"/>
      <c r="MCN5"/>
      <c r="MCO5"/>
      <c r="MCP5"/>
      <c r="MCQ5"/>
      <c r="MCR5"/>
      <c r="MCS5"/>
      <c r="MCT5"/>
      <c r="MCU5"/>
      <c r="MCV5"/>
      <c r="MCW5"/>
      <c r="MCX5"/>
      <c r="MCY5"/>
      <c r="MCZ5"/>
      <c r="MDA5"/>
      <c r="MDB5"/>
      <c r="MDC5"/>
      <c r="MDD5"/>
      <c r="MDE5"/>
      <c r="MDF5"/>
      <c r="MDG5"/>
      <c r="MDH5"/>
      <c r="MDI5"/>
      <c r="MDJ5"/>
      <c r="MDK5"/>
      <c r="MDL5"/>
      <c r="MDM5"/>
      <c r="MDN5"/>
      <c r="MDO5"/>
      <c r="MDP5"/>
      <c r="MDQ5"/>
      <c r="MDR5"/>
      <c r="MDS5"/>
      <c r="MDT5"/>
      <c r="MDU5"/>
      <c r="MDV5"/>
      <c r="MDW5"/>
      <c r="MDX5"/>
      <c r="MDY5"/>
      <c r="MDZ5"/>
      <c r="MEA5"/>
      <c r="MEB5"/>
      <c r="MEC5"/>
      <c r="MED5"/>
      <c r="MEE5"/>
      <c r="MEF5"/>
      <c r="MEG5"/>
      <c r="MEH5"/>
      <c r="MEI5"/>
      <c r="MEJ5"/>
      <c r="MEK5"/>
      <c r="MEL5"/>
      <c r="MEM5"/>
      <c r="MEN5"/>
      <c r="MEO5"/>
      <c r="MEP5"/>
      <c r="MEQ5"/>
      <c r="MER5"/>
      <c r="MES5"/>
      <c r="MET5"/>
      <c r="MEU5"/>
      <c r="MEV5"/>
      <c r="MEW5"/>
      <c r="MEX5"/>
      <c r="MEY5"/>
      <c r="MEZ5"/>
      <c r="MFA5"/>
      <c r="MFB5"/>
      <c r="MFC5"/>
      <c r="MFD5"/>
      <c r="MFE5"/>
      <c r="MFF5"/>
      <c r="MFG5"/>
      <c r="MFH5"/>
      <c r="MFI5"/>
      <c r="MFJ5"/>
      <c r="MFK5"/>
      <c r="MFL5"/>
      <c r="MFM5"/>
      <c r="MFN5"/>
      <c r="MFO5"/>
      <c r="MFP5"/>
      <c r="MFQ5"/>
      <c r="MFR5"/>
      <c r="MFS5"/>
      <c r="MFT5"/>
      <c r="MFU5"/>
      <c r="MFV5"/>
      <c r="MFW5"/>
      <c r="MFX5"/>
      <c r="MFY5"/>
      <c r="MFZ5"/>
      <c r="MGA5"/>
      <c r="MGB5"/>
      <c r="MGC5"/>
      <c r="MGD5"/>
      <c r="MGE5"/>
      <c r="MGF5"/>
      <c r="MGG5"/>
      <c r="MGH5"/>
      <c r="MGI5"/>
      <c r="MGJ5"/>
      <c r="MGK5"/>
      <c r="MGL5"/>
      <c r="MGM5"/>
      <c r="MGN5"/>
      <c r="MGO5"/>
      <c r="MGP5"/>
      <c r="MGQ5"/>
      <c r="MGR5"/>
      <c r="MGS5"/>
      <c r="MGT5"/>
      <c r="MGU5"/>
      <c r="MGV5"/>
      <c r="MGW5"/>
      <c r="MGX5"/>
      <c r="MGY5"/>
      <c r="MGZ5"/>
      <c r="MHA5"/>
      <c r="MHB5"/>
      <c r="MHC5"/>
      <c r="MHD5"/>
      <c r="MHE5"/>
      <c r="MHF5"/>
      <c r="MHG5"/>
      <c r="MHH5"/>
      <c r="MHI5"/>
      <c r="MHJ5"/>
      <c r="MHK5"/>
      <c r="MHL5"/>
      <c r="MHM5"/>
      <c r="MHN5"/>
      <c r="MHO5"/>
      <c r="MHP5"/>
      <c r="MHQ5"/>
      <c r="MHR5"/>
      <c r="MHS5"/>
      <c r="MHT5"/>
      <c r="MHU5"/>
      <c r="MHV5"/>
      <c r="MHW5"/>
      <c r="MHX5"/>
      <c r="MHY5"/>
      <c r="MHZ5"/>
      <c r="MIA5"/>
      <c r="MIB5"/>
      <c r="MIC5"/>
      <c r="MID5"/>
      <c r="MIE5"/>
      <c r="MIF5"/>
      <c r="MIG5"/>
      <c r="MIH5"/>
      <c r="MII5"/>
      <c r="MIJ5"/>
      <c r="MIK5"/>
      <c r="MIL5"/>
      <c r="MIM5"/>
      <c r="MIN5"/>
      <c r="MIO5"/>
      <c r="MIP5"/>
      <c r="MIQ5"/>
      <c r="MIR5"/>
      <c r="MIS5"/>
      <c r="MIT5"/>
      <c r="MIU5"/>
      <c r="MIV5"/>
      <c r="MIW5"/>
      <c r="MIX5"/>
      <c r="MIY5"/>
      <c r="MIZ5"/>
      <c r="MJA5"/>
      <c r="MJB5"/>
      <c r="MJC5"/>
      <c r="MJD5"/>
      <c r="MJE5"/>
      <c r="MJF5"/>
      <c r="MJG5"/>
      <c r="MJH5"/>
      <c r="MJI5"/>
      <c r="MJJ5"/>
      <c r="MJK5"/>
      <c r="MJL5"/>
      <c r="MJM5"/>
      <c r="MJN5"/>
      <c r="MJO5"/>
      <c r="MJP5"/>
      <c r="MJQ5"/>
      <c r="MJR5"/>
      <c r="MJS5"/>
      <c r="MJT5"/>
      <c r="MJU5"/>
      <c r="MJV5"/>
      <c r="MJW5"/>
      <c r="MJX5"/>
      <c r="MJY5"/>
      <c r="MJZ5"/>
      <c r="MKA5"/>
      <c r="MKB5"/>
      <c r="MKC5"/>
      <c r="MKD5"/>
      <c r="MKE5"/>
      <c r="MKF5"/>
      <c r="MKG5"/>
      <c r="MKH5"/>
      <c r="MKI5"/>
      <c r="MKJ5"/>
      <c r="MKK5"/>
      <c r="MKL5"/>
      <c r="MKM5"/>
      <c r="MKN5"/>
      <c r="MKO5"/>
      <c r="MKP5"/>
      <c r="MKQ5"/>
      <c r="MKR5"/>
      <c r="MKS5"/>
      <c r="MKT5"/>
      <c r="MKU5"/>
      <c r="MKV5"/>
      <c r="MKW5"/>
      <c r="MKX5"/>
      <c r="MKY5"/>
      <c r="MKZ5"/>
      <c r="MLA5"/>
      <c r="MLB5"/>
      <c r="MLC5"/>
      <c r="MLD5"/>
      <c r="MLE5"/>
      <c r="MLF5"/>
      <c r="MLG5"/>
      <c r="MLH5"/>
      <c r="MLI5"/>
      <c r="MLJ5"/>
      <c r="MLK5"/>
      <c r="MLL5"/>
      <c r="MLM5"/>
      <c r="MLN5"/>
      <c r="MLO5"/>
      <c r="MLP5"/>
      <c r="MLQ5"/>
      <c r="MLR5"/>
      <c r="MLS5"/>
      <c r="MLT5"/>
      <c r="MLU5"/>
      <c r="MLV5"/>
      <c r="MLW5"/>
      <c r="MLX5"/>
      <c r="MLY5"/>
      <c r="MLZ5"/>
      <c r="MMA5"/>
      <c r="MMB5"/>
      <c r="MMC5"/>
      <c r="MMD5"/>
      <c r="MME5"/>
      <c r="MMF5"/>
      <c r="MMG5"/>
      <c r="MMH5"/>
      <c r="MMI5"/>
      <c r="MMJ5"/>
      <c r="MMK5"/>
      <c r="MML5"/>
      <c r="MMM5"/>
      <c r="MMN5"/>
      <c r="MMO5"/>
      <c r="MMP5"/>
      <c r="MMQ5"/>
      <c r="MMR5"/>
      <c r="MMS5"/>
      <c r="MMT5"/>
      <c r="MMU5"/>
      <c r="MMV5"/>
      <c r="MMW5"/>
      <c r="MMX5"/>
      <c r="MMY5"/>
      <c r="MMZ5"/>
      <c r="MNA5"/>
      <c r="MNB5"/>
      <c r="MNC5"/>
      <c r="MND5"/>
      <c r="MNE5"/>
      <c r="MNF5"/>
      <c r="MNG5"/>
      <c r="MNH5"/>
      <c r="MNI5"/>
      <c r="MNJ5"/>
      <c r="MNK5"/>
      <c r="MNL5"/>
      <c r="MNM5"/>
      <c r="MNN5"/>
      <c r="MNO5"/>
      <c r="MNP5"/>
      <c r="MNQ5"/>
      <c r="MNR5"/>
      <c r="MNS5"/>
      <c r="MNT5"/>
      <c r="MNU5"/>
      <c r="MNV5"/>
      <c r="MNW5"/>
      <c r="MNX5"/>
      <c r="MNY5"/>
      <c r="MNZ5"/>
      <c r="MOA5"/>
      <c r="MOB5"/>
      <c r="MOC5"/>
      <c r="MOD5"/>
      <c r="MOE5"/>
      <c r="MOF5"/>
      <c r="MOG5"/>
      <c r="MOH5"/>
      <c r="MOI5"/>
      <c r="MOJ5"/>
      <c r="MOK5"/>
      <c r="MOL5"/>
      <c r="MOM5"/>
      <c r="MON5"/>
      <c r="MOO5"/>
      <c r="MOP5"/>
      <c r="MOQ5"/>
      <c r="MOR5"/>
      <c r="MOS5"/>
      <c r="MOT5"/>
      <c r="MOU5"/>
      <c r="MOV5"/>
      <c r="MOW5"/>
      <c r="MOX5"/>
      <c r="MOY5"/>
      <c r="MOZ5"/>
      <c r="MPA5"/>
      <c r="MPB5"/>
      <c r="MPC5"/>
      <c r="MPD5"/>
      <c r="MPE5"/>
      <c r="MPF5"/>
      <c r="MPG5"/>
      <c r="MPH5"/>
      <c r="MPI5"/>
      <c r="MPJ5"/>
      <c r="MPK5"/>
      <c r="MPL5"/>
      <c r="MPM5"/>
      <c r="MPN5"/>
      <c r="MPO5"/>
      <c r="MPP5"/>
      <c r="MPQ5"/>
      <c r="MPR5"/>
      <c r="MPS5"/>
      <c r="MPT5"/>
      <c r="MPU5"/>
      <c r="MPV5"/>
      <c r="MPW5"/>
      <c r="MPX5"/>
      <c r="MPY5"/>
      <c r="MPZ5"/>
      <c r="MQA5"/>
      <c r="MQB5"/>
      <c r="MQC5"/>
      <c r="MQD5"/>
      <c r="MQE5"/>
      <c r="MQF5"/>
      <c r="MQG5"/>
      <c r="MQH5"/>
      <c r="MQI5"/>
      <c r="MQJ5"/>
      <c r="MQK5"/>
      <c r="MQL5"/>
      <c r="MQM5"/>
      <c r="MQN5"/>
      <c r="MQO5"/>
      <c r="MQP5"/>
      <c r="MQQ5"/>
      <c r="MQR5"/>
      <c r="MQS5"/>
      <c r="MQT5"/>
      <c r="MQU5"/>
      <c r="MQV5"/>
      <c r="MQW5"/>
      <c r="MQX5"/>
      <c r="MQY5"/>
      <c r="MQZ5"/>
      <c r="MRA5"/>
      <c r="MRB5"/>
      <c r="MRC5"/>
      <c r="MRD5"/>
      <c r="MRE5"/>
      <c r="MRF5"/>
      <c r="MRG5"/>
      <c r="MRH5"/>
      <c r="MRI5"/>
      <c r="MRJ5"/>
      <c r="MRK5"/>
      <c r="MRL5"/>
      <c r="MRM5"/>
      <c r="MRN5"/>
      <c r="MRO5"/>
      <c r="MRP5"/>
      <c r="MRQ5"/>
      <c r="MRR5"/>
      <c r="MRS5"/>
      <c r="MRT5"/>
      <c r="MRU5"/>
      <c r="MRV5"/>
      <c r="MRW5"/>
      <c r="MRX5"/>
      <c r="MRY5"/>
      <c r="MRZ5"/>
      <c r="MSA5"/>
      <c r="MSB5"/>
      <c r="MSC5"/>
      <c r="MSD5"/>
      <c r="MSE5"/>
      <c r="MSF5"/>
      <c r="MSG5"/>
      <c r="MSH5"/>
      <c r="MSI5"/>
      <c r="MSJ5"/>
      <c r="MSK5"/>
      <c r="MSL5"/>
      <c r="MSM5"/>
      <c r="MSN5"/>
      <c r="MSO5"/>
      <c r="MSP5"/>
      <c r="MSQ5"/>
      <c r="MSR5"/>
      <c r="MSS5"/>
      <c r="MST5"/>
      <c r="MSU5"/>
      <c r="MSV5"/>
      <c r="MSW5"/>
      <c r="MSX5"/>
      <c r="MSY5"/>
      <c r="MSZ5"/>
      <c r="MTA5"/>
      <c r="MTB5"/>
      <c r="MTC5"/>
      <c r="MTD5"/>
      <c r="MTE5"/>
      <c r="MTF5"/>
      <c r="MTG5"/>
      <c r="MTH5"/>
      <c r="MTI5"/>
      <c r="MTJ5"/>
      <c r="MTK5"/>
      <c r="MTL5"/>
      <c r="MTM5"/>
      <c r="MTN5"/>
      <c r="MTO5"/>
      <c r="MTP5"/>
      <c r="MTQ5"/>
      <c r="MTR5"/>
      <c r="MTS5"/>
      <c r="MTT5"/>
      <c r="MTU5"/>
      <c r="MTV5"/>
      <c r="MTW5"/>
      <c r="MTX5"/>
      <c r="MTY5"/>
      <c r="MTZ5"/>
      <c r="MUA5"/>
      <c r="MUB5"/>
      <c r="MUC5"/>
      <c r="MUD5"/>
      <c r="MUE5"/>
      <c r="MUF5"/>
      <c r="MUG5"/>
      <c r="MUH5"/>
      <c r="MUI5"/>
      <c r="MUJ5"/>
      <c r="MUK5"/>
      <c r="MUL5"/>
      <c r="MUM5"/>
      <c r="MUN5"/>
      <c r="MUO5"/>
      <c r="MUP5"/>
      <c r="MUQ5"/>
      <c r="MUR5"/>
      <c r="MUS5"/>
      <c r="MUT5"/>
      <c r="MUU5"/>
      <c r="MUV5"/>
      <c r="MUW5"/>
      <c r="MUX5"/>
      <c r="MUY5"/>
      <c r="MUZ5"/>
      <c r="MVA5"/>
      <c r="MVB5"/>
      <c r="MVC5"/>
      <c r="MVD5"/>
      <c r="MVE5"/>
      <c r="MVF5"/>
      <c r="MVG5"/>
      <c r="MVH5"/>
      <c r="MVI5"/>
      <c r="MVJ5"/>
      <c r="MVK5"/>
      <c r="MVL5"/>
      <c r="MVM5"/>
      <c r="MVN5"/>
      <c r="MVO5"/>
      <c r="MVP5"/>
      <c r="MVQ5"/>
      <c r="MVR5"/>
      <c r="MVS5"/>
      <c r="MVT5"/>
      <c r="MVU5"/>
      <c r="MVV5"/>
      <c r="MVW5"/>
      <c r="MVX5"/>
      <c r="MVY5"/>
      <c r="MVZ5"/>
      <c r="MWA5"/>
      <c r="MWB5"/>
      <c r="MWC5"/>
      <c r="MWD5"/>
      <c r="MWE5"/>
      <c r="MWF5"/>
      <c r="MWG5"/>
      <c r="MWH5"/>
      <c r="MWI5"/>
      <c r="MWJ5"/>
      <c r="MWK5"/>
      <c r="MWL5"/>
      <c r="MWM5"/>
      <c r="MWN5"/>
      <c r="MWO5"/>
      <c r="MWP5"/>
      <c r="MWQ5"/>
      <c r="MWR5"/>
      <c r="MWS5"/>
      <c r="MWT5"/>
      <c r="MWU5"/>
      <c r="MWV5"/>
      <c r="MWW5"/>
      <c r="MWX5"/>
      <c r="MWY5"/>
      <c r="MWZ5"/>
      <c r="MXA5"/>
      <c r="MXB5"/>
      <c r="MXC5"/>
      <c r="MXD5"/>
      <c r="MXE5"/>
      <c r="MXF5"/>
      <c r="MXG5"/>
      <c r="MXH5"/>
      <c r="MXI5"/>
      <c r="MXJ5"/>
      <c r="MXK5"/>
      <c r="MXL5"/>
      <c r="MXM5"/>
      <c r="MXN5"/>
      <c r="MXO5"/>
      <c r="MXP5"/>
      <c r="MXQ5"/>
      <c r="MXR5"/>
      <c r="MXS5"/>
      <c r="MXT5"/>
      <c r="MXU5"/>
      <c r="MXV5"/>
      <c r="MXW5"/>
      <c r="MXX5"/>
      <c r="MXY5"/>
      <c r="MXZ5"/>
      <c r="MYA5"/>
      <c r="MYB5"/>
      <c r="MYC5"/>
      <c r="MYD5"/>
      <c r="MYE5"/>
      <c r="MYF5"/>
      <c r="MYG5"/>
      <c r="MYH5"/>
      <c r="MYI5"/>
      <c r="MYJ5"/>
      <c r="MYK5"/>
      <c r="MYL5"/>
      <c r="MYM5"/>
      <c r="MYN5"/>
      <c r="MYO5"/>
      <c r="MYP5"/>
      <c r="MYQ5"/>
      <c r="MYR5"/>
      <c r="MYS5"/>
      <c r="MYT5"/>
      <c r="MYU5"/>
      <c r="MYV5"/>
      <c r="MYW5"/>
      <c r="MYX5"/>
      <c r="MYY5"/>
      <c r="MYZ5"/>
      <c r="MZA5"/>
      <c r="MZB5"/>
      <c r="MZC5"/>
      <c r="MZD5"/>
      <c r="MZE5"/>
      <c r="MZF5"/>
      <c r="MZG5"/>
      <c r="MZH5"/>
      <c r="MZI5"/>
      <c r="MZJ5"/>
      <c r="MZK5"/>
      <c r="MZL5"/>
      <c r="MZM5"/>
      <c r="MZN5"/>
      <c r="MZO5"/>
      <c r="MZP5"/>
      <c r="MZQ5"/>
      <c r="MZR5"/>
      <c r="MZS5"/>
      <c r="MZT5"/>
      <c r="MZU5"/>
      <c r="MZV5"/>
      <c r="MZW5"/>
      <c r="MZX5"/>
      <c r="MZY5"/>
      <c r="MZZ5"/>
      <c r="NAA5"/>
      <c r="NAB5"/>
      <c r="NAC5"/>
      <c r="NAD5"/>
      <c r="NAE5"/>
      <c r="NAF5"/>
      <c r="NAG5"/>
      <c r="NAH5"/>
      <c r="NAI5"/>
      <c r="NAJ5"/>
      <c r="NAK5"/>
      <c r="NAL5"/>
      <c r="NAM5"/>
      <c r="NAN5"/>
      <c r="NAO5"/>
      <c r="NAP5"/>
      <c r="NAQ5"/>
      <c r="NAR5"/>
      <c r="NAS5"/>
      <c r="NAT5"/>
      <c r="NAU5"/>
      <c r="NAV5"/>
      <c r="NAW5"/>
      <c r="NAX5"/>
      <c r="NAY5"/>
      <c r="NAZ5"/>
      <c r="NBA5"/>
      <c r="NBB5"/>
      <c r="NBC5"/>
      <c r="NBD5"/>
      <c r="NBE5"/>
      <c r="NBF5"/>
      <c r="NBG5"/>
      <c r="NBH5"/>
      <c r="NBI5"/>
      <c r="NBJ5"/>
      <c r="NBK5"/>
      <c r="NBL5"/>
      <c r="NBM5"/>
      <c r="NBN5"/>
      <c r="NBO5"/>
      <c r="NBP5"/>
      <c r="NBQ5"/>
      <c r="NBR5"/>
      <c r="NBS5"/>
      <c r="NBT5"/>
      <c r="NBU5"/>
      <c r="NBV5"/>
      <c r="NBW5"/>
      <c r="NBX5"/>
      <c r="NBY5"/>
      <c r="NBZ5"/>
      <c r="NCA5"/>
      <c r="NCB5"/>
      <c r="NCC5"/>
      <c r="NCD5"/>
      <c r="NCE5"/>
      <c r="NCF5"/>
      <c r="NCG5"/>
      <c r="NCH5"/>
      <c r="NCI5"/>
      <c r="NCJ5"/>
      <c r="NCK5"/>
      <c r="NCL5"/>
      <c r="NCM5"/>
      <c r="NCN5"/>
      <c r="NCO5"/>
      <c r="NCP5"/>
      <c r="NCQ5"/>
      <c r="NCR5"/>
      <c r="NCS5"/>
      <c r="NCT5"/>
      <c r="NCU5"/>
      <c r="NCV5"/>
      <c r="NCW5"/>
      <c r="NCX5"/>
      <c r="NCY5"/>
      <c r="NCZ5"/>
      <c r="NDA5"/>
      <c r="NDB5"/>
      <c r="NDC5"/>
      <c r="NDD5"/>
      <c r="NDE5"/>
      <c r="NDF5"/>
      <c r="NDG5"/>
      <c r="NDH5"/>
      <c r="NDI5"/>
      <c r="NDJ5"/>
      <c r="NDK5"/>
      <c r="NDL5"/>
      <c r="NDM5"/>
      <c r="NDN5"/>
      <c r="NDO5"/>
      <c r="NDP5"/>
      <c r="NDQ5"/>
      <c r="NDR5"/>
      <c r="NDS5"/>
      <c r="NDT5"/>
      <c r="NDU5"/>
      <c r="NDV5"/>
      <c r="NDW5"/>
      <c r="NDX5"/>
      <c r="NDY5"/>
      <c r="NDZ5"/>
      <c r="NEA5"/>
      <c r="NEB5"/>
      <c r="NEC5"/>
      <c r="NED5"/>
      <c r="NEE5"/>
      <c r="NEF5"/>
      <c r="NEG5"/>
      <c r="NEH5"/>
      <c r="NEI5"/>
      <c r="NEJ5"/>
      <c r="NEK5"/>
      <c r="NEL5"/>
      <c r="NEM5"/>
      <c r="NEN5"/>
      <c r="NEO5"/>
      <c r="NEP5"/>
      <c r="NEQ5"/>
      <c r="NER5"/>
      <c r="NES5"/>
      <c r="NET5"/>
      <c r="NEU5"/>
      <c r="NEV5"/>
      <c r="NEW5"/>
      <c r="NEX5"/>
      <c r="NEY5"/>
      <c r="NEZ5"/>
      <c r="NFA5"/>
      <c r="NFB5"/>
      <c r="NFC5"/>
      <c r="NFD5"/>
      <c r="NFE5"/>
      <c r="NFF5"/>
      <c r="NFG5"/>
      <c r="NFH5"/>
      <c r="NFI5"/>
      <c r="NFJ5"/>
      <c r="NFK5"/>
      <c r="NFL5"/>
      <c r="NFM5"/>
      <c r="NFN5"/>
      <c r="NFO5"/>
      <c r="NFP5"/>
      <c r="NFQ5"/>
      <c r="NFR5"/>
      <c r="NFS5"/>
      <c r="NFT5"/>
      <c r="NFU5"/>
      <c r="NFV5"/>
      <c r="NFW5"/>
      <c r="NFX5"/>
      <c r="NFY5"/>
      <c r="NFZ5"/>
      <c r="NGA5"/>
      <c r="NGB5"/>
      <c r="NGC5"/>
      <c r="NGD5"/>
      <c r="NGE5"/>
      <c r="NGF5"/>
      <c r="NGG5"/>
      <c r="NGH5"/>
      <c r="NGI5"/>
      <c r="NGJ5"/>
      <c r="NGK5"/>
      <c r="NGL5"/>
      <c r="NGM5"/>
      <c r="NGN5"/>
      <c r="NGO5"/>
      <c r="NGP5"/>
      <c r="NGQ5"/>
      <c r="NGR5"/>
      <c r="NGS5"/>
      <c r="NGT5"/>
      <c r="NGU5"/>
      <c r="NGV5"/>
      <c r="NGW5"/>
      <c r="NGX5"/>
      <c r="NGY5"/>
      <c r="NGZ5"/>
      <c r="NHA5"/>
      <c r="NHB5"/>
      <c r="NHC5"/>
      <c r="NHD5"/>
      <c r="NHE5"/>
      <c r="NHF5"/>
      <c r="NHG5"/>
      <c r="NHH5"/>
      <c r="NHI5"/>
      <c r="NHJ5"/>
      <c r="NHK5"/>
      <c r="NHL5"/>
      <c r="NHM5"/>
      <c r="NHN5"/>
      <c r="NHO5"/>
      <c r="NHP5"/>
      <c r="NHQ5"/>
      <c r="NHR5"/>
      <c r="NHS5"/>
      <c r="NHT5"/>
      <c r="NHU5"/>
      <c r="NHV5"/>
      <c r="NHW5"/>
      <c r="NHX5"/>
      <c r="NHY5"/>
      <c r="NHZ5"/>
      <c r="NIA5"/>
      <c r="NIB5"/>
      <c r="NIC5"/>
      <c r="NID5"/>
      <c r="NIE5"/>
      <c r="NIF5"/>
      <c r="NIG5"/>
      <c r="NIH5"/>
      <c r="NII5"/>
      <c r="NIJ5"/>
      <c r="NIK5"/>
      <c r="NIL5"/>
      <c r="NIM5"/>
      <c r="NIN5"/>
      <c r="NIO5"/>
      <c r="NIP5"/>
      <c r="NIQ5"/>
      <c r="NIR5"/>
      <c r="NIS5"/>
      <c r="NIT5"/>
      <c r="NIU5"/>
      <c r="NIV5"/>
      <c r="NIW5"/>
      <c r="NIX5"/>
      <c r="NIY5"/>
      <c r="NIZ5"/>
      <c r="NJA5"/>
      <c r="NJB5"/>
      <c r="NJC5"/>
      <c r="NJD5"/>
      <c r="NJE5"/>
      <c r="NJF5"/>
      <c r="NJG5"/>
      <c r="NJH5"/>
      <c r="NJI5"/>
      <c r="NJJ5"/>
      <c r="NJK5"/>
      <c r="NJL5"/>
      <c r="NJM5"/>
      <c r="NJN5"/>
      <c r="NJO5"/>
      <c r="NJP5"/>
      <c r="NJQ5"/>
      <c r="NJR5"/>
      <c r="NJS5"/>
      <c r="NJT5"/>
      <c r="NJU5"/>
      <c r="NJV5"/>
      <c r="NJW5"/>
      <c r="NJX5"/>
      <c r="NJY5"/>
      <c r="NJZ5"/>
      <c r="NKA5"/>
      <c r="NKB5"/>
      <c r="NKC5"/>
      <c r="NKD5"/>
      <c r="NKE5"/>
      <c r="NKF5"/>
      <c r="NKG5"/>
      <c r="NKH5"/>
      <c r="NKI5"/>
      <c r="NKJ5"/>
      <c r="NKK5"/>
      <c r="NKL5"/>
      <c r="NKM5"/>
      <c r="NKN5"/>
      <c r="NKO5"/>
      <c r="NKP5"/>
      <c r="NKQ5"/>
      <c r="NKR5"/>
      <c r="NKS5"/>
      <c r="NKT5"/>
      <c r="NKU5"/>
      <c r="NKV5"/>
      <c r="NKW5"/>
      <c r="NKX5"/>
      <c r="NKY5"/>
      <c r="NKZ5"/>
      <c r="NLA5"/>
      <c r="NLB5"/>
      <c r="NLC5"/>
      <c r="NLD5"/>
      <c r="NLE5"/>
      <c r="NLF5"/>
      <c r="NLG5"/>
      <c r="NLH5"/>
      <c r="NLI5"/>
      <c r="NLJ5"/>
      <c r="NLK5"/>
      <c r="NLL5"/>
      <c r="NLM5"/>
      <c r="NLN5"/>
      <c r="NLO5"/>
      <c r="NLP5"/>
      <c r="NLQ5"/>
      <c r="NLR5"/>
      <c r="NLS5"/>
      <c r="NLT5"/>
      <c r="NLU5"/>
      <c r="NLV5"/>
      <c r="NLW5"/>
      <c r="NLX5"/>
      <c r="NLY5"/>
      <c r="NLZ5"/>
      <c r="NMA5"/>
      <c r="NMB5"/>
      <c r="NMC5"/>
      <c r="NMD5"/>
      <c r="NME5"/>
      <c r="NMF5"/>
      <c r="NMG5"/>
      <c r="NMH5"/>
      <c r="NMI5"/>
      <c r="NMJ5"/>
      <c r="NMK5"/>
      <c r="NML5"/>
      <c r="NMM5"/>
      <c r="NMN5"/>
      <c r="NMO5"/>
      <c r="NMP5"/>
      <c r="NMQ5"/>
      <c r="NMR5"/>
      <c r="NMS5"/>
      <c r="NMT5"/>
      <c r="NMU5"/>
      <c r="NMV5"/>
      <c r="NMW5"/>
      <c r="NMX5"/>
      <c r="NMY5"/>
      <c r="NMZ5"/>
      <c r="NNA5"/>
      <c r="NNB5"/>
      <c r="NNC5"/>
      <c r="NND5"/>
      <c r="NNE5"/>
      <c r="NNF5"/>
      <c r="NNG5"/>
      <c r="NNH5"/>
      <c r="NNI5"/>
      <c r="NNJ5"/>
      <c r="NNK5"/>
      <c r="NNL5"/>
      <c r="NNM5"/>
      <c r="NNN5"/>
      <c r="NNO5"/>
      <c r="NNP5"/>
      <c r="NNQ5"/>
      <c r="NNR5"/>
      <c r="NNS5"/>
      <c r="NNT5"/>
      <c r="NNU5"/>
      <c r="NNV5"/>
      <c r="NNW5"/>
      <c r="NNX5"/>
      <c r="NNY5"/>
      <c r="NNZ5"/>
      <c r="NOA5"/>
      <c r="NOB5"/>
      <c r="NOC5"/>
      <c r="NOD5"/>
      <c r="NOE5"/>
      <c r="NOF5"/>
      <c r="NOG5"/>
      <c r="NOH5"/>
      <c r="NOI5"/>
      <c r="NOJ5"/>
      <c r="NOK5"/>
      <c r="NOL5"/>
      <c r="NOM5"/>
      <c r="NON5"/>
      <c r="NOO5"/>
      <c r="NOP5"/>
      <c r="NOQ5"/>
      <c r="NOR5"/>
      <c r="NOS5"/>
      <c r="NOT5"/>
      <c r="NOU5"/>
      <c r="NOV5"/>
      <c r="NOW5"/>
      <c r="NOX5"/>
      <c r="NOY5"/>
      <c r="NOZ5"/>
      <c r="NPA5"/>
      <c r="NPB5"/>
      <c r="NPC5"/>
      <c r="NPD5"/>
      <c r="NPE5"/>
      <c r="NPF5"/>
      <c r="NPG5"/>
      <c r="NPH5"/>
      <c r="NPI5"/>
      <c r="NPJ5"/>
      <c r="NPK5"/>
      <c r="NPL5"/>
      <c r="NPM5"/>
      <c r="NPN5"/>
      <c r="NPO5"/>
      <c r="NPP5"/>
      <c r="NPQ5"/>
      <c r="NPR5"/>
      <c r="NPS5"/>
      <c r="NPT5"/>
      <c r="NPU5"/>
      <c r="NPV5"/>
      <c r="NPW5"/>
      <c r="NPX5"/>
      <c r="NPY5"/>
      <c r="NPZ5"/>
      <c r="NQA5"/>
      <c r="NQB5"/>
      <c r="NQC5"/>
      <c r="NQD5"/>
      <c r="NQE5"/>
      <c r="NQF5"/>
      <c r="NQG5"/>
      <c r="NQH5"/>
      <c r="NQI5"/>
      <c r="NQJ5"/>
      <c r="NQK5"/>
      <c r="NQL5"/>
      <c r="NQM5"/>
      <c r="NQN5"/>
      <c r="NQO5"/>
      <c r="NQP5"/>
      <c r="NQQ5"/>
      <c r="NQR5"/>
      <c r="NQS5"/>
      <c r="NQT5"/>
      <c r="NQU5"/>
      <c r="NQV5"/>
      <c r="NQW5"/>
      <c r="NQX5"/>
      <c r="NQY5"/>
      <c r="NQZ5"/>
      <c r="NRA5"/>
      <c r="NRB5"/>
      <c r="NRC5"/>
      <c r="NRD5"/>
      <c r="NRE5"/>
      <c r="NRF5"/>
      <c r="NRG5"/>
      <c r="NRH5"/>
      <c r="NRI5"/>
      <c r="NRJ5"/>
      <c r="NRK5"/>
      <c r="NRL5"/>
      <c r="NRM5"/>
      <c r="NRN5"/>
      <c r="NRO5"/>
      <c r="NRP5"/>
      <c r="NRQ5"/>
      <c r="NRR5"/>
      <c r="NRS5"/>
      <c r="NRT5"/>
      <c r="NRU5"/>
      <c r="NRV5"/>
      <c r="NRW5"/>
      <c r="NRX5"/>
      <c r="NRY5"/>
      <c r="NRZ5"/>
      <c r="NSA5"/>
      <c r="NSB5"/>
      <c r="NSC5"/>
      <c r="NSD5"/>
      <c r="NSE5"/>
      <c r="NSF5"/>
      <c r="NSG5"/>
      <c r="NSH5"/>
      <c r="NSI5"/>
      <c r="NSJ5"/>
      <c r="NSK5"/>
      <c r="NSL5"/>
      <c r="NSM5"/>
      <c r="NSN5"/>
      <c r="NSO5"/>
      <c r="NSP5"/>
      <c r="NSQ5"/>
      <c r="NSR5"/>
      <c r="NSS5"/>
      <c r="NST5"/>
      <c r="NSU5"/>
      <c r="NSV5"/>
      <c r="NSW5"/>
      <c r="NSX5"/>
      <c r="NSY5"/>
      <c r="NSZ5"/>
      <c r="NTA5"/>
      <c r="NTB5"/>
      <c r="NTC5"/>
      <c r="NTD5"/>
      <c r="NTE5"/>
      <c r="NTF5"/>
      <c r="NTG5"/>
      <c r="NTH5"/>
      <c r="NTI5"/>
      <c r="NTJ5"/>
      <c r="NTK5"/>
      <c r="NTL5"/>
      <c r="NTM5"/>
      <c r="NTN5"/>
      <c r="NTO5"/>
      <c r="NTP5"/>
      <c r="NTQ5"/>
      <c r="NTR5"/>
      <c r="NTS5"/>
      <c r="NTT5"/>
      <c r="NTU5"/>
      <c r="NTV5"/>
      <c r="NTW5"/>
      <c r="NTX5"/>
      <c r="NTY5"/>
      <c r="NTZ5"/>
      <c r="NUA5"/>
      <c r="NUB5"/>
      <c r="NUC5"/>
      <c r="NUD5"/>
      <c r="NUE5"/>
      <c r="NUF5"/>
      <c r="NUG5"/>
      <c r="NUH5"/>
      <c r="NUI5"/>
      <c r="NUJ5"/>
      <c r="NUK5"/>
      <c r="NUL5"/>
      <c r="NUM5"/>
      <c r="NUN5"/>
      <c r="NUO5"/>
      <c r="NUP5"/>
      <c r="NUQ5"/>
      <c r="NUR5"/>
      <c r="NUS5"/>
      <c r="NUT5"/>
      <c r="NUU5"/>
      <c r="NUV5"/>
      <c r="NUW5"/>
      <c r="NUX5"/>
      <c r="NUY5"/>
      <c r="NUZ5"/>
      <c r="NVA5"/>
      <c r="NVB5"/>
      <c r="NVC5"/>
      <c r="NVD5"/>
      <c r="NVE5"/>
      <c r="NVF5"/>
      <c r="NVG5"/>
      <c r="NVH5"/>
      <c r="NVI5"/>
      <c r="NVJ5"/>
      <c r="NVK5"/>
      <c r="NVL5"/>
      <c r="NVM5"/>
      <c r="NVN5"/>
      <c r="NVO5"/>
      <c r="NVP5"/>
      <c r="NVQ5"/>
      <c r="NVR5"/>
      <c r="NVS5"/>
      <c r="NVT5"/>
      <c r="NVU5"/>
      <c r="NVV5"/>
      <c r="NVW5"/>
      <c r="NVX5"/>
      <c r="NVY5"/>
      <c r="NVZ5"/>
      <c r="NWA5"/>
      <c r="NWB5"/>
      <c r="NWC5"/>
      <c r="NWD5"/>
      <c r="NWE5"/>
      <c r="NWF5"/>
      <c r="NWG5"/>
      <c r="NWH5"/>
      <c r="NWI5"/>
      <c r="NWJ5"/>
      <c r="NWK5"/>
      <c r="NWL5"/>
      <c r="NWM5"/>
      <c r="NWN5"/>
      <c r="NWO5"/>
      <c r="NWP5"/>
      <c r="NWQ5"/>
      <c r="NWR5"/>
      <c r="NWS5"/>
      <c r="NWT5"/>
      <c r="NWU5"/>
      <c r="NWV5"/>
      <c r="NWW5"/>
      <c r="NWX5"/>
      <c r="NWY5"/>
      <c r="NWZ5"/>
      <c r="NXA5"/>
      <c r="NXB5"/>
      <c r="NXC5"/>
      <c r="NXD5"/>
      <c r="NXE5"/>
      <c r="NXF5"/>
      <c r="NXG5"/>
      <c r="NXH5"/>
      <c r="NXI5"/>
      <c r="NXJ5"/>
      <c r="NXK5"/>
      <c r="NXL5"/>
      <c r="NXM5"/>
      <c r="NXN5"/>
      <c r="NXO5"/>
      <c r="NXP5"/>
      <c r="NXQ5"/>
      <c r="NXR5"/>
      <c r="NXS5"/>
      <c r="NXT5"/>
      <c r="NXU5"/>
      <c r="NXV5"/>
      <c r="NXW5"/>
      <c r="NXX5"/>
      <c r="NXY5"/>
      <c r="NXZ5"/>
      <c r="NYA5"/>
      <c r="NYB5"/>
      <c r="NYC5"/>
      <c r="NYD5"/>
      <c r="NYE5"/>
      <c r="NYF5"/>
      <c r="NYG5"/>
      <c r="NYH5"/>
      <c r="NYI5"/>
      <c r="NYJ5"/>
      <c r="NYK5"/>
      <c r="NYL5"/>
      <c r="NYM5"/>
      <c r="NYN5"/>
      <c r="NYO5"/>
      <c r="NYP5"/>
      <c r="NYQ5"/>
      <c r="NYR5"/>
      <c r="NYS5"/>
      <c r="NYT5"/>
      <c r="NYU5"/>
      <c r="NYV5"/>
      <c r="NYW5"/>
      <c r="NYX5"/>
      <c r="NYY5"/>
      <c r="NYZ5"/>
      <c r="NZA5"/>
      <c r="NZB5"/>
      <c r="NZC5"/>
      <c r="NZD5"/>
      <c r="NZE5"/>
      <c r="NZF5"/>
      <c r="NZG5"/>
      <c r="NZH5"/>
      <c r="NZI5"/>
      <c r="NZJ5"/>
      <c r="NZK5"/>
      <c r="NZL5"/>
      <c r="NZM5"/>
      <c r="NZN5"/>
      <c r="NZO5"/>
      <c r="NZP5"/>
      <c r="NZQ5"/>
      <c r="NZR5"/>
      <c r="NZS5"/>
      <c r="NZT5"/>
      <c r="NZU5"/>
      <c r="NZV5"/>
      <c r="NZW5"/>
      <c r="NZX5"/>
      <c r="NZY5"/>
      <c r="NZZ5"/>
      <c r="OAA5"/>
      <c r="OAB5"/>
      <c r="OAC5"/>
      <c r="OAD5"/>
      <c r="OAE5"/>
      <c r="OAF5"/>
      <c r="OAG5"/>
      <c r="OAH5"/>
      <c r="OAI5"/>
      <c r="OAJ5"/>
      <c r="OAK5"/>
      <c r="OAL5"/>
      <c r="OAM5"/>
      <c r="OAN5"/>
      <c r="OAO5"/>
      <c r="OAP5"/>
      <c r="OAQ5"/>
      <c r="OAR5"/>
      <c r="OAS5"/>
      <c r="OAT5"/>
      <c r="OAU5"/>
      <c r="OAV5"/>
      <c r="OAW5"/>
      <c r="OAX5"/>
      <c r="OAY5"/>
      <c r="OAZ5"/>
      <c r="OBA5"/>
      <c r="OBB5"/>
      <c r="OBC5"/>
      <c r="OBD5"/>
      <c r="OBE5"/>
      <c r="OBF5"/>
      <c r="OBG5"/>
      <c r="OBH5"/>
      <c r="OBI5"/>
      <c r="OBJ5"/>
      <c r="OBK5"/>
      <c r="OBL5"/>
      <c r="OBM5"/>
      <c r="OBN5"/>
      <c r="OBO5"/>
      <c r="OBP5"/>
      <c r="OBQ5"/>
      <c r="OBR5"/>
      <c r="OBS5"/>
      <c r="OBT5"/>
      <c r="OBU5"/>
      <c r="OBV5"/>
      <c r="OBW5"/>
      <c r="OBX5"/>
      <c r="OBY5"/>
      <c r="OBZ5"/>
      <c r="OCA5"/>
      <c r="OCB5"/>
      <c r="OCC5"/>
      <c r="OCD5"/>
      <c r="OCE5"/>
      <c r="OCF5"/>
      <c r="OCG5"/>
      <c r="OCH5"/>
      <c r="OCI5"/>
      <c r="OCJ5"/>
      <c r="OCK5"/>
      <c r="OCL5"/>
      <c r="OCM5"/>
      <c r="OCN5"/>
      <c r="OCO5"/>
      <c r="OCP5"/>
      <c r="OCQ5"/>
      <c r="OCR5"/>
      <c r="OCS5"/>
      <c r="OCT5"/>
      <c r="OCU5"/>
      <c r="OCV5"/>
      <c r="OCW5"/>
      <c r="OCX5"/>
      <c r="OCY5"/>
      <c r="OCZ5"/>
      <c r="ODA5"/>
      <c r="ODB5"/>
      <c r="ODC5"/>
      <c r="ODD5"/>
      <c r="ODE5"/>
      <c r="ODF5"/>
      <c r="ODG5"/>
      <c r="ODH5"/>
      <c r="ODI5"/>
      <c r="ODJ5"/>
      <c r="ODK5"/>
      <c r="ODL5"/>
      <c r="ODM5"/>
      <c r="ODN5"/>
      <c r="ODO5"/>
      <c r="ODP5"/>
      <c r="ODQ5"/>
      <c r="ODR5"/>
      <c r="ODS5"/>
      <c r="ODT5"/>
      <c r="ODU5"/>
      <c r="ODV5"/>
      <c r="ODW5"/>
      <c r="ODX5"/>
      <c r="ODY5"/>
      <c r="ODZ5"/>
      <c r="OEA5"/>
      <c r="OEB5"/>
      <c r="OEC5"/>
      <c r="OED5"/>
      <c r="OEE5"/>
      <c r="OEF5"/>
      <c r="OEG5"/>
      <c r="OEH5"/>
      <c r="OEI5"/>
      <c r="OEJ5"/>
      <c r="OEK5"/>
      <c r="OEL5"/>
      <c r="OEM5"/>
      <c r="OEN5"/>
      <c r="OEO5"/>
      <c r="OEP5"/>
      <c r="OEQ5"/>
      <c r="OER5"/>
      <c r="OES5"/>
      <c r="OET5"/>
      <c r="OEU5"/>
      <c r="OEV5"/>
      <c r="OEW5"/>
      <c r="OEX5"/>
      <c r="OEY5"/>
      <c r="OEZ5"/>
      <c r="OFA5"/>
      <c r="OFB5"/>
      <c r="OFC5"/>
      <c r="OFD5"/>
      <c r="OFE5"/>
      <c r="OFF5"/>
      <c r="OFG5"/>
      <c r="OFH5"/>
      <c r="OFI5"/>
      <c r="OFJ5"/>
      <c r="OFK5"/>
      <c r="OFL5"/>
      <c r="OFM5"/>
      <c r="OFN5"/>
      <c r="OFO5"/>
      <c r="OFP5"/>
      <c r="OFQ5"/>
      <c r="OFR5"/>
      <c r="OFS5"/>
      <c r="OFT5"/>
      <c r="OFU5"/>
      <c r="OFV5"/>
      <c r="OFW5"/>
      <c r="OFX5"/>
      <c r="OFY5"/>
      <c r="OFZ5"/>
      <c r="OGA5"/>
      <c r="OGB5"/>
      <c r="OGC5"/>
      <c r="OGD5"/>
      <c r="OGE5"/>
      <c r="OGF5"/>
      <c r="OGG5"/>
      <c r="OGH5"/>
      <c r="OGI5"/>
      <c r="OGJ5"/>
      <c r="OGK5"/>
      <c r="OGL5"/>
      <c r="OGM5"/>
      <c r="OGN5"/>
      <c r="OGO5"/>
      <c r="OGP5"/>
      <c r="OGQ5"/>
      <c r="OGR5"/>
      <c r="OGS5"/>
      <c r="OGT5"/>
      <c r="OGU5"/>
      <c r="OGV5"/>
      <c r="OGW5"/>
      <c r="OGX5"/>
      <c r="OGY5"/>
      <c r="OGZ5"/>
      <c r="OHA5"/>
      <c r="OHB5"/>
      <c r="OHC5"/>
      <c r="OHD5"/>
      <c r="OHE5"/>
      <c r="OHF5"/>
      <c r="OHG5"/>
      <c r="OHH5"/>
      <c r="OHI5"/>
      <c r="OHJ5"/>
      <c r="OHK5"/>
      <c r="OHL5"/>
      <c r="OHM5"/>
      <c r="OHN5"/>
      <c r="OHO5"/>
      <c r="OHP5"/>
      <c r="OHQ5"/>
      <c r="OHR5"/>
      <c r="OHS5"/>
      <c r="OHT5"/>
      <c r="OHU5"/>
      <c r="OHV5"/>
      <c r="OHW5"/>
      <c r="OHX5"/>
      <c r="OHY5"/>
      <c r="OHZ5"/>
      <c r="OIA5"/>
      <c r="OIB5"/>
      <c r="OIC5"/>
      <c r="OID5"/>
      <c r="OIE5"/>
      <c r="OIF5"/>
      <c r="OIG5"/>
      <c r="OIH5"/>
      <c r="OII5"/>
      <c r="OIJ5"/>
      <c r="OIK5"/>
      <c r="OIL5"/>
      <c r="OIM5"/>
      <c r="OIN5"/>
      <c r="OIO5"/>
      <c r="OIP5"/>
      <c r="OIQ5"/>
      <c r="OIR5"/>
      <c r="OIS5"/>
      <c r="OIT5"/>
      <c r="OIU5"/>
      <c r="OIV5"/>
      <c r="OIW5"/>
      <c r="OIX5"/>
      <c r="OIY5"/>
      <c r="OIZ5"/>
      <c r="OJA5"/>
      <c r="OJB5"/>
      <c r="OJC5"/>
      <c r="OJD5"/>
      <c r="OJE5"/>
      <c r="OJF5"/>
      <c r="OJG5"/>
      <c r="OJH5"/>
      <c r="OJI5"/>
      <c r="OJJ5"/>
      <c r="OJK5"/>
      <c r="OJL5"/>
      <c r="OJM5"/>
      <c r="OJN5"/>
      <c r="OJO5"/>
      <c r="OJP5"/>
      <c r="OJQ5"/>
      <c r="OJR5"/>
      <c r="OJS5"/>
      <c r="OJT5"/>
      <c r="OJU5"/>
      <c r="OJV5"/>
      <c r="OJW5"/>
      <c r="OJX5"/>
      <c r="OJY5"/>
      <c r="OJZ5"/>
      <c r="OKA5"/>
      <c r="OKB5"/>
      <c r="OKC5"/>
      <c r="OKD5"/>
      <c r="OKE5"/>
      <c r="OKF5"/>
      <c r="OKG5"/>
      <c r="OKH5"/>
      <c r="OKI5"/>
      <c r="OKJ5"/>
      <c r="OKK5"/>
      <c r="OKL5"/>
      <c r="OKM5"/>
      <c r="OKN5"/>
      <c r="OKO5"/>
      <c r="OKP5"/>
      <c r="OKQ5"/>
      <c r="OKR5"/>
      <c r="OKS5"/>
      <c r="OKT5"/>
      <c r="OKU5"/>
      <c r="OKV5"/>
      <c r="OKW5"/>
      <c r="OKX5"/>
      <c r="OKY5"/>
      <c r="OKZ5"/>
      <c r="OLA5"/>
      <c r="OLB5"/>
      <c r="OLC5"/>
      <c r="OLD5"/>
      <c r="OLE5"/>
      <c r="OLF5"/>
      <c r="OLG5"/>
      <c r="OLH5"/>
      <c r="OLI5"/>
      <c r="OLJ5"/>
      <c r="OLK5"/>
      <c r="OLL5"/>
      <c r="OLM5"/>
      <c r="OLN5"/>
      <c r="OLO5"/>
      <c r="OLP5"/>
      <c r="OLQ5"/>
      <c r="OLR5"/>
      <c r="OLS5"/>
      <c r="OLT5"/>
      <c r="OLU5"/>
      <c r="OLV5"/>
      <c r="OLW5"/>
      <c r="OLX5"/>
      <c r="OLY5"/>
      <c r="OLZ5"/>
      <c r="OMA5"/>
      <c r="OMB5"/>
      <c r="OMC5"/>
      <c r="OMD5"/>
      <c r="OME5"/>
      <c r="OMF5"/>
      <c r="OMG5"/>
      <c r="OMH5"/>
      <c r="OMI5"/>
      <c r="OMJ5"/>
      <c r="OMK5"/>
      <c r="OML5"/>
      <c r="OMM5"/>
      <c r="OMN5"/>
      <c r="OMO5"/>
      <c r="OMP5"/>
      <c r="OMQ5"/>
      <c r="OMR5"/>
      <c r="OMS5"/>
      <c r="OMT5"/>
      <c r="OMU5"/>
      <c r="OMV5"/>
      <c r="OMW5"/>
      <c r="OMX5"/>
      <c r="OMY5"/>
      <c r="OMZ5"/>
      <c r="ONA5"/>
      <c r="ONB5"/>
      <c r="ONC5"/>
      <c r="OND5"/>
      <c r="ONE5"/>
      <c r="ONF5"/>
      <c r="ONG5"/>
      <c r="ONH5"/>
      <c r="ONI5"/>
      <c r="ONJ5"/>
      <c r="ONK5"/>
      <c r="ONL5"/>
      <c r="ONM5"/>
      <c r="ONN5"/>
      <c r="ONO5"/>
      <c r="ONP5"/>
      <c r="ONQ5"/>
      <c r="ONR5"/>
      <c r="ONS5"/>
      <c r="ONT5"/>
      <c r="ONU5"/>
      <c r="ONV5"/>
      <c r="ONW5"/>
      <c r="ONX5"/>
      <c r="ONY5"/>
      <c r="ONZ5"/>
      <c r="OOA5"/>
      <c r="OOB5"/>
      <c r="OOC5"/>
      <c r="OOD5"/>
      <c r="OOE5"/>
      <c r="OOF5"/>
      <c r="OOG5"/>
      <c r="OOH5"/>
      <c r="OOI5"/>
      <c r="OOJ5"/>
      <c r="OOK5"/>
      <c r="OOL5"/>
      <c r="OOM5"/>
      <c r="OON5"/>
      <c r="OOO5"/>
      <c r="OOP5"/>
      <c r="OOQ5"/>
      <c r="OOR5"/>
      <c r="OOS5"/>
      <c r="OOT5"/>
      <c r="OOU5"/>
      <c r="OOV5"/>
      <c r="OOW5"/>
      <c r="OOX5"/>
      <c r="OOY5"/>
      <c r="OOZ5"/>
      <c r="OPA5"/>
      <c r="OPB5"/>
      <c r="OPC5"/>
      <c r="OPD5"/>
      <c r="OPE5"/>
      <c r="OPF5"/>
      <c r="OPG5"/>
      <c r="OPH5"/>
      <c r="OPI5"/>
      <c r="OPJ5"/>
      <c r="OPK5"/>
      <c r="OPL5"/>
      <c r="OPM5"/>
      <c r="OPN5"/>
      <c r="OPO5"/>
      <c r="OPP5"/>
      <c r="OPQ5"/>
      <c r="OPR5"/>
      <c r="OPS5"/>
      <c r="OPT5"/>
      <c r="OPU5"/>
      <c r="OPV5"/>
      <c r="OPW5"/>
      <c r="OPX5"/>
      <c r="OPY5"/>
      <c r="OPZ5"/>
      <c r="OQA5"/>
      <c r="OQB5"/>
      <c r="OQC5"/>
      <c r="OQD5"/>
      <c r="OQE5"/>
      <c r="OQF5"/>
      <c r="OQG5"/>
      <c r="OQH5"/>
      <c r="OQI5"/>
      <c r="OQJ5"/>
      <c r="OQK5"/>
      <c r="OQL5"/>
      <c r="OQM5"/>
      <c r="OQN5"/>
      <c r="OQO5"/>
      <c r="OQP5"/>
      <c r="OQQ5"/>
      <c r="OQR5"/>
      <c r="OQS5"/>
      <c r="OQT5"/>
      <c r="OQU5"/>
      <c r="OQV5"/>
      <c r="OQW5"/>
      <c r="OQX5"/>
      <c r="OQY5"/>
      <c r="OQZ5"/>
      <c r="ORA5"/>
      <c r="ORB5"/>
      <c r="ORC5"/>
      <c r="ORD5"/>
      <c r="ORE5"/>
      <c r="ORF5"/>
      <c r="ORG5"/>
      <c r="ORH5"/>
      <c r="ORI5"/>
      <c r="ORJ5"/>
      <c r="ORK5"/>
      <c r="ORL5"/>
      <c r="ORM5"/>
      <c r="ORN5"/>
      <c r="ORO5"/>
      <c r="ORP5"/>
      <c r="ORQ5"/>
      <c r="ORR5"/>
      <c r="ORS5"/>
      <c r="ORT5"/>
      <c r="ORU5"/>
      <c r="ORV5"/>
      <c r="ORW5"/>
      <c r="ORX5"/>
      <c r="ORY5"/>
      <c r="ORZ5"/>
      <c r="OSA5"/>
      <c r="OSB5"/>
      <c r="OSC5"/>
      <c r="OSD5"/>
      <c r="OSE5"/>
      <c r="OSF5"/>
      <c r="OSG5"/>
      <c r="OSH5"/>
      <c r="OSI5"/>
      <c r="OSJ5"/>
      <c r="OSK5"/>
      <c r="OSL5"/>
      <c r="OSM5"/>
      <c r="OSN5"/>
      <c r="OSO5"/>
      <c r="OSP5"/>
      <c r="OSQ5"/>
      <c r="OSR5"/>
      <c r="OSS5"/>
      <c r="OST5"/>
      <c r="OSU5"/>
      <c r="OSV5"/>
      <c r="OSW5"/>
      <c r="OSX5"/>
      <c r="OSY5"/>
      <c r="OSZ5"/>
      <c r="OTA5"/>
      <c r="OTB5"/>
      <c r="OTC5"/>
      <c r="OTD5"/>
      <c r="OTE5"/>
      <c r="OTF5"/>
      <c r="OTG5"/>
      <c r="OTH5"/>
      <c r="OTI5"/>
      <c r="OTJ5"/>
      <c r="OTK5"/>
      <c r="OTL5"/>
      <c r="OTM5"/>
      <c r="OTN5"/>
      <c r="OTO5"/>
      <c r="OTP5"/>
      <c r="OTQ5"/>
      <c r="OTR5"/>
      <c r="OTS5"/>
      <c r="OTT5"/>
      <c r="OTU5"/>
      <c r="OTV5"/>
      <c r="OTW5"/>
      <c r="OTX5"/>
      <c r="OTY5"/>
      <c r="OTZ5"/>
      <c r="OUA5"/>
      <c r="OUB5"/>
      <c r="OUC5"/>
      <c r="OUD5"/>
      <c r="OUE5"/>
      <c r="OUF5"/>
      <c r="OUG5"/>
      <c r="OUH5"/>
      <c r="OUI5"/>
      <c r="OUJ5"/>
      <c r="OUK5"/>
      <c r="OUL5"/>
      <c r="OUM5"/>
      <c r="OUN5"/>
      <c r="OUO5"/>
      <c r="OUP5"/>
      <c r="OUQ5"/>
      <c r="OUR5"/>
      <c r="OUS5"/>
      <c r="OUT5"/>
      <c r="OUU5"/>
      <c r="OUV5"/>
      <c r="OUW5"/>
      <c r="OUX5"/>
      <c r="OUY5"/>
      <c r="OUZ5"/>
      <c r="OVA5"/>
      <c r="OVB5"/>
      <c r="OVC5"/>
      <c r="OVD5"/>
      <c r="OVE5"/>
      <c r="OVF5"/>
      <c r="OVG5"/>
      <c r="OVH5"/>
      <c r="OVI5"/>
      <c r="OVJ5"/>
      <c r="OVK5"/>
      <c r="OVL5"/>
      <c r="OVM5"/>
      <c r="OVN5"/>
      <c r="OVO5"/>
      <c r="OVP5"/>
      <c r="OVQ5"/>
      <c r="OVR5"/>
      <c r="OVS5"/>
      <c r="OVT5"/>
      <c r="OVU5"/>
      <c r="OVV5"/>
      <c r="OVW5"/>
      <c r="OVX5"/>
      <c r="OVY5"/>
      <c r="OVZ5"/>
      <c r="OWA5"/>
      <c r="OWB5"/>
      <c r="OWC5"/>
      <c r="OWD5"/>
      <c r="OWE5"/>
      <c r="OWF5"/>
      <c r="OWG5"/>
      <c r="OWH5"/>
      <c r="OWI5"/>
      <c r="OWJ5"/>
      <c r="OWK5"/>
      <c r="OWL5"/>
      <c r="OWM5"/>
      <c r="OWN5"/>
      <c r="OWO5"/>
      <c r="OWP5"/>
      <c r="OWQ5"/>
      <c r="OWR5"/>
      <c r="OWS5"/>
      <c r="OWT5"/>
      <c r="OWU5"/>
      <c r="OWV5"/>
      <c r="OWW5"/>
      <c r="OWX5"/>
      <c r="OWY5"/>
      <c r="OWZ5"/>
      <c r="OXA5"/>
      <c r="OXB5"/>
      <c r="OXC5"/>
      <c r="OXD5"/>
      <c r="OXE5"/>
      <c r="OXF5"/>
      <c r="OXG5"/>
      <c r="OXH5"/>
      <c r="OXI5"/>
      <c r="OXJ5"/>
      <c r="OXK5"/>
      <c r="OXL5"/>
      <c r="OXM5"/>
      <c r="OXN5"/>
      <c r="OXO5"/>
      <c r="OXP5"/>
      <c r="OXQ5"/>
      <c r="OXR5"/>
      <c r="OXS5"/>
      <c r="OXT5"/>
      <c r="OXU5"/>
      <c r="OXV5"/>
      <c r="OXW5"/>
      <c r="OXX5"/>
      <c r="OXY5"/>
      <c r="OXZ5"/>
      <c r="OYA5"/>
      <c r="OYB5"/>
      <c r="OYC5"/>
      <c r="OYD5"/>
      <c r="OYE5"/>
      <c r="OYF5"/>
      <c r="OYG5"/>
      <c r="OYH5"/>
      <c r="OYI5"/>
      <c r="OYJ5"/>
      <c r="OYK5"/>
      <c r="OYL5"/>
      <c r="OYM5"/>
      <c r="OYN5"/>
      <c r="OYO5"/>
      <c r="OYP5"/>
      <c r="OYQ5"/>
      <c r="OYR5"/>
      <c r="OYS5"/>
      <c r="OYT5"/>
      <c r="OYU5"/>
      <c r="OYV5"/>
      <c r="OYW5"/>
      <c r="OYX5"/>
      <c r="OYY5"/>
      <c r="OYZ5"/>
      <c r="OZA5"/>
      <c r="OZB5"/>
      <c r="OZC5"/>
      <c r="OZD5"/>
      <c r="OZE5"/>
      <c r="OZF5"/>
      <c r="OZG5"/>
      <c r="OZH5"/>
      <c r="OZI5"/>
      <c r="OZJ5"/>
      <c r="OZK5"/>
      <c r="OZL5"/>
      <c r="OZM5"/>
      <c r="OZN5"/>
      <c r="OZO5"/>
      <c r="OZP5"/>
      <c r="OZQ5"/>
      <c r="OZR5"/>
      <c r="OZS5"/>
      <c r="OZT5"/>
      <c r="OZU5"/>
      <c r="OZV5"/>
      <c r="OZW5"/>
      <c r="OZX5"/>
      <c r="OZY5"/>
      <c r="OZZ5"/>
      <c r="PAA5"/>
      <c r="PAB5"/>
      <c r="PAC5"/>
      <c r="PAD5"/>
      <c r="PAE5"/>
      <c r="PAF5"/>
      <c r="PAG5"/>
      <c r="PAH5"/>
      <c r="PAI5"/>
      <c r="PAJ5"/>
      <c r="PAK5"/>
      <c r="PAL5"/>
      <c r="PAM5"/>
      <c r="PAN5"/>
      <c r="PAO5"/>
      <c r="PAP5"/>
      <c r="PAQ5"/>
      <c r="PAR5"/>
      <c r="PAS5"/>
      <c r="PAT5"/>
      <c r="PAU5"/>
      <c r="PAV5"/>
      <c r="PAW5"/>
      <c r="PAX5"/>
      <c r="PAY5"/>
      <c r="PAZ5"/>
      <c r="PBA5"/>
      <c r="PBB5"/>
      <c r="PBC5"/>
      <c r="PBD5"/>
      <c r="PBE5"/>
      <c r="PBF5"/>
      <c r="PBG5"/>
      <c r="PBH5"/>
      <c r="PBI5"/>
      <c r="PBJ5"/>
      <c r="PBK5"/>
      <c r="PBL5"/>
      <c r="PBM5"/>
      <c r="PBN5"/>
      <c r="PBO5"/>
      <c r="PBP5"/>
      <c r="PBQ5"/>
      <c r="PBR5"/>
      <c r="PBS5"/>
      <c r="PBT5"/>
      <c r="PBU5"/>
      <c r="PBV5"/>
      <c r="PBW5"/>
      <c r="PBX5"/>
      <c r="PBY5"/>
      <c r="PBZ5"/>
      <c r="PCA5"/>
      <c r="PCB5"/>
      <c r="PCC5"/>
      <c r="PCD5"/>
      <c r="PCE5"/>
      <c r="PCF5"/>
      <c r="PCG5"/>
      <c r="PCH5"/>
      <c r="PCI5"/>
      <c r="PCJ5"/>
      <c r="PCK5"/>
      <c r="PCL5"/>
      <c r="PCM5"/>
      <c r="PCN5"/>
      <c r="PCO5"/>
      <c r="PCP5"/>
      <c r="PCQ5"/>
      <c r="PCR5"/>
      <c r="PCS5"/>
      <c r="PCT5"/>
      <c r="PCU5"/>
      <c r="PCV5"/>
      <c r="PCW5"/>
      <c r="PCX5"/>
      <c r="PCY5"/>
      <c r="PCZ5"/>
      <c r="PDA5"/>
      <c r="PDB5"/>
      <c r="PDC5"/>
      <c r="PDD5"/>
      <c r="PDE5"/>
      <c r="PDF5"/>
      <c r="PDG5"/>
      <c r="PDH5"/>
      <c r="PDI5"/>
      <c r="PDJ5"/>
      <c r="PDK5"/>
      <c r="PDL5"/>
      <c r="PDM5"/>
      <c r="PDN5"/>
      <c r="PDO5"/>
      <c r="PDP5"/>
      <c r="PDQ5"/>
      <c r="PDR5"/>
      <c r="PDS5"/>
      <c r="PDT5"/>
      <c r="PDU5"/>
      <c r="PDV5"/>
      <c r="PDW5"/>
      <c r="PDX5"/>
      <c r="PDY5"/>
      <c r="PDZ5"/>
      <c r="PEA5"/>
      <c r="PEB5"/>
      <c r="PEC5"/>
      <c r="PED5"/>
      <c r="PEE5"/>
      <c r="PEF5"/>
      <c r="PEG5"/>
      <c r="PEH5"/>
      <c r="PEI5"/>
      <c r="PEJ5"/>
      <c r="PEK5"/>
      <c r="PEL5"/>
      <c r="PEM5"/>
      <c r="PEN5"/>
      <c r="PEO5"/>
      <c r="PEP5"/>
      <c r="PEQ5"/>
      <c r="PER5"/>
      <c r="PES5"/>
      <c r="PET5"/>
      <c r="PEU5"/>
      <c r="PEV5"/>
      <c r="PEW5"/>
      <c r="PEX5"/>
      <c r="PEY5"/>
      <c r="PEZ5"/>
      <c r="PFA5"/>
      <c r="PFB5"/>
      <c r="PFC5"/>
      <c r="PFD5"/>
      <c r="PFE5"/>
      <c r="PFF5"/>
      <c r="PFG5"/>
      <c r="PFH5"/>
      <c r="PFI5"/>
      <c r="PFJ5"/>
      <c r="PFK5"/>
      <c r="PFL5"/>
      <c r="PFM5"/>
      <c r="PFN5"/>
      <c r="PFO5"/>
      <c r="PFP5"/>
      <c r="PFQ5"/>
      <c r="PFR5"/>
      <c r="PFS5"/>
      <c r="PFT5"/>
      <c r="PFU5"/>
      <c r="PFV5"/>
      <c r="PFW5"/>
      <c r="PFX5"/>
      <c r="PFY5"/>
      <c r="PFZ5"/>
      <c r="PGA5"/>
      <c r="PGB5"/>
      <c r="PGC5"/>
      <c r="PGD5"/>
      <c r="PGE5"/>
      <c r="PGF5"/>
      <c r="PGG5"/>
      <c r="PGH5"/>
      <c r="PGI5"/>
      <c r="PGJ5"/>
      <c r="PGK5"/>
      <c r="PGL5"/>
      <c r="PGM5"/>
      <c r="PGN5"/>
      <c r="PGO5"/>
      <c r="PGP5"/>
      <c r="PGQ5"/>
      <c r="PGR5"/>
      <c r="PGS5"/>
      <c r="PGT5"/>
      <c r="PGU5"/>
      <c r="PGV5"/>
      <c r="PGW5"/>
      <c r="PGX5"/>
      <c r="PGY5"/>
      <c r="PGZ5"/>
      <c r="PHA5"/>
      <c r="PHB5"/>
      <c r="PHC5"/>
      <c r="PHD5"/>
      <c r="PHE5"/>
      <c r="PHF5"/>
      <c r="PHG5"/>
      <c r="PHH5"/>
      <c r="PHI5"/>
      <c r="PHJ5"/>
      <c r="PHK5"/>
      <c r="PHL5"/>
      <c r="PHM5"/>
      <c r="PHN5"/>
      <c r="PHO5"/>
      <c r="PHP5"/>
      <c r="PHQ5"/>
      <c r="PHR5"/>
      <c r="PHS5"/>
      <c r="PHT5"/>
      <c r="PHU5"/>
      <c r="PHV5"/>
      <c r="PHW5"/>
      <c r="PHX5"/>
      <c r="PHY5"/>
      <c r="PHZ5"/>
      <c r="PIA5"/>
      <c r="PIB5"/>
      <c r="PIC5"/>
      <c r="PID5"/>
      <c r="PIE5"/>
      <c r="PIF5"/>
      <c r="PIG5"/>
      <c r="PIH5"/>
      <c r="PII5"/>
      <c r="PIJ5"/>
      <c r="PIK5"/>
      <c r="PIL5"/>
      <c r="PIM5"/>
      <c r="PIN5"/>
      <c r="PIO5"/>
      <c r="PIP5"/>
      <c r="PIQ5"/>
      <c r="PIR5"/>
      <c r="PIS5"/>
      <c r="PIT5"/>
      <c r="PIU5"/>
      <c r="PIV5"/>
      <c r="PIW5"/>
      <c r="PIX5"/>
      <c r="PIY5"/>
      <c r="PIZ5"/>
      <c r="PJA5"/>
      <c r="PJB5"/>
      <c r="PJC5"/>
      <c r="PJD5"/>
      <c r="PJE5"/>
      <c r="PJF5"/>
      <c r="PJG5"/>
      <c r="PJH5"/>
      <c r="PJI5"/>
      <c r="PJJ5"/>
      <c r="PJK5"/>
      <c r="PJL5"/>
      <c r="PJM5"/>
      <c r="PJN5"/>
      <c r="PJO5"/>
      <c r="PJP5"/>
      <c r="PJQ5"/>
      <c r="PJR5"/>
      <c r="PJS5"/>
      <c r="PJT5"/>
      <c r="PJU5"/>
      <c r="PJV5"/>
      <c r="PJW5"/>
      <c r="PJX5"/>
      <c r="PJY5"/>
      <c r="PJZ5"/>
      <c r="PKA5"/>
      <c r="PKB5"/>
      <c r="PKC5"/>
      <c r="PKD5"/>
      <c r="PKE5"/>
      <c r="PKF5"/>
      <c r="PKG5"/>
      <c r="PKH5"/>
      <c r="PKI5"/>
      <c r="PKJ5"/>
      <c r="PKK5"/>
      <c r="PKL5"/>
      <c r="PKM5"/>
      <c r="PKN5"/>
      <c r="PKO5"/>
      <c r="PKP5"/>
      <c r="PKQ5"/>
      <c r="PKR5"/>
      <c r="PKS5"/>
      <c r="PKT5"/>
      <c r="PKU5"/>
      <c r="PKV5"/>
      <c r="PKW5"/>
      <c r="PKX5"/>
      <c r="PKY5"/>
      <c r="PKZ5"/>
      <c r="PLA5"/>
      <c r="PLB5"/>
      <c r="PLC5"/>
      <c r="PLD5"/>
      <c r="PLE5"/>
      <c r="PLF5"/>
      <c r="PLG5"/>
      <c r="PLH5"/>
      <c r="PLI5"/>
      <c r="PLJ5"/>
      <c r="PLK5"/>
      <c r="PLL5"/>
      <c r="PLM5"/>
      <c r="PLN5"/>
      <c r="PLO5"/>
      <c r="PLP5"/>
      <c r="PLQ5"/>
      <c r="PLR5"/>
      <c r="PLS5"/>
      <c r="PLT5"/>
      <c r="PLU5"/>
      <c r="PLV5"/>
      <c r="PLW5"/>
      <c r="PLX5"/>
      <c r="PLY5"/>
      <c r="PLZ5"/>
      <c r="PMA5"/>
      <c r="PMB5"/>
      <c r="PMC5"/>
      <c r="PMD5"/>
      <c r="PME5"/>
      <c r="PMF5"/>
      <c r="PMG5"/>
      <c r="PMH5"/>
      <c r="PMI5"/>
      <c r="PMJ5"/>
      <c r="PMK5"/>
      <c r="PML5"/>
      <c r="PMM5"/>
      <c r="PMN5"/>
      <c r="PMO5"/>
      <c r="PMP5"/>
      <c r="PMQ5"/>
      <c r="PMR5"/>
      <c r="PMS5"/>
      <c r="PMT5"/>
      <c r="PMU5"/>
      <c r="PMV5"/>
      <c r="PMW5"/>
      <c r="PMX5"/>
      <c r="PMY5"/>
      <c r="PMZ5"/>
      <c r="PNA5"/>
      <c r="PNB5"/>
      <c r="PNC5"/>
      <c r="PND5"/>
      <c r="PNE5"/>
      <c r="PNF5"/>
      <c r="PNG5"/>
      <c r="PNH5"/>
      <c r="PNI5"/>
      <c r="PNJ5"/>
      <c r="PNK5"/>
      <c r="PNL5"/>
      <c r="PNM5"/>
      <c r="PNN5"/>
      <c r="PNO5"/>
      <c r="PNP5"/>
      <c r="PNQ5"/>
      <c r="PNR5"/>
      <c r="PNS5"/>
      <c r="PNT5"/>
      <c r="PNU5"/>
      <c r="PNV5"/>
      <c r="PNW5"/>
      <c r="PNX5"/>
      <c r="PNY5"/>
      <c r="PNZ5"/>
      <c r="POA5"/>
      <c r="POB5"/>
      <c r="POC5"/>
      <c r="POD5"/>
      <c r="POE5"/>
      <c r="POF5"/>
      <c r="POG5"/>
      <c r="POH5"/>
      <c r="POI5"/>
      <c r="POJ5"/>
      <c r="POK5"/>
      <c r="POL5"/>
      <c r="POM5"/>
      <c r="PON5"/>
      <c r="POO5"/>
      <c r="POP5"/>
      <c r="POQ5"/>
      <c r="POR5"/>
      <c r="POS5"/>
      <c r="POT5"/>
      <c r="POU5"/>
      <c r="POV5"/>
      <c r="POW5"/>
      <c r="POX5"/>
      <c r="POY5"/>
      <c r="POZ5"/>
      <c r="PPA5"/>
      <c r="PPB5"/>
      <c r="PPC5"/>
      <c r="PPD5"/>
      <c r="PPE5"/>
      <c r="PPF5"/>
      <c r="PPG5"/>
      <c r="PPH5"/>
      <c r="PPI5"/>
      <c r="PPJ5"/>
      <c r="PPK5"/>
      <c r="PPL5"/>
      <c r="PPM5"/>
      <c r="PPN5"/>
      <c r="PPO5"/>
      <c r="PPP5"/>
      <c r="PPQ5"/>
      <c r="PPR5"/>
      <c r="PPS5"/>
      <c r="PPT5"/>
      <c r="PPU5"/>
      <c r="PPV5"/>
      <c r="PPW5"/>
      <c r="PPX5"/>
      <c r="PPY5"/>
      <c r="PPZ5"/>
      <c r="PQA5"/>
      <c r="PQB5"/>
      <c r="PQC5"/>
      <c r="PQD5"/>
      <c r="PQE5"/>
      <c r="PQF5"/>
      <c r="PQG5"/>
      <c r="PQH5"/>
      <c r="PQI5"/>
      <c r="PQJ5"/>
      <c r="PQK5"/>
      <c r="PQL5"/>
      <c r="PQM5"/>
      <c r="PQN5"/>
      <c r="PQO5"/>
      <c r="PQP5"/>
      <c r="PQQ5"/>
      <c r="PQR5"/>
      <c r="PQS5"/>
      <c r="PQT5"/>
      <c r="PQU5"/>
      <c r="PQV5"/>
      <c r="PQW5"/>
      <c r="PQX5"/>
      <c r="PQY5"/>
      <c r="PQZ5"/>
      <c r="PRA5"/>
      <c r="PRB5"/>
      <c r="PRC5"/>
      <c r="PRD5"/>
      <c r="PRE5"/>
      <c r="PRF5"/>
      <c r="PRG5"/>
      <c r="PRH5"/>
      <c r="PRI5"/>
      <c r="PRJ5"/>
      <c r="PRK5"/>
      <c r="PRL5"/>
      <c r="PRM5"/>
      <c r="PRN5"/>
      <c r="PRO5"/>
      <c r="PRP5"/>
      <c r="PRQ5"/>
      <c r="PRR5"/>
      <c r="PRS5"/>
      <c r="PRT5"/>
      <c r="PRU5"/>
      <c r="PRV5"/>
      <c r="PRW5"/>
      <c r="PRX5"/>
      <c r="PRY5"/>
      <c r="PRZ5"/>
      <c r="PSA5"/>
      <c r="PSB5"/>
      <c r="PSC5"/>
      <c r="PSD5"/>
      <c r="PSE5"/>
      <c r="PSF5"/>
      <c r="PSG5"/>
      <c r="PSH5"/>
      <c r="PSI5"/>
      <c r="PSJ5"/>
      <c r="PSK5"/>
      <c r="PSL5"/>
      <c r="PSM5"/>
      <c r="PSN5"/>
      <c r="PSO5"/>
      <c r="PSP5"/>
      <c r="PSQ5"/>
      <c r="PSR5"/>
      <c r="PSS5"/>
      <c r="PST5"/>
      <c r="PSU5"/>
      <c r="PSV5"/>
      <c r="PSW5"/>
      <c r="PSX5"/>
      <c r="PSY5"/>
      <c r="PSZ5"/>
      <c r="PTA5"/>
      <c r="PTB5"/>
      <c r="PTC5"/>
      <c r="PTD5"/>
      <c r="PTE5"/>
      <c r="PTF5"/>
      <c r="PTG5"/>
      <c r="PTH5"/>
      <c r="PTI5"/>
      <c r="PTJ5"/>
      <c r="PTK5"/>
      <c r="PTL5"/>
      <c r="PTM5"/>
      <c r="PTN5"/>
      <c r="PTO5"/>
      <c r="PTP5"/>
      <c r="PTQ5"/>
      <c r="PTR5"/>
      <c r="PTS5"/>
      <c r="PTT5"/>
      <c r="PTU5"/>
      <c r="PTV5"/>
      <c r="PTW5"/>
      <c r="PTX5"/>
      <c r="PTY5"/>
      <c r="PTZ5"/>
      <c r="PUA5"/>
      <c r="PUB5"/>
      <c r="PUC5"/>
      <c r="PUD5"/>
      <c r="PUE5"/>
      <c r="PUF5"/>
      <c r="PUG5"/>
      <c r="PUH5"/>
      <c r="PUI5"/>
      <c r="PUJ5"/>
      <c r="PUK5"/>
      <c r="PUL5"/>
      <c r="PUM5"/>
      <c r="PUN5"/>
      <c r="PUO5"/>
      <c r="PUP5"/>
      <c r="PUQ5"/>
      <c r="PUR5"/>
      <c r="PUS5"/>
      <c r="PUT5"/>
      <c r="PUU5"/>
      <c r="PUV5"/>
      <c r="PUW5"/>
      <c r="PUX5"/>
      <c r="PUY5"/>
      <c r="PUZ5"/>
      <c r="PVA5"/>
      <c r="PVB5"/>
      <c r="PVC5"/>
      <c r="PVD5"/>
      <c r="PVE5"/>
      <c r="PVF5"/>
      <c r="PVG5"/>
      <c r="PVH5"/>
      <c r="PVI5"/>
      <c r="PVJ5"/>
      <c r="PVK5"/>
      <c r="PVL5"/>
      <c r="PVM5"/>
      <c r="PVN5"/>
      <c r="PVO5"/>
      <c r="PVP5"/>
      <c r="PVQ5"/>
      <c r="PVR5"/>
      <c r="PVS5"/>
      <c r="PVT5"/>
      <c r="PVU5"/>
      <c r="PVV5"/>
      <c r="PVW5"/>
      <c r="PVX5"/>
      <c r="PVY5"/>
      <c r="PVZ5"/>
      <c r="PWA5"/>
      <c r="PWB5"/>
      <c r="PWC5"/>
      <c r="PWD5"/>
      <c r="PWE5"/>
      <c r="PWF5"/>
      <c r="PWG5"/>
      <c r="PWH5"/>
      <c r="PWI5"/>
      <c r="PWJ5"/>
      <c r="PWK5"/>
      <c r="PWL5"/>
      <c r="PWM5"/>
      <c r="PWN5"/>
      <c r="PWO5"/>
      <c r="PWP5"/>
      <c r="PWQ5"/>
      <c r="PWR5"/>
      <c r="PWS5"/>
      <c r="PWT5"/>
      <c r="PWU5"/>
      <c r="PWV5"/>
      <c r="PWW5"/>
      <c r="PWX5"/>
      <c r="PWY5"/>
      <c r="PWZ5"/>
      <c r="PXA5"/>
      <c r="PXB5"/>
      <c r="PXC5"/>
      <c r="PXD5"/>
      <c r="PXE5"/>
      <c r="PXF5"/>
      <c r="PXG5"/>
      <c r="PXH5"/>
      <c r="PXI5"/>
      <c r="PXJ5"/>
      <c r="PXK5"/>
      <c r="PXL5"/>
      <c r="PXM5"/>
      <c r="PXN5"/>
      <c r="PXO5"/>
      <c r="PXP5"/>
      <c r="PXQ5"/>
      <c r="PXR5"/>
      <c r="PXS5"/>
      <c r="PXT5"/>
      <c r="PXU5"/>
      <c r="PXV5"/>
      <c r="PXW5"/>
      <c r="PXX5"/>
      <c r="PXY5"/>
      <c r="PXZ5"/>
      <c r="PYA5"/>
      <c r="PYB5"/>
      <c r="PYC5"/>
      <c r="PYD5"/>
      <c r="PYE5"/>
      <c r="PYF5"/>
      <c r="PYG5"/>
      <c r="PYH5"/>
      <c r="PYI5"/>
      <c r="PYJ5"/>
      <c r="PYK5"/>
      <c r="PYL5"/>
      <c r="PYM5"/>
      <c r="PYN5"/>
      <c r="PYO5"/>
      <c r="PYP5"/>
      <c r="PYQ5"/>
      <c r="PYR5"/>
      <c r="PYS5"/>
      <c r="PYT5"/>
      <c r="PYU5"/>
      <c r="PYV5"/>
      <c r="PYW5"/>
      <c r="PYX5"/>
      <c r="PYY5"/>
      <c r="PYZ5"/>
      <c r="PZA5"/>
      <c r="PZB5"/>
      <c r="PZC5"/>
      <c r="PZD5"/>
      <c r="PZE5"/>
      <c r="PZF5"/>
      <c r="PZG5"/>
      <c r="PZH5"/>
      <c r="PZI5"/>
      <c r="PZJ5"/>
      <c r="PZK5"/>
      <c r="PZL5"/>
      <c r="PZM5"/>
      <c r="PZN5"/>
      <c r="PZO5"/>
      <c r="PZP5"/>
      <c r="PZQ5"/>
      <c r="PZR5"/>
      <c r="PZS5"/>
      <c r="PZT5"/>
      <c r="PZU5"/>
      <c r="PZV5"/>
      <c r="PZW5"/>
      <c r="PZX5"/>
      <c r="PZY5"/>
      <c r="PZZ5"/>
      <c r="QAA5"/>
      <c r="QAB5"/>
      <c r="QAC5"/>
      <c r="QAD5"/>
      <c r="QAE5"/>
      <c r="QAF5"/>
      <c r="QAG5"/>
      <c r="QAH5"/>
      <c r="QAI5"/>
      <c r="QAJ5"/>
      <c r="QAK5"/>
      <c r="QAL5"/>
      <c r="QAM5"/>
      <c r="QAN5"/>
      <c r="QAO5"/>
      <c r="QAP5"/>
      <c r="QAQ5"/>
      <c r="QAR5"/>
      <c r="QAS5"/>
      <c r="QAT5"/>
      <c r="QAU5"/>
      <c r="QAV5"/>
      <c r="QAW5"/>
      <c r="QAX5"/>
      <c r="QAY5"/>
      <c r="QAZ5"/>
      <c r="QBA5"/>
      <c r="QBB5"/>
      <c r="QBC5"/>
      <c r="QBD5"/>
      <c r="QBE5"/>
      <c r="QBF5"/>
      <c r="QBG5"/>
      <c r="QBH5"/>
      <c r="QBI5"/>
      <c r="QBJ5"/>
      <c r="QBK5"/>
      <c r="QBL5"/>
      <c r="QBM5"/>
      <c r="QBN5"/>
      <c r="QBO5"/>
      <c r="QBP5"/>
      <c r="QBQ5"/>
      <c r="QBR5"/>
      <c r="QBS5"/>
      <c r="QBT5"/>
      <c r="QBU5"/>
      <c r="QBV5"/>
      <c r="QBW5"/>
      <c r="QBX5"/>
      <c r="QBY5"/>
      <c r="QBZ5"/>
      <c r="QCA5"/>
      <c r="QCB5"/>
      <c r="QCC5"/>
      <c r="QCD5"/>
      <c r="QCE5"/>
      <c r="QCF5"/>
      <c r="QCG5"/>
      <c r="QCH5"/>
      <c r="QCI5"/>
      <c r="QCJ5"/>
      <c r="QCK5"/>
      <c r="QCL5"/>
      <c r="QCM5"/>
      <c r="QCN5"/>
      <c r="QCO5"/>
      <c r="QCP5"/>
      <c r="QCQ5"/>
      <c r="QCR5"/>
      <c r="QCS5"/>
      <c r="QCT5"/>
      <c r="QCU5"/>
      <c r="QCV5"/>
      <c r="QCW5"/>
      <c r="QCX5"/>
      <c r="QCY5"/>
      <c r="QCZ5"/>
      <c r="QDA5"/>
      <c r="QDB5"/>
      <c r="QDC5"/>
      <c r="QDD5"/>
      <c r="QDE5"/>
      <c r="QDF5"/>
      <c r="QDG5"/>
      <c r="QDH5"/>
      <c r="QDI5"/>
      <c r="QDJ5"/>
      <c r="QDK5"/>
      <c r="QDL5"/>
      <c r="QDM5"/>
      <c r="QDN5"/>
      <c r="QDO5"/>
      <c r="QDP5"/>
      <c r="QDQ5"/>
      <c r="QDR5"/>
      <c r="QDS5"/>
      <c r="QDT5"/>
      <c r="QDU5"/>
      <c r="QDV5"/>
      <c r="QDW5"/>
      <c r="QDX5"/>
      <c r="QDY5"/>
      <c r="QDZ5"/>
      <c r="QEA5"/>
      <c r="QEB5"/>
      <c r="QEC5"/>
      <c r="QED5"/>
      <c r="QEE5"/>
      <c r="QEF5"/>
      <c r="QEG5"/>
      <c r="QEH5"/>
      <c r="QEI5"/>
      <c r="QEJ5"/>
      <c r="QEK5"/>
      <c r="QEL5"/>
      <c r="QEM5"/>
      <c r="QEN5"/>
      <c r="QEO5"/>
      <c r="QEP5"/>
      <c r="QEQ5"/>
      <c r="QER5"/>
      <c r="QES5"/>
      <c r="QET5"/>
      <c r="QEU5"/>
      <c r="QEV5"/>
      <c r="QEW5"/>
      <c r="QEX5"/>
      <c r="QEY5"/>
      <c r="QEZ5"/>
      <c r="QFA5"/>
      <c r="QFB5"/>
      <c r="QFC5"/>
      <c r="QFD5"/>
      <c r="QFE5"/>
      <c r="QFF5"/>
      <c r="QFG5"/>
      <c r="QFH5"/>
      <c r="QFI5"/>
      <c r="QFJ5"/>
      <c r="QFK5"/>
      <c r="QFL5"/>
      <c r="QFM5"/>
      <c r="QFN5"/>
      <c r="QFO5"/>
      <c r="QFP5"/>
      <c r="QFQ5"/>
      <c r="QFR5"/>
      <c r="QFS5"/>
      <c r="QFT5"/>
      <c r="QFU5"/>
      <c r="QFV5"/>
      <c r="QFW5"/>
      <c r="QFX5"/>
      <c r="QFY5"/>
      <c r="QFZ5"/>
      <c r="QGA5"/>
      <c r="QGB5"/>
      <c r="QGC5"/>
      <c r="QGD5"/>
      <c r="QGE5"/>
      <c r="QGF5"/>
      <c r="QGG5"/>
      <c r="QGH5"/>
      <c r="QGI5"/>
      <c r="QGJ5"/>
      <c r="QGK5"/>
      <c r="QGL5"/>
      <c r="QGM5"/>
      <c r="QGN5"/>
      <c r="QGO5"/>
      <c r="QGP5"/>
      <c r="QGQ5"/>
      <c r="QGR5"/>
      <c r="QGS5"/>
      <c r="QGT5"/>
      <c r="QGU5"/>
      <c r="QGV5"/>
      <c r="QGW5"/>
      <c r="QGX5"/>
      <c r="QGY5"/>
      <c r="QGZ5"/>
      <c r="QHA5"/>
      <c r="QHB5"/>
      <c r="QHC5"/>
      <c r="QHD5"/>
      <c r="QHE5"/>
      <c r="QHF5"/>
      <c r="QHG5"/>
      <c r="QHH5"/>
      <c r="QHI5"/>
      <c r="QHJ5"/>
      <c r="QHK5"/>
      <c r="QHL5"/>
      <c r="QHM5"/>
      <c r="QHN5"/>
      <c r="QHO5"/>
      <c r="QHP5"/>
      <c r="QHQ5"/>
      <c r="QHR5"/>
      <c r="QHS5"/>
      <c r="QHT5"/>
      <c r="QHU5"/>
      <c r="QHV5"/>
      <c r="QHW5"/>
      <c r="QHX5"/>
      <c r="QHY5"/>
      <c r="QHZ5"/>
      <c r="QIA5"/>
      <c r="QIB5"/>
      <c r="QIC5"/>
      <c r="QID5"/>
      <c r="QIE5"/>
      <c r="QIF5"/>
      <c r="QIG5"/>
      <c r="QIH5"/>
      <c r="QII5"/>
      <c r="QIJ5"/>
      <c r="QIK5"/>
      <c r="QIL5"/>
      <c r="QIM5"/>
      <c r="QIN5"/>
      <c r="QIO5"/>
      <c r="QIP5"/>
      <c r="QIQ5"/>
      <c r="QIR5"/>
      <c r="QIS5"/>
      <c r="QIT5"/>
      <c r="QIU5"/>
      <c r="QIV5"/>
      <c r="QIW5"/>
      <c r="QIX5"/>
      <c r="QIY5"/>
      <c r="QIZ5"/>
      <c r="QJA5"/>
      <c r="QJB5"/>
      <c r="QJC5"/>
      <c r="QJD5"/>
      <c r="QJE5"/>
      <c r="QJF5"/>
      <c r="QJG5"/>
      <c r="QJH5"/>
      <c r="QJI5"/>
      <c r="QJJ5"/>
      <c r="QJK5"/>
      <c r="QJL5"/>
      <c r="QJM5"/>
      <c r="QJN5"/>
      <c r="QJO5"/>
      <c r="QJP5"/>
      <c r="QJQ5"/>
      <c r="QJR5"/>
      <c r="QJS5"/>
      <c r="QJT5"/>
      <c r="QJU5"/>
      <c r="QJV5"/>
      <c r="QJW5"/>
      <c r="QJX5"/>
      <c r="QJY5"/>
      <c r="QJZ5"/>
      <c r="QKA5"/>
      <c r="QKB5"/>
      <c r="QKC5"/>
      <c r="QKD5"/>
      <c r="QKE5"/>
      <c r="QKF5"/>
      <c r="QKG5"/>
      <c r="QKH5"/>
      <c r="QKI5"/>
      <c r="QKJ5"/>
      <c r="QKK5"/>
      <c r="QKL5"/>
      <c r="QKM5"/>
      <c r="QKN5"/>
      <c r="QKO5"/>
      <c r="QKP5"/>
      <c r="QKQ5"/>
      <c r="QKR5"/>
      <c r="QKS5"/>
      <c r="QKT5"/>
      <c r="QKU5"/>
      <c r="QKV5"/>
      <c r="QKW5"/>
      <c r="QKX5"/>
      <c r="QKY5"/>
      <c r="QKZ5"/>
      <c r="QLA5"/>
      <c r="QLB5"/>
      <c r="QLC5"/>
      <c r="QLD5"/>
      <c r="QLE5"/>
      <c r="QLF5"/>
      <c r="QLG5"/>
      <c r="QLH5"/>
      <c r="QLI5"/>
      <c r="QLJ5"/>
      <c r="QLK5"/>
      <c r="QLL5"/>
      <c r="QLM5"/>
      <c r="QLN5"/>
      <c r="QLO5"/>
      <c r="QLP5"/>
      <c r="QLQ5"/>
      <c r="QLR5"/>
      <c r="QLS5"/>
      <c r="QLT5"/>
      <c r="QLU5"/>
      <c r="QLV5"/>
      <c r="QLW5"/>
      <c r="QLX5"/>
      <c r="QLY5"/>
      <c r="QLZ5"/>
      <c r="QMA5"/>
      <c r="QMB5"/>
      <c r="QMC5"/>
      <c r="QMD5"/>
      <c r="QME5"/>
      <c r="QMF5"/>
      <c r="QMG5"/>
      <c r="QMH5"/>
      <c r="QMI5"/>
      <c r="QMJ5"/>
      <c r="QMK5"/>
      <c r="QML5"/>
      <c r="QMM5"/>
      <c r="QMN5"/>
      <c r="QMO5"/>
      <c r="QMP5"/>
      <c r="QMQ5"/>
      <c r="QMR5"/>
      <c r="QMS5"/>
      <c r="QMT5"/>
      <c r="QMU5"/>
      <c r="QMV5"/>
      <c r="QMW5"/>
      <c r="QMX5"/>
      <c r="QMY5"/>
      <c r="QMZ5"/>
      <c r="QNA5"/>
      <c r="QNB5"/>
      <c r="QNC5"/>
      <c r="QND5"/>
      <c r="QNE5"/>
      <c r="QNF5"/>
      <c r="QNG5"/>
      <c r="QNH5"/>
      <c r="QNI5"/>
      <c r="QNJ5"/>
      <c r="QNK5"/>
      <c r="QNL5"/>
      <c r="QNM5"/>
      <c r="QNN5"/>
      <c r="QNO5"/>
      <c r="QNP5"/>
      <c r="QNQ5"/>
      <c r="QNR5"/>
      <c r="QNS5"/>
      <c r="QNT5"/>
      <c r="QNU5"/>
      <c r="QNV5"/>
      <c r="QNW5"/>
      <c r="QNX5"/>
      <c r="QNY5"/>
      <c r="QNZ5"/>
      <c r="QOA5"/>
      <c r="QOB5"/>
      <c r="QOC5"/>
      <c r="QOD5"/>
      <c r="QOE5"/>
      <c r="QOF5"/>
      <c r="QOG5"/>
      <c r="QOH5"/>
      <c r="QOI5"/>
      <c r="QOJ5"/>
      <c r="QOK5"/>
      <c r="QOL5"/>
      <c r="QOM5"/>
      <c r="QON5"/>
      <c r="QOO5"/>
      <c r="QOP5"/>
      <c r="QOQ5"/>
      <c r="QOR5"/>
      <c r="QOS5"/>
      <c r="QOT5"/>
      <c r="QOU5"/>
      <c r="QOV5"/>
      <c r="QOW5"/>
      <c r="QOX5"/>
      <c r="QOY5"/>
      <c r="QOZ5"/>
      <c r="QPA5"/>
      <c r="QPB5"/>
      <c r="QPC5"/>
      <c r="QPD5"/>
      <c r="QPE5"/>
      <c r="QPF5"/>
      <c r="QPG5"/>
      <c r="QPH5"/>
      <c r="QPI5"/>
      <c r="QPJ5"/>
      <c r="QPK5"/>
      <c r="QPL5"/>
      <c r="QPM5"/>
      <c r="QPN5"/>
      <c r="QPO5"/>
      <c r="QPP5"/>
      <c r="QPQ5"/>
      <c r="QPR5"/>
      <c r="QPS5"/>
      <c r="QPT5"/>
      <c r="QPU5"/>
      <c r="QPV5"/>
      <c r="QPW5"/>
      <c r="QPX5"/>
      <c r="QPY5"/>
      <c r="QPZ5"/>
      <c r="QQA5"/>
      <c r="QQB5"/>
      <c r="QQC5"/>
      <c r="QQD5"/>
      <c r="QQE5"/>
      <c r="QQF5"/>
      <c r="QQG5"/>
      <c r="QQH5"/>
      <c r="QQI5"/>
      <c r="QQJ5"/>
      <c r="QQK5"/>
      <c r="QQL5"/>
      <c r="QQM5"/>
      <c r="QQN5"/>
      <c r="QQO5"/>
      <c r="QQP5"/>
      <c r="QQQ5"/>
      <c r="QQR5"/>
      <c r="QQS5"/>
      <c r="QQT5"/>
      <c r="QQU5"/>
      <c r="QQV5"/>
      <c r="QQW5"/>
      <c r="QQX5"/>
      <c r="QQY5"/>
      <c r="QQZ5"/>
      <c r="QRA5"/>
      <c r="QRB5"/>
      <c r="QRC5"/>
      <c r="QRD5"/>
      <c r="QRE5"/>
      <c r="QRF5"/>
      <c r="QRG5"/>
      <c r="QRH5"/>
      <c r="QRI5"/>
      <c r="QRJ5"/>
      <c r="QRK5"/>
      <c r="QRL5"/>
      <c r="QRM5"/>
      <c r="QRN5"/>
      <c r="QRO5"/>
      <c r="QRP5"/>
      <c r="QRQ5"/>
      <c r="QRR5"/>
      <c r="QRS5"/>
      <c r="QRT5"/>
      <c r="QRU5"/>
      <c r="QRV5"/>
      <c r="QRW5"/>
      <c r="QRX5"/>
      <c r="QRY5"/>
      <c r="QRZ5"/>
      <c r="QSA5"/>
      <c r="QSB5"/>
      <c r="QSC5"/>
      <c r="QSD5"/>
      <c r="QSE5"/>
      <c r="QSF5"/>
      <c r="QSG5"/>
      <c r="QSH5"/>
      <c r="QSI5"/>
      <c r="QSJ5"/>
      <c r="QSK5"/>
      <c r="QSL5"/>
      <c r="QSM5"/>
      <c r="QSN5"/>
      <c r="QSO5"/>
      <c r="QSP5"/>
      <c r="QSQ5"/>
      <c r="QSR5"/>
      <c r="QSS5"/>
      <c r="QST5"/>
      <c r="QSU5"/>
      <c r="QSV5"/>
      <c r="QSW5"/>
      <c r="QSX5"/>
      <c r="QSY5"/>
      <c r="QSZ5"/>
      <c r="QTA5"/>
      <c r="QTB5"/>
      <c r="QTC5"/>
      <c r="QTD5"/>
      <c r="QTE5"/>
      <c r="QTF5"/>
      <c r="QTG5"/>
      <c r="QTH5"/>
      <c r="QTI5"/>
      <c r="QTJ5"/>
      <c r="QTK5"/>
      <c r="QTL5"/>
      <c r="QTM5"/>
      <c r="QTN5"/>
      <c r="QTO5"/>
      <c r="QTP5"/>
      <c r="QTQ5"/>
      <c r="QTR5"/>
      <c r="QTS5"/>
      <c r="QTT5"/>
      <c r="QTU5"/>
      <c r="QTV5"/>
      <c r="QTW5"/>
      <c r="QTX5"/>
      <c r="QTY5"/>
      <c r="QTZ5"/>
      <c r="QUA5"/>
      <c r="QUB5"/>
      <c r="QUC5"/>
      <c r="QUD5"/>
      <c r="QUE5"/>
      <c r="QUF5"/>
      <c r="QUG5"/>
      <c r="QUH5"/>
      <c r="QUI5"/>
      <c r="QUJ5"/>
      <c r="QUK5"/>
      <c r="QUL5"/>
      <c r="QUM5"/>
      <c r="QUN5"/>
      <c r="QUO5"/>
      <c r="QUP5"/>
      <c r="QUQ5"/>
      <c r="QUR5"/>
      <c r="QUS5"/>
      <c r="QUT5"/>
      <c r="QUU5"/>
      <c r="QUV5"/>
      <c r="QUW5"/>
      <c r="QUX5"/>
      <c r="QUY5"/>
      <c r="QUZ5"/>
      <c r="QVA5"/>
      <c r="QVB5"/>
      <c r="QVC5"/>
      <c r="QVD5"/>
      <c r="QVE5"/>
      <c r="QVF5"/>
      <c r="QVG5"/>
      <c r="QVH5"/>
      <c r="QVI5"/>
      <c r="QVJ5"/>
      <c r="QVK5"/>
      <c r="QVL5"/>
      <c r="QVM5"/>
      <c r="QVN5"/>
      <c r="QVO5"/>
      <c r="QVP5"/>
      <c r="QVQ5"/>
      <c r="QVR5"/>
      <c r="QVS5"/>
      <c r="QVT5"/>
      <c r="QVU5"/>
      <c r="QVV5"/>
      <c r="QVW5"/>
      <c r="QVX5"/>
      <c r="QVY5"/>
      <c r="QVZ5"/>
      <c r="QWA5"/>
      <c r="QWB5"/>
      <c r="QWC5"/>
      <c r="QWD5"/>
      <c r="QWE5"/>
      <c r="QWF5"/>
      <c r="QWG5"/>
      <c r="QWH5"/>
      <c r="QWI5"/>
      <c r="QWJ5"/>
      <c r="QWK5"/>
      <c r="QWL5"/>
      <c r="QWM5"/>
      <c r="QWN5"/>
      <c r="QWO5"/>
      <c r="QWP5"/>
      <c r="QWQ5"/>
      <c r="QWR5"/>
      <c r="QWS5"/>
      <c r="QWT5"/>
      <c r="QWU5"/>
      <c r="QWV5"/>
      <c r="QWW5"/>
      <c r="QWX5"/>
      <c r="QWY5"/>
      <c r="QWZ5"/>
      <c r="QXA5"/>
      <c r="QXB5"/>
      <c r="QXC5"/>
      <c r="QXD5"/>
      <c r="QXE5"/>
      <c r="QXF5"/>
      <c r="QXG5"/>
      <c r="QXH5"/>
      <c r="QXI5"/>
      <c r="QXJ5"/>
      <c r="QXK5"/>
      <c r="QXL5"/>
      <c r="QXM5"/>
      <c r="QXN5"/>
      <c r="QXO5"/>
      <c r="QXP5"/>
      <c r="QXQ5"/>
      <c r="QXR5"/>
      <c r="QXS5"/>
      <c r="QXT5"/>
      <c r="QXU5"/>
      <c r="QXV5"/>
      <c r="QXW5"/>
      <c r="QXX5"/>
      <c r="QXY5"/>
      <c r="QXZ5"/>
      <c r="QYA5"/>
      <c r="QYB5"/>
      <c r="QYC5"/>
      <c r="QYD5"/>
      <c r="QYE5"/>
      <c r="QYF5"/>
      <c r="QYG5"/>
      <c r="QYH5"/>
      <c r="QYI5"/>
      <c r="QYJ5"/>
      <c r="QYK5"/>
      <c r="QYL5"/>
      <c r="QYM5"/>
      <c r="QYN5"/>
      <c r="QYO5"/>
      <c r="QYP5"/>
      <c r="QYQ5"/>
      <c r="QYR5"/>
      <c r="QYS5"/>
      <c r="QYT5"/>
      <c r="QYU5"/>
      <c r="QYV5"/>
      <c r="QYW5"/>
      <c r="QYX5"/>
      <c r="QYY5"/>
      <c r="QYZ5"/>
      <c r="QZA5"/>
      <c r="QZB5"/>
      <c r="QZC5"/>
      <c r="QZD5"/>
      <c r="QZE5"/>
      <c r="QZF5"/>
      <c r="QZG5"/>
      <c r="QZH5"/>
      <c r="QZI5"/>
      <c r="QZJ5"/>
      <c r="QZK5"/>
      <c r="QZL5"/>
      <c r="QZM5"/>
      <c r="QZN5"/>
      <c r="QZO5"/>
      <c r="QZP5"/>
      <c r="QZQ5"/>
      <c r="QZR5"/>
      <c r="QZS5"/>
      <c r="QZT5"/>
      <c r="QZU5"/>
      <c r="QZV5"/>
      <c r="QZW5"/>
      <c r="QZX5"/>
      <c r="QZY5"/>
      <c r="QZZ5"/>
      <c r="RAA5"/>
      <c r="RAB5"/>
      <c r="RAC5"/>
      <c r="RAD5"/>
      <c r="RAE5"/>
      <c r="RAF5"/>
      <c r="RAG5"/>
      <c r="RAH5"/>
      <c r="RAI5"/>
      <c r="RAJ5"/>
      <c r="RAK5"/>
      <c r="RAL5"/>
      <c r="RAM5"/>
      <c r="RAN5"/>
      <c r="RAO5"/>
      <c r="RAP5"/>
      <c r="RAQ5"/>
      <c r="RAR5"/>
      <c r="RAS5"/>
      <c r="RAT5"/>
      <c r="RAU5"/>
      <c r="RAV5"/>
      <c r="RAW5"/>
      <c r="RAX5"/>
      <c r="RAY5"/>
      <c r="RAZ5"/>
      <c r="RBA5"/>
      <c r="RBB5"/>
      <c r="RBC5"/>
      <c r="RBD5"/>
      <c r="RBE5"/>
      <c r="RBF5"/>
      <c r="RBG5"/>
      <c r="RBH5"/>
      <c r="RBI5"/>
      <c r="RBJ5"/>
      <c r="RBK5"/>
      <c r="RBL5"/>
      <c r="RBM5"/>
      <c r="RBN5"/>
      <c r="RBO5"/>
      <c r="RBP5"/>
      <c r="RBQ5"/>
      <c r="RBR5"/>
      <c r="RBS5"/>
      <c r="RBT5"/>
      <c r="RBU5"/>
      <c r="RBV5"/>
      <c r="RBW5"/>
      <c r="RBX5"/>
      <c r="RBY5"/>
      <c r="RBZ5"/>
      <c r="RCA5"/>
      <c r="RCB5"/>
      <c r="RCC5"/>
      <c r="RCD5"/>
      <c r="RCE5"/>
      <c r="RCF5"/>
      <c r="RCG5"/>
      <c r="RCH5"/>
      <c r="RCI5"/>
      <c r="RCJ5"/>
      <c r="RCK5"/>
      <c r="RCL5"/>
      <c r="RCM5"/>
      <c r="RCN5"/>
      <c r="RCO5"/>
      <c r="RCP5"/>
      <c r="RCQ5"/>
      <c r="RCR5"/>
      <c r="RCS5"/>
      <c r="RCT5"/>
      <c r="RCU5"/>
      <c r="RCV5"/>
      <c r="RCW5"/>
      <c r="RCX5"/>
      <c r="RCY5"/>
      <c r="RCZ5"/>
      <c r="RDA5"/>
      <c r="RDB5"/>
      <c r="RDC5"/>
      <c r="RDD5"/>
      <c r="RDE5"/>
      <c r="RDF5"/>
      <c r="RDG5"/>
      <c r="RDH5"/>
      <c r="RDI5"/>
      <c r="RDJ5"/>
      <c r="RDK5"/>
      <c r="RDL5"/>
      <c r="RDM5"/>
      <c r="RDN5"/>
      <c r="RDO5"/>
      <c r="RDP5"/>
      <c r="RDQ5"/>
      <c r="RDR5"/>
      <c r="RDS5"/>
      <c r="RDT5"/>
      <c r="RDU5"/>
      <c r="RDV5"/>
      <c r="RDW5"/>
      <c r="RDX5"/>
      <c r="RDY5"/>
      <c r="RDZ5"/>
      <c r="REA5"/>
      <c r="REB5"/>
      <c r="REC5"/>
      <c r="RED5"/>
      <c r="REE5"/>
      <c r="REF5"/>
      <c r="REG5"/>
      <c r="REH5"/>
      <c r="REI5"/>
      <c r="REJ5"/>
      <c r="REK5"/>
      <c r="REL5"/>
      <c r="REM5"/>
      <c r="REN5"/>
      <c r="REO5"/>
      <c r="REP5"/>
      <c r="REQ5"/>
      <c r="RER5"/>
      <c r="RES5"/>
      <c r="RET5"/>
      <c r="REU5"/>
      <c r="REV5"/>
      <c r="REW5"/>
      <c r="REX5"/>
      <c r="REY5"/>
      <c r="REZ5"/>
      <c r="RFA5"/>
      <c r="RFB5"/>
      <c r="RFC5"/>
      <c r="RFD5"/>
      <c r="RFE5"/>
      <c r="RFF5"/>
      <c r="RFG5"/>
      <c r="RFH5"/>
      <c r="RFI5"/>
      <c r="RFJ5"/>
      <c r="RFK5"/>
      <c r="RFL5"/>
      <c r="RFM5"/>
      <c r="RFN5"/>
      <c r="RFO5"/>
      <c r="RFP5"/>
      <c r="RFQ5"/>
      <c r="RFR5"/>
      <c r="RFS5"/>
      <c r="RFT5"/>
      <c r="RFU5"/>
      <c r="RFV5"/>
      <c r="RFW5"/>
      <c r="RFX5"/>
      <c r="RFY5"/>
      <c r="RFZ5"/>
      <c r="RGA5"/>
      <c r="RGB5"/>
      <c r="RGC5"/>
      <c r="RGD5"/>
      <c r="RGE5"/>
      <c r="RGF5"/>
      <c r="RGG5"/>
      <c r="RGH5"/>
      <c r="RGI5"/>
      <c r="RGJ5"/>
      <c r="RGK5"/>
      <c r="RGL5"/>
      <c r="RGM5"/>
      <c r="RGN5"/>
      <c r="RGO5"/>
      <c r="RGP5"/>
      <c r="RGQ5"/>
      <c r="RGR5"/>
      <c r="RGS5"/>
      <c r="RGT5"/>
      <c r="RGU5"/>
      <c r="RGV5"/>
      <c r="RGW5"/>
      <c r="RGX5"/>
      <c r="RGY5"/>
      <c r="RGZ5"/>
      <c r="RHA5"/>
      <c r="RHB5"/>
      <c r="RHC5"/>
      <c r="RHD5"/>
      <c r="RHE5"/>
      <c r="RHF5"/>
      <c r="RHG5"/>
      <c r="RHH5"/>
      <c r="RHI5"/>
      <c r="RHJ5"/>
      <c r="RHK5"/>
      <c r="RHL5"/>
      <c r="RHM5"/>
      <c r="RHN5"/>
      <c r="RHO5"/>
      <c r="RHP5"/>
      <c r="RHQ5"/>
      <c r="RHR5"/>
      <c r="RHS5"/>
      <c r="RHT5"/>
      <c r="RHU5"/>
      <c r="RHV5"/>
      <c r="RHW5"/>
      <c r="RHX5"/>
      <c r="RHY5"/>
      <c r="RHZ5"/>
      <c r="RIA5"/>
      <c r="RIB5"/>
      <c r="RIC5"/>
      <c r="RID5"/>
      <c r="RIE5"/>
      <c r="RIF5"/>
      <c r="RIG5"/>
      <c r="RIH5"/>
      <c r="RII5"/>
      <c r="RIJ5"/>
      <c r="RIK5"/>
      <c r="RIL5"/>
      <c r="RIM5"/>
      <c r="RIN5"/>
      <c r="RIO5"/>
      <c r="RIP5"/>
      <c r="RIQ5"/>
      <c r="RIR5"/>
      <c r="RIS5"/>
      <c r="RIT5"/>
      <c r="RIU5"/>
      <c r="RIV5"/>
      <c r="RIW5"/>
      <c r="RIX5"/>
      <c r="RIY5"/>
      <c r="RIZ5"/>
      <c r="RJA5"/>
      <c r="RJB5"/>
      <c r="RJC5"/>
      <c r="RJD5"/>
      <c r="RJE5"/>
      <c r="RJF5"/>
      <c r="RJG5"/>
      <c r="RJH5"/>
      <c r="RJI5"/>
      <c r="RJJ5"/>
      <c r="RJK5"/>
      <c r="RJL5"/>
      <c r="RJM5"/>
      <c r="RJN5"/>
      <c r="RJO5"/>
      <c r="RJP5"/>
      <c r="RJQ5"/>
      <c r="RJR5"/>
      <c r="RJS5"/>
      <c r="RJT5"/>
      <c r="RJU5"/>
      <c r="RJV5"/>
      <c r="RJW5"/>
      <c r="RJX5"/>
      <c r="RJY5"/>
      <c r="RJZ5"/>
      <c r="RKA5"/>
      <c r="RKB5"/>
      <c r="RKC5"/>
      <c r="RKD5"/>
      <c r="RKE5"/>
      <c r="RKF5"/>
      <c r="RKG5"/>
      <c r="RKH5"/>
      <c r="RKI5"/>
      <c r="RKJ5"/>
      <c r="RKK5"/>
      <c r="RKL5"/>
      <c r="RKM5"/>
      <c r="RKN5"/>
      <c r="RKO5"/>
      <c r="RKP5"/>
      <c r="RKQ5"/>
      <c r="RKR5"/>
      <c r="RKS5"/>
      <c r="RKT5"/>
      <c r="RKU5"/>
      <c r="RKV5"/>
      <c r="RKW5"/>
      <c r="RKX5"/>
      <c r="RKY5"/>
      <c r="RKZ5"/>
      <c r="RLA5"/>
      <c r="RLB5"/>
      <c r="RLC5"/>
      <c r="RLD5"/>
      <c r="RLE5"/>
      <c r="RLF5"/>
      <c r="RLG5"/>
      <c r="RLH5"/>
      <c r="RLI5"/>
      <c r="RLJ5"/>
      <c r="RLK5"/>
      <c r="RLL5"/>
      <c r="RLM5"/>
      <c r="RLN5"/>
      <c r="RLO5"/>
      <c r="RLP5"/>
      <c r="RLQ5"/>
      <c r="RLR5"/>
      <c r="RLS5"/>
      <c r="RLT5"/>
      <c r="RLU5"/>
      <c r="RLV5"/>
      <c r="RLW5"/>
      <c r="RLX5"/>
      <c r="RLY5"/>
      <c r="RLZ5"/>
      <c r="RMA5"/>
      <c r="RMB5"/>
      <c r="RMC5"/>
      <c r="RMD5"/>
      <c r="RME5"/>
      <c r="RMF5"/>
      <c r="RMG5"/>
      <c r="RMH5"/>
      <c r="RMI5"/>
      <c r="RMJ5"/>
      <c r="RMK5"/>
      <c r="RML5"/>
      <c r="RMM5"/>
      <c r="RMN5"/>
      <c r="RMO5"/>
      <c r="RMP5"/>
      <c r="RMQ5"/>
      <c r="RMR5"/>
      <c r="RMS5"/>
      <c r="RMT5"/>
      <c r="RMU5"/>
      <c r="RMV5"/>
      <c r="RMW5"/>
      <c r="RMX5"/>
      <c r="RMY5"/>
      <c r="RMZ5"/>
      <c r="RNA5"/>
      <c r="RNB5"/>
      <c r="RNC5"/>
      <c r="RND5"/>
      <c r="RNE5"/>
      <c r="RNF5"/>
      <c r="RNG5"/>
      <c r="RNH5"/>
      <c r="RNI5"/>
      <c r="RNJ5"/>
      <c r="RNK5"/>
      <c r="RNL5"/>
      <c r="RNM5"/>
      <c r="RNN5"/>
      <c r="RNO5"/>
      <c r="RNP5"/>
      <c r="RNQ5"/>
      <c r="RNR5"/>
      <c r="RNS5"/>
      <c r="RNT5"/>
      <c r="RNU5"/>
      <c r="RNV5"/>
      <c r="RNW5"/>
      <c r="RNX5"/>
      <c r="RNY5"/>
      <c r="RNZ5"/>
      <c r="ROA5"/>
      <c r="ROB5"/>
      <c r="ROC5"/>
      <c r="ROD5"/>
      <c r="ROE5"/>
      <c r="ROF5"/>
      <c r="ROG5"/>
      <c r="ROH5"/>
      <c r="ROI5"/>
      <c r="ROJ5"/>
      <c r="ROK5"/>
      <c r="ROL5"/>
      <c r="ROM5"/>
      <c r="RON5"/>
      <c r="ROO5"/>
      <c r="ROP5"/>
      <c r="ROQ5"/>
      <c r="ROR5"/>
      <c r="ROS5"/>
      <c r="ROT5"/>
      <c r="ROU5"/>
      <c r="ROV5"/>
      <c r="ROW5"/>
      <c r="ROX5"/>
      <c r="ROY5"/>
      <c r="ROZ5"/>
      <c r="RPA5"/>
      <c r="RPB5"/>
      <c r="RPC5"/>
      <c r="RPD5"/>
      <c r="RPE5"/>
      <c r="RPF5"/>
      <c r="RPG5"/>
      <c r="RPH5"/>
      <c r="RPI5"/>
      <c r="RPJ5"/>
      <c r="RPK5"/>
      <c r="RPL5"/>
      <c r="RPM5"/>
      <c r="RPN5"/>
      <c r="RPO5"/>
      <c r="RPP5"/>
      <c r="RPQ5"/>
      <c r="RPR5"/>
      <c r="RPS5"/>
      <c r="RPT5"/>
      <c r="RPU5"/>
      <c r="RPV5"/>
      <c r="RPW5"/>
      <c r="RPX5"/>
      <c r="RPY5"/>
      <c r="RPZ5"/>
      <c r="RQA5"/>
      <c r="RQB5"/>
      <c r="RQC5"/>
      <c r="RQD5"/>
      <c r="RQE5"/>
      <c r="RQF5"/>
      <c r="RQG5"/>
      <c r="RQH5"/>
      <c r="RQI5"/>
      <c r="RQJ5"/>
      <c r="RQK5"/>
      <c r="RQL5"/>
      <c r="RQM5"/>
      <c r="RQN5"/>
      <c r="RQO5"/>
      <c r="RQP5"/>
      <c r="RQQ5"/>
      <c r="RQR5"/>
      <c r="RQS5"/>
      <c r="RQT5"/>
      <c r="RQU5"/>
      <c r="RQV5"/>
      <c r="RQW5"/>
      <c r="RQX5"/>
      <c r="RQY5"/>
      <c r="RQZ5"/>
      <c r="RRA5"/>
      <c r="RRB5"/>
      <c r="RRC5"/>
      <c r="RRD5"/>
      <c r="RRE5"/>
      <c r="RRF5"/>
      <c r="RRG5"/>
      <c r="RRH5"/>
      <c r="RRI5"/>
      <c r="RRJ5"/>
      <c r="RRK5"/>
      <c r="RRL5"/>
      <c r="RRM5"/>
      <c r="RRN5"/>
      <c r="RRO5"/>
      <c r="RRP5"/>
      <c r="RRQ5"/>
      <c r="RRR5"/>
      <c r="RRS5"/>
      <c r="RRT5"/>
      <c r="RRU5"/>
      <c r="RRV5"/>
      <c r="RRW5"/>
      <c r="RRX5"/>
      <c r="RRY5"/>
      <c r="RRZ5"/>
      <c r="RSA5"/>
      <c r="RSB5"/>
      <c r="RSC5"/>
      <c r="RSD5"/>
      <c r="RSE5"/>
      <c r="RSF5"/>
      <c r="RSG5"/>
      <c r="RSH5"/>
      <c r="RSI5"/>
      <c r="RSJ5"/>
      <c r="RSK5"/>
      <c r="RSL5"/>
      <c r="RSM5"/>
      <c r="RSN5"/>
      <c r="RSO5"/>
      <c r="RSP5"/>
      <c r="RSQ5"/>
      <c r="RSR5"/>
      <c r="RSS5"/>
      <c r="RST5"/>
      <c r="RSU5"/>
      <c r="RSV5"/>
      <c r="RSW5"/>
      <c r="RSX5"/>
      <c r="RSY5"/>
      <c r="RSZ5"/>
      <c r="RTA5"/>
      <c r="RTB5"/>
      <c r="RTC5"/>
      <c r="RTD5"/>
      <c r="RTE5"/>
      <c r="RTF5"/>
      <c r="RTG5"/>
      <c r="RTH5"/>
      <c r="RTI5"/>
      <c r="RTJ5"/>
      <c r="RTK5"/>
      <c r="RTL5"/>
      <c r="RTM5"/>
      <c r="RTN5"/>
      <c r="RTO5"/>
      <c r="RTP5"/>
      <c r="RTQ5"/>
      <c r="RTR5"/>
      <c r="RTS5"/>
      <c r="RTT5"/>
      <c r="RTU5"/>
      <c r="RTV5"/>
      <c r="RTW5"/>
      <c r="RTX5"/>
      <c r="RTY5"/>
      <c r="RTZ5"/>
      <c r="RUA5"/>
      <c r="RUB5"/>
      <c r="RUC5"/>
      <c r="RUD5"/>
      <c r="RUE5"/>
      <c r="RUF5"/>
      <c r="RUG5"/>
      <c r="RUH5"/>
      <c r="RUI5"/>
      <c r="RUJ5"/>
      <c r="RUK5"/>
      <c r="RUL5"/>
      <c r="RUM5"/>
      <c r="RUN5"/>
      <c r="RUO5"/>
      <c r="RUP5"/>
      <c r="RUQ5"/>
      <c r="RUR5"/>
      <c r="RUS5"/>
      <c r="RUT5"/>
      <c r="RUU5"/>
      <c r="RUV5"/>
      <c r="RUW5"/>
      <c r="RUX5"/>
      <c r="RUY5"/>
      <c r="RUZ5"/>
      <c r="RVA5"/>
      <c r="RVB5"/>
      <c r="RVC5"/>
      <c r="RVD5"/>
      <c r="RVE5"/>
      <c r="RVF5"/>
      <c r="RVG5"/>
      <c r="RVH5"/>
      <c r="RVI5"/>
      <c r="RVJ5"/>
      <c r="RVK5"/>
      <c r="RVL5"/>
      <c r="RVM5"/>
      <c r="RVN5"/>
      <c r="RVO5"/>
      <c r="RVP5"/>
      <c r="RVQ5"/>
      <c r="RVR5"/>
      <c r="RVS5"/>
      <c r="RVT5"/>
      <c r="RVU5"/>
      <c r="RVV5"/>
      <c r="RVW5"/>
      <c r="RVX5"/>
      <c r="RVY5"/>
      <c r="RVZ5"/>
      <c r="RWA5"/>
      <c r="RWB5"/>
      <c r="RWC5"/>
      <c r="RWD5"/>
      <c r="RWE5"/>
      <c r="RWF5"/>
      <c r="RWG5"/>
      <c r="RWH5"/>
      <c r="RWI5"/>
      <c r="RWJ5"/>
      <c r="RWK5"/>
      <c r="RWL5"/>
      <c r="RWM5"/>
      <c r="RWN5"/>
      <c r="RWO5"/>
      <c r="RWP5"/>
      <c r="RWQ5"/>
      <c r="RWR5"/>
      <c r="RWS5"/>
      <c r="RWT5"/>
      <c r="RWU5"/>
      <c r="RWV5"/>
      <c r="RWW5"/>
      <c r="RWX5"/>
      <c r="RWY5"/>
      <c r="RWZ5"/>
      <c r="RXA5"/>
      <c r="RXB5"/>
      <c r="RXC5"/>
      <c r="RXD5"/>
      <c r="RXE5"/>
      <c r="RXF5"/>
      <c r="RXG5"/>
      <c r="RXH5"/>
      <c r="RXI5"/>
      <c r="RXJ5"/>
      <c r="RXK5"/>
      <c r="RXL5"/>
      <c r="RXM5"/>
      <c r="RXN5"/>
      <c r="RXO5"/>
      <c r="RXP5"/>
      <c r="RXQ5"/>
      <c r="RXR5"/>
      <c r="RXS5"/>
      <c r="RXT5"/>
      <c r="RXU5"/>
      <c r="RXV5"/>
      <c r="RXW5"/>
      <c r="RXX5"/>
      <c r="RXY5"/>
      <c r="RXZ5"/>
      <c r="RYA5"/>
      <c r="RYB5"/>
      <c r="RYC5"/>
      <c r="RYD5"/>
      <c r="RYE5"/>
      <c r="RYF5"/>
      <c r="RYG5"/>
      <c r="RYH5"/>
      <c r="RYI5"/>
      <c r="RYJ5"/>
      <c r="RYK5"/>
      <c r="RYL5"/>
      <c r="RYM5"/>
      <c r="RYN5"/>
      <c r="RYO5"/>
      <c r="RYP5"/>
      <c r="RYQ5"/>
      <c r="RYR5"/>
      <c r="RYS5"/>
      <c r="RYT5"/>
      <c r="RYU5"/>
      <c r="RYV5"/>
      <c r="RYW5"/>
      <c r="RYX5"/>
      <c r="RYY5"/>
      <c r="RYZ5"/>
      <c r="RZA5"/>
      <c r="RZB5"/>
      <c r="RZC5"/>
      <c r="RZD5"/>
      <c r="RZE5"/>
      <c r="RZF5"/>
      <c r="RZG5"/>
      <c r="RZH5"/>
      <c r="RZI5"/>
      <c r="RZJ5"/>
      <c r="RZK5"/>
      <c r="RZL5"/>
      <c r="RZM5"/>
      <c r="RZN5"/>
      <c r="RZO5"/>
      <c r="RZP5"/>
      <c r="RZQ5"/>
      <c r="RZR5"/>
      <c r="RZS5"/>
      <c r="RZT5"/>
      <c r="RZU5"/>
      <c r="RZV5"/>
      <c r="RZW5"/>
      <c r="RZX5"/>
      <c r="RZY5"/>
      <c r="RZZ5"/>
      <c r="SAA5"/>
      <c r="SAB5"/>
      <c r="SAC5"/>
      <c r="SAD5"/>
      <c r="SAE5"/>
      <c r="SAF5"/>
      <c r="SAG5"/>
      <c r="SAH5"/>
      <c r="SAI5"/>
      <c r="SAJ5"/>
      <c r="SAK5"/>
      <c r="SAL5"/>
      <c r="SAM5"/>
      <c r="SAN5"/>
      <c r="SAO5"/>
      <c r="SAP5"/>
      <c r="SAQ5"/>
      <c r="SAR5"/>
      <c r="SAS5"/>
      <c r="SAT5"/>
      <c r="SAU5"/>
      <c r="SAV5"/>
      <c r="SAW5"/>
      <c r="SAX5"/>
      <c r="SAY5"/>
      <c r="SAZ5"/>
      <c r="SBA5"/>
      <c r="SBB5"/>
      <c r="SBC5"/>
      <c r="SBD5"/>
      <c r="SBE5"/>
      <c r="SBF5"/>
      <c r="SBG5"/>
      <c r="SBH5"/>
      <c r="SBI5"/>
      <c r="SBJ5"/>
      <c r="SBK5"/>
      <c r="SBL5"/>
      <c r="SBM5"/>
      <c r="SBN5"/>
      <c r="SBO5"/>
      <c r="SBP5"/>
      <c r="SBQ5"/>
      <c r="SBR5"/>
      <c r="SBS5"/>
      <c r="SBT5"/>
      <c r="SBU5"/>
      <c r="SBV5"/>
      <c r="SBW5"/>
      <c r="SBX5"/>
      <c r="SBY5"/>
      <c r="SBZ5"/>
      <c r="SCA5"/>
      <c r="SCB5"/>
      <c r="SCC5"/>
      <c r="SCD5"/>
      <c r="SCE5"/>
      <c r="SCF5"/>
      <c r="SCG5"/>
      <c r="SCH5"/>
      <c r="SCI5"/>
      <c r="SCJ5"/>
      <c r="SCK5"/>
      <c r="SCL5"/>
      <c r="SCM5"/>
      <c r="SCN5"/>
      <c r="SCO5"/>
      <c r="SCP5"/>
      <c r="SCQ5"/>
      <c r="SCR5"/>
      <c r="SCS5"/>
      <c r="SCT5"/>
      <c r="SCU5"/>
      <c r="SCV5"/>
      <c r="SCW5"/>
      <c r="SCX5"/>
      <c r="SCY5"/>
      <c r="SCZ5"/>
      <c r="SDA5"/>
      <c r="SDB5"/>
      <c r="SDC5"/>
      <c r="SDD5"/>
      <c r="SDE5"/>
      <c r="SDF5"/>
      <c r="SDG5"/>
      <c r="SDH5"/>
      <c r="SDI5"/>
      <c r="SDJ5"/>
      <c r="SDK5"/>
      <c r="SDL5"/>
      <c r="SDM5"/>
      <c r="SDN5"/>
      <c r="SDO5"/>
      <c r="SDP5"/>
      <c r="SDQ5"/>
      <c r="SDR5"/>
      <c r="SDS5"/>
      <c r="SDT5"/>
      <c r="SDU5"/>
      <c r="SDV5"/>
      <c r="SDW5"/>
      <c r="SDX5"/>
      <c r="SDY5"/>
      <c r="SDZ5"/>
      <c r="SEA5"/>
      <c r="SEB5"/>
      <c r="SEC5"/>
      <c r="SED5"/>
      <c r="SEE5"/>
      <c r="SEF5"/>
      <c r="SEG5"/>
      <c r="SEH5"/>
      <c r="SEI5"/>
      <c r="SEJ5"/>
      <c r="SEK5"/>
      <c r="SEL5"/>
      <c r="SEM5"/>
      <c r="SEN5"/>
      <c r="SEO5"/>
      <c r="SEP5"/>
      <c r="SEQ5"/>
      <c r="SER5"/>
      <c r="SES5"/>
      <c r="SET5"/>
      <c r="SEU5"/>
      <c r="SEV5"/>
      <c r="SEW5"/>
      <c r="SEX5"/>
      <c r="SEY5"/>
      <c r="SEZ5"/>
      <c r="SFA5"/>
      <c r="SFB5"/>
      <c r="SFC5"/>
      <c r="SFD5"/>
      <c r="SFE5"/>
      <c r="SFF5"/>
      <c r="SFG5"/>
      <c r="SFH5"/>
      <c r="SFI5"/>
      <c r="SFJ5"/>
      <c r="SFK5"/>
      <c r="SFL5"/>
      <c r="SFM5"/>
      <c r="SFN5"/>
      <c r="SFO5"/>
      <c r="SFP5"/>
      <c r="SFQ5"/>
      <c r="SFR5"/>
      <c r="SFS5"/>
      <c r="SFT5"/>
      <c r="SFU5"/>
      <c r="SFV5"/>
      <c r="SFW5"/>
      <c r="SFX5"/>
      <c r="SFY5"/>
      <c r="SFZ5"/>
      <c r="SGA5"/>
      <c r="SGB5"/>
      <c r="SGC5"/>
      <c r="SGD5"/>
      <c r="SGE5"/>
      <c r="SGF5"/>
      <c r="SGG5"/>
      <c r="SGH5"/>
      <c r="SGI5"/>
      <c r="SGJ5"/>
      <c r="SGK5"/>
      <c r="SGL5"/>
      <c r="SGM5"/>
      <c r="SGN5"/>
      <c r="SGO5"/>
      <c r="SGP5"/>
      <c r="SGQ5"/>
      <c r="SGR5"/>
      <c r="SGS5"/>
      <c r="SGT5"/>
      <c r="SGU5"/>
      <c r="SGV5"/>
      <c r="SGW5"/>
      <c r="SGX5"/>
      <c r="SGY5"/>
      <c r="SGZ5"/>
      <c r="SHA5"/>
      <c r="SHB5"/>
      <c r="SHC5"/>
      <c r="SHD5"/>
      <c r="SHE5"/>
      <c r="SHF5"/>
      <c r="SHG5"/>
      <c r="SHH5"/>
      <c r="SHI5"/>
      <c r="SHJ5"/>
      <c r="SHK5"/>
      <c r="SHL5"/>
      <c r="SHM5"/>
      <c r="SHN5"/>
      <c r="SHO5"/>
      <c r="SHP5"/>
      <c r="SHQ5"/>
      <c r="SHR5"/>
      <c r="SHS5"/>
      <c r="SHT5"/>
      <c r="SHU5"/>
      <c r="SHV5"/>
      <c r="SHW5"/>
      <c r="SHX5"/>
      <c r="SHY5"/>
      <c r="SHZ5"/>
      <c r="SIA5"/>
      <c r="SIB5"/>
      <c r="SIC5"/>
      <c r="SID5"/>
      <c r="SIE5"/>
      <c r="SIF5"/>
      <c r="SIG5"/>
      <c r="SIH5"/>
      <c r="SII5"/>
      <c r="SIJ5"/>
      <c r="SIK5"/>
      <c r="SIL5"/>
      <c r="SIM5"/>
      <c r="SIN5"/>
      <c r="SIO5"/>
      <c r="SIP5"/>
      <c r="SIQ5"/>
      <c r="SIR5"/>
      <c r="SIS5"/>
      <c r="SIT5"/>
      <c r="SIU5"/>
      <c r="SIV5"/>
      <c r="SIW5"/>
      <c r="SIX5"/>
      <c r="SIY5"/>
      <c r="SIZ5"/>
      <c r="SJA5"/>
      <c r="SJB5"/>
      <c r="SJC5"/>
      <c r="SJD5"/>
      <c r="SJE5"/>
      <c r="SJF5"/>
      <c r="SJG5"/>
      <c r="SJH5"/>
      <c r="SJI5"/>
      <c r="SJJ5"/>
      <c r="SJK5"/>
      <c r="SJL5"/>
      <c r="SJM5"/>
      <c r="SJN5"/>
      <c r="SJO5"/>
      <c r="SJP5"/>
      <c r="SJQ5"/>
      <c r="SJR5"/>
      <c r="SJS5"/>
      <c r="SJT5"/>
      <c r="SJU5"/>
      <c r="SJV5"/>
      <c r="SJW5"/>
      <c r="SJX5"/>
      <c r="SJY5"/>
      <c r="SJZ5"/>
      <c r="SKA5"/>
      <c r="SKB5"/>
      <c r="SKC5"/>
      <c r="SKD5"/>
      <c r="SKE5"/>
      <c r="SKF5"/>
      <c r="SKG5"/>
      <c r="SKH5"/>
      <c r="SKI5"/>
      <c r="SKJ5"/>
      <c r="SKK5"/>
      <c r="SKL5"/>
      <c r="SKM5"/>
      <c r="SKN5"/>
      <c r="SKO5"/>
      <c r="SKP5"/>
      <c r="SKQ5"/>
      <c r="SKR5"/>
      <c r="SKS5"/>
      <c r="SKT5"/>
      <c r="SKU5"/>
      <c r="SKV5"/>
      <c r="SKW5"/>
      <c r="SKX5"/>
      <c r="SKY5"/>
      <c r="SKZ5"/>
      <c r="SLA5"/>
      <c r="SLB5"/>
      <c r="SLC5"/>
      <c r="SLD5"/>
      <c r="SLE5"/>
      <c r="SLF5"/>
      <c r="SLG5"/>
      <c r="SLH5"/>
      <c r="SLI5"/>
      <c r="SLJ5"/>
      <c r="SLK5"/>
      <c r="SLL5"/>
      <c r="SLM5"/>
      <c r="SLN5"/>
      <c r="SLO5"/>
      <c r="SLP5"/>
      <c r="SLQ5"/>
      <c r="SLR5"/>
      <c r="SLS5"/>
      <c r="SLT5"/>
      <c r="SLU5"/>
      <c r="SLV5"/>
      <c r="SLW5"/>
      <c r="SLX5"/>
      <c r="SLY5"/>
      <c r="SLZ5"/>
      <c r="SMA5"/>
      <c r="SMB5"/>
      <c r="SMC5"/>
      <c r="SMD5"/>
      <c r="SME5"/>
      <c r="SMF5"/>
      <c r="SMG5"/>
      <c r="SMH5"/>
      <c r="SMI5"/>
      <c r="SMJ5"/>
      <c r="SMK5"/>
      <c r="SML5"/>
      <c r="SMM5"/>
      <c r="SMN5"/>
      <c r="SMO5"/>
      <c r="SMP5"/>
      <c r="SMQ5"/>
      <c r="SMR5"/>
      <c r="SMS5"/>
      <c r="SMT5"/>
      <c r="SMU5"/>
      <c r="SMV5"/>
      <c r="SMW5"/>
      <c r="SMX5"/>
      <c r="SMY5"/>
      <c r="SMZ5"/>
      <c r="SNA5"/>
      <c r="SNB5"/>
      <c r="SNC5"/>
      <c r="SND5"/>
      <c r="SNE5"/>
      <c r="SNF5"/>
      <c r="SNG5"/>
      <c r="SNH5"/>
      <c r="SNI5"/>
      <c r="SNJ5"/>
      <c r="SNK5"/>
      <c r="SNL5"/>
      <c r="SNM5"/>
      <c r="SNN5"/>
      <c r="SNO5"/>
      <c r="SNP5"/>
      <c r="SNQ5"/>
      <c r="SNR5"/>
      <c r="SNS5"/>
      <c r="SNT5"/>
      <c r="SNU5"/>
      <c r="SNV5"/>
      <c r="SNW5"/>
      <c r="SNX5"/>
      <c r="SNY5"/>
      <c r="SNZ5"/>
      <c r="SOA5"/>
      <c r="SOB5"/>
      <c r="SOC5"/>
      <c r="SOD5"/>
      <c r="SOE5"/>
      <c r="SOF5"/>
      <c r="SOG5"/>
      <c r="SOH5"/>
      <c r="SOI5"/>
      <c r="SOJ5"/>
      <c r="SOK5"/>
      <c r="SOL5"/>
      <c r="SOM5"/>
      <c r="SON5"/>
      <c r="SOO5"/>
      <c r="SOP5"/>
      <c r="SOQ5"/>
      <c r="SOR5"/>
      <c r="SOS5"/>
      <c r="SOT5"/>
      <c r="SOU5"/>
      <c r="SOV5"/>
      <c r="SOW5"/>
      <c r="SOX5"/>
      <c r="SOY5"/>
      <c r="SOZ5"/>
      <c r="SPA5"/>
      <c r="SPB5"/>
      <c r="SPC5"/>
      <c r="SPD5"/>
      <c r="SPE5"/>
      <c r="SPF5"/>
      <c r="SPG5"/>
      <c r="SPH5"/>
      <c r="SPI5"/>
      <c r="SPJ5"/>
      <c r="SPK5"/>
      <c r="SPL5"/>
      <c r="SPM5"/>
      <c r="SPN5"/>
      <c r="SPO5"/>
      <c r="SPP5"/>
      <c r="SPQ5"/>
      <c r="SPR5"/>
      <c r="SPS5"/>
      <c r="SPT5"/>
      <c r="SPU5"/>
      <c r="SPV5"/>
      <c r="SPW5"/>
      <c r="SPX5"/>
      <c r="SPY5"/>
      <c r="SPZ5"/>
      <c r="SQA5"/>
      <c r="SQB5"/>
      <c r="SQC5"/>
      <c r="SQD5"/>
      <c r="SQE5"/>
      <c r="SQF5"/>
      <c r="SQG5"/>
      <c r="SQH5"/>
      <c r="SQI5"/>
      <c r="SQJ5"/>
      <c r="SQK5"/>
      <c r="SQL5"/>
      <c r="SQM5"/>
      <c r="SQN5"/>
      <c r="SQO5"/>
      <c r="SQP5"/>
      <c r="SQQ5"/>
      <c r="SQR5"/>
      <c r="SQS5"/>
      <c r="SQT5"/>
      <c r="SQU5"/>
      <c r="SQV5"/>
      <c r="SQW5"/>
      <c r="SQX5"/>
      <c r="SQY5"/>
      <c r="SQZ5"/>
      <c r="SRA5"/>
      <c r="SRB5"/>
      <c r="SRC5"/>
      <c r="SRD5"/>
      <c r="SRE5"/>
      <c r="SRF5"/>
      <c r="SRG5"/>
      <c r="SRH5"/>
      <c r="SRI5"/>
      <c r="SRJ5"/>
      <c r="SRK5"/>
      <c r="SRL5"/>
      <c r="SRM5"/>
      <c r="SRN5"/>
      <c r="SRO5"/>
      <c r="SRP5"/>
      <c r="SRQ5"/>
      <c r="SRR5"/>
      <c r="SRS5"/>
      <c r="SRT5"/>
      <c r="SRU5"/>
      <c r="SRV5"/>
      <c r="SRW5"/>
      <c r="SRX5"/>
      <c r="SRY5"/>
      <c r="SRZ5"/>
      <c r="SSA5"/>
      <c r="SSB5"/>
      <c r="SSC5"/>
      <c r="SSD5"/>
      <c r="SSE5"/>
      <c r="SSF5"/>
      <c r="SSG5"/>
      <c r="SSH5"/>
      <c r="SSI5"/>
      <c r="SSJ5"/>
      <c r="SSK5"/>
      <c r="SSL5"/>
      <c r="SSM5"/>
      <c r="SSN5"/>
      <c r="SSO5"/>
      <c r="SSP5"/>
      <c r="SSQ5"/>
      <c r="SSR5"/>
      <c r="SSS5"/>
      <c r="SST5"/>
      <c r="SSU5"/>
      <c r="SSV5"/>
      <c r="SSW5"/>
      <c r="SSX5"/>
      <c r="SSY5"/>
      <c r="SSZ5"/>
      <c r="STA5"/>
      <c r="STB5"/>
      <c r="STC5"/>
      <c r="STD5"/>
      <c r="STE5"/>
      <c r="STF5"/>
      <c r="STG5"/>
      <c r="STH5"/>
      <c r="STI5"/>
      <c r="STJ5"/>
      <c r="STK5"/>
      <c r="STL5"/>
      <c r="STM5"/>
      <c r="STN5"/>
      <c r="STO5"/>
      <c r="STP5"/>
      <c r="STQ5"/>
      <c r="STR5"/>
      <c r="STS5"/>
      <c r="STT5"/>
      <c r="STU5"/>
      <c r="STV5"/>
      <c r="STW5"/>
      <c r="STX5"/>
      <c r="STY5"/>
      <c r="STZ5"/>
      <c r="SUA5"/>
      <c r="SUB5"/>
      <c r="SUC5"/>
      <c r="SUD5"/>
      <c r="SUE5"/>
      <c r="SUF5"/>
      <c r="SUG5"/>
      <c r="SUH5"/>
      <c r="SUI5"/>
      <c r="SUJ5"/>
      <c r="SUK5"/>
      <c r="SUL5"/>
      <c r="SUM5"/>
      <c r="SUN5"/>
      <c r="SUO5"/>
      <c r="SUP5"/>
      <c r="SUQ5"/>
      <c r="SUR5"/>
      <c r="SUS5"/>
      <c r="SUT5"/>
      <c r="SUU5"/>
      <c r="SUV5"/>
      <c r="SUW5"/>
      <c r="SUX5"/>
      <c r="SUY5"/>
      <c r="SUZ5"/>
      <c r="SVA5"/>
      <c r="SVB5"/>
      <c r="SVC5"/>
      <c r="SVD5"/>
      <c r="SVE5"/>
      <c r="SVF5"/>
      <c r="SVG5"/>
      <c r="SVH5"/>
      <c r="SVI5"/>
      <c r="SVJ5"/>
      <c r="SVK5"/>
      <c r="SVL5"/>
      <c r="SVM5"/>
      <c r="SVN5"/>
      <c r="SVO5"/>
      <c r="SVP5"/>
      <c r="SVQ5"/>
      <c r="SVR5"/>
      <c r="SVS5"/>
      <c r="SVT5"/>
      <c r="SVU5"/>
      <c r="SVV5"/>
      <c r="SVW5"/>
      <c r="SVX5"/>
      <c r="SVY5"/>
      <c r="SVZ5"/>
      <c r="SWA5"/>
      <c r="SWB5"/>
      <c r="SWC5"/>
      <c r="SWD5"/>
      <c r="SWE5"/>
      <c r="SWF5"/>
      <c r="SWG5"/>
      <c r="SWH5"/>
      <c r="SWI5"/>
      <c r="SWJ5"/>
      <c r="SWK5"/>
      <c r="SWL5"/>
      <c r="SWM5"/>
      <c r="SWN5"/>
      <c r="SWO5"/>
      <c r="SWP5"/>
      <c r="SWQ5"/>
      <c r="SWR5"/>
      <c r="SWS5"/>
      <c r="SWT5"/>
      <c r="SWU5"/>
      <c r="SWV5"/>
      <c r="SWW5"/>
      <c r="SWX5"/>
      <c r="SWY5"/>
      <c r="SWZ5"/>
      <c r="SXA5"/>
      <c r="SXB5"/>
      <c r="SXC5"/>
      <c r="SXD5"/>
      <c r="SXE5"/>
      <c r="SXF5"/>
      <c r="SXG5"/>
      <c r="SXH5"/>
      <c r="SXI5"/>
      <c r="SXJ5"/>
      <c r="SXK5"/>
      <c r="SXL5"/>
      <c r="SXM5"/>
      <c r="SXN5"/>
      <c r="SXO5"/>
      <c r="SXP5"/>
      <c r="SXQ5"/>
      <c r="SXR5"/>
      <c r="SXS5"/>
      <c r="SXT5"/>
      <c r="SXU5"/>
      <c r="SXV5"/>
      <c r="SXW5"/>
      <c r="SXX5"/>
      <c r="SXY5"/>
      <c r="SXZ5"/>
      <c r="SYA5"/>
      <c r="SYB5"/>
      <c r="SYC5"/>
      <c r="SYD5"/>
      <c r="SYE5"/>
      <c r="SYF5"/>
      <c r="SYG5"/>
      <c r="SYH5"/>
      <c r="SYI5"/>
      <c r="SYJ5"/>
      <c r="SYK5"/>
      <c r="SYL5"/>
      <c r="SYM5"/>
      <c r="SYN5"/>
      <c r="SYO5"/>
      <c r="SYP5"/>
      <c r="SYQ5"/>
      <c r="SYR5"/>
      <c r="SYS5"/>
      <c r="SYT5"/>
      <c r="SYU5"/>
      <c r="SYV5"/>
      <c r="SYW5"/>
      <c r="SYX5"/>
      <c r="SYY5"/>
      <c r="SYZ5"/>
      <c r="SZA5"/>
      <c r="SZB5"/>
      <c r="SZC5"/>
      <c r="SZD5"/>
      <c r="SZE5"/>
      <c r="SZF5"/>
      <c r="SZG5"/>
      <c r="SZH5"/>
      <c r="SZI5"/>
      <c r="SZJ5"/>
      <c r="SZK5"/>
      <c r="SZL5"/>
      <c r="SZM5"/>
      <c r="SZN5"/>
      <c r="SZO5"/>
      <c r="SZP5"/>
      <c r="SZQ5"/>
      <c r="SZR5"/>
      <c r="SZS5"/>
      <c r="SZT5"/>
      <c r="SZU5"/>
      <c r="SZV5"/>
      <c r="SZW5"/>
      <c r="SZX5"/>
      <c r="SZY5"/>
      <c r="SZZ5"/>
      <c r="TAA5"/>
      <c r="TAB5"/>
      <c r="TAC5"/>
      <c r="TAD5"/>
      <c r="TAE5"/>
      <c r="TAF5"/>
      <c r="TAG5"/>
      <c r="TAH5"/>
      <c r="TAI5"/>
      <c r="TAJ5"/>
      <c r="TAK5"/>
      <c r="TAL5"/>
      <c r="TAM5"/>
      <c r="TAN5"/>
      <c r="TAO5"/>
      <c r="TAP5"/>
      <c r="TAQ5"/>
      <c r="TAR5"/>
      <c r="TAS5"/>
      <c r="TAT5"/>
      <c r="TAU5"/>
      <c r="TAV5"/>
      <c r="TAW5"/>
      <c r="TAX5"/>
      <c r="TAY5"/>
      <c r="TAZ5"/>
      <c r="TBA5"/>
      <c r="TBB5"/>
      <c r="TBC5"/>
      <c r="TBD5"/>
      <c r="TBE5"/>
      <c r="TBF5"/>
      <c r="TBG5"/>
      <c r="TBH5"/>
      <c r="TBI5"/>
      <c r="TBJ5"/>
      <c r="TBK5"/>
      <c r="TBL5"/>
      <c r="TBM5"/>
      <c r="TBN5"/>
      <c r="TBO5"/>
      <c r="TBP5"/>
      <c r="TBQ5"/>
      <c r="TBR5"/>
      <c r="TBS5"/>
      <c r="TBT5"/>
      <c r="TBU5"/>
      <c r="TBV5"/>
      <c r="TBW5"/>
      <c r="TBX5"/>
      <c r="TBY5"/>
      <c r="TBZ5"/>
      <c r="TCA5"/>
      <c r="TCB5"/>
      <c r="TCC5"/>
      <c r="TCD5"/>
      <c r="TCE5"/>
      <c r="TCF5"/>
      <c r="TCG5"/>
      <c r="TCH5"/>
      <c r="TCI5"/>
      <c r="TCJ5"/>
      <c r="TCK5"/>
      <c r="TCL5"/>
      <c r="TCM5"/>
      <c r="TCN5"/>
      <c r="TCO5"/>
      <c r="TCP5"/>
      <c r="TCQ5"/>
      <c r="TCR5"/>
      <c r="TCS5"/>
      <c r="TCT5"/>
      <c r="TCU5"/>
      <c r="TCV5"/>
      <c r="TCW5"/>
      <c r="TCX5"/>
      <c r="TCY5"/>
      <c r="TCZ5"/>
      <c r="TDA5"/>
      <c r="TDB5"/>
      <c r="TDC5"/>
      <c r="TDD5"/>
      <c r="TDE5"/>
      <c r="TDF5"/>
      <c r="TDG5"/>
      <c r="TDH5"/>
      <c r="TDI5"/>
      <c r="TDJ5"/>
      <c r="TDK5"/>
      <c r="TDL5"/>
      <c r="TDM5"/>
      <c r="TDN5"/>
      <c r="TDO5"/>
      <c r="TDP5"/>
      <c r="TDQ5"/>
      <c r="TDR5"/>
      <c r="TDS5"/>
      <c r="TDT5"/>
      <c r="TDU5"/>
      <c r="TDV5"/>
      <c r="TDW5"/>
      <c r="TDX5"/>
      <c r="TDY5"/>
      <c r="TDZ5"/>
      <c r="TEA5"/>
      <c r="TEB5"/>
      <c r="TEC5"/>
      <c r="TED5"/>
      <c r="TEE5"/>
      <c r="TEF5"/>
      <c r="TEG5"/>
      <c r="TEH5"/>
      <c r="TEI5"/>
      <c r="TEJ5"/>
      <c r="TEK5"/>
      <c r="TEL5"/>
      <c r="TEM5"/>
      <c r="TEN5"/>
      <c r="TEO5"/>
      <c r="TEP5"/>
      <c r="TEQ5"/>
      <c r="TER5"/>
      <c r="TES5"/>
      <c r="TET5"/>
      <c r="TEU5"/>
      <c r="TEV5"/>
      <c r="TEW5"/>
      <c r="TEX5"/>
      <c r="TEY5"/>
      <c r="TEZ5"/>
      <c r="TFA5"/>
      <c r="TFB5"/>
      <c r="TFC5"/>
      <c r="TFD5"/>
      <c r="TFE5"/>
      <c r="TFF5"/>
      <c r="TFG5"/>
      <c r="TFH5"/>
      <c r="TFI5"/>
      <c r="TFJ5"/>
      <c r="TFK5"/>
      <c r="TFL5"/>
      <c r="TFM5"/>
      <c r="TFN5"/>
      <c r="TFO5"/>
      <c r="TFP5"/>
      <c r="TFQ5"/>
      <c r="TFR5"/>
      <c r="TFS5"/>
      <c r="TFT5"/>
      <c r="TFU5"/>
      <c r="TFV5"/>
      <c r="TFW5"/>
      <c r="TFX5"/>
      <c r="TFY5"/>
      <c r="TFZ5"/>
      <c r="TGA5"/>
      <c r="TGB5"/>
      <c r="TGC5"/>
      <c r="TGD5"/>
      <c r="TGE5"/>
      <c r="TGF5"/>
      <c r="TGG5"/>
      <c r="TGH5"/>
      <c r="TGI5"/>
      <c r="TGJ5"/>
      <c r="TGK5"/>
      <c r="TGL5"/>
      <c r="TGM5"/>
      <c r="TGN5"/>
      <c r="TGO5"/>
      <c r="TGP5"/>
      <c r="TGQ5"/>
      <c r="TGR5"/>
      <c r="TGS5"/>
      <c r="TGT5"/>
      <c r="TGU5"/>
      <c r="TGV5"/>
      <c r="TGW5"/>
      <c r="TGX5"/>
      <c r="TGY5"/>
      <c r="TGZ5"/>
      <c r="THA5"/>
      <c r="THB5"/>
      <c r="THC5"/>
      <c r="THD5"/>
      <c r="THE5"/>
      <c r="THF5"/>
      <c r="THG5"/>
      <c r="THH5"/>
      <c r="THI5"/>
      <c r="THJ5"/>
      <c r="THK5"/>
      <c r="THL5"/>
      <c r="THM5"/>
      <c r="THN5"/>
      <c r="THO5"/>
      <c r="THP5"/>
      <c r="THQ5"/>
      <c r="THR5"/>
      <c r="THS5"/>
      <c r="THT5"/>
      <c r="THU5"/>
      <c r="THV5"/>
      <c r="THW5"/>
      <c r="THX5"/>
      <c r="THY5"/>
      <c r="THZ5"/>
      <c r="TIA5"/>
      <c r="TIB5"/>
      <c r="TIC5"/>
      <c r="TID5"/>
      <c r="TIE5"/>
      <c r="TIF5"/>
      <c r="TIG5"/>
      <c r="TIH5"/>
      <c r="TII5"/>
      <c r="TIJ5"/>
      <c r="TIK5"/>
      <c r="TIL5"/>
      <c r="TIM5"/>
      <c r="TIN5"/>
      <c r="TIO5"/>
      <c r="TIP5"/>
      <c r="TIQ5"/>
      <c r="TIR5"/>
      <c r="TIS5"/>
      <c r="TIT5"/>
      <c r="TIU5"/>
      <c r="TIV5"/>
      <c r="TIW5"/>
      <c r="TIX5"/>
      <c r="TIY5"/>
      <c r="TIZ5"/>
      <c r="TJA5"/>
      <c r="TJB5"/>
      <c r="TJC5"/>
      <c r="TJD5"/>
      <c r="TJE5"/>
      <c r="TJF5"/>
      <c r="TJG5"/>
      <c r="TJH5"/>
      <c r="TJI5"/>
      <c r="TJJ5"/>
      <c r="TJK5"/>
      <c r="TJL5"/>
      <c r="TJM5"/>
      <c r="TJN5"/>
      <c r="TJO5"/>
      <c r="TJP5"/>
      <c r="TJQ5"/>
      <c r="TJR5"/>
      <c r="TJS5"/>
      <c r="TJT5"/>
      <c r="TJU5"/>
      <c r="TJV5"/>
      <c r="TJW5"/>
      <c r="TJX5"/>
      <c r="TJY5"/>
      <c r="TJZ5"/>
      <c r="TKA5"/>
      <c r="TKB5"/>
      <c r="TKC5"/>
      <c r="TKD5"/>
      <c r="TKE5"/>
      <c r="TKF5"/>
      <c r="TKG5"/>
      <c r="TKH5"/>
      <c r="TKI5"/>
      <c r="TKJ5"/>
      <c r="TKK5"/>
      <c r="TKL5"/>
      <c r="TKM5"/>
      <c r="TKN5"/>
      <c r="TKO5"/>
      <c r="TKP5"/>
      <c r="TKQ5"/>
      <c r="TKR5"/>
      <c r="TKS5"/>
      <c r="TKT5"/>
      <c r="TKU5"/>
      <c r="TKV5"/>
      <c r="TKW5"/>
      <c r="TKX5"/>
      <c r="TKY5"/>
      <c r="TKZ5"/>
      <c r="TLA5"/>
      <c r="TLB5"/>
      <c r="TLC5"/>
      <c r="TLD5"/>
      <c r="TLE5"/>
      <c r="TLF5"/>
      <c r="TLG5"/>
      <c r="TLH5"/>
      <c r="TLI5"/>
      <c r="TLJ5"/>
      <c r="TLK5"/>
      <c r="TLL5"/>
      <c r="TLM5"/>
      <c r="TLN5"/>
      <c r="TLO5"/>
      <c r="TLP5"/>
      <c r="TLQ5"/>
      <c r="TLR5"/>
      <c r="TLS5"/>
      <c r="TLT5"/>
      <c r="TLU5"/>
      <c r="TLV5"/>
      <c r="TLW5"/>
      <c r="TLX5"/>
      <c r="TLY5"/>
      <c r="TLZ5"/>
      <c r="TMA5"/>
      <c r="TMB5"/>
      <c r="TMC5"/>
      <c r="TMD5"/>
      <c r="TME5"/>
      <c r="TMF5"/>
      <c r="TMG5"/>
      <c r="TMH5"/>
      <c r="TMI5"/>
      <c r="TMJ5"/>
      <c r="TMK5"/>
      <c r="TML5"/>
      <c r="TMM5"/>
      <c r="TMN5"/>
      <c r="TMO5"/>
      <c r="TMP5"/>
      <c r="TMQ5"/>
      <c r="TMR5"/>
      <c r="TMS5"/>
      <c r="TMT5"/>
      <c r="TMU5"/>
      <c r="TMV5"/>
      <c r="TMW5"/>
      <c r="TMX5"/>
      <c r="TMY5"/>
      <c r="TMZ5"/>
      <c r="TNA5"/>
      <c r="TNB5"/>
      <c r="TNC5"/>
      <c r="TND5"/>
      <c r="TNE5"/>
      <c r="TNF5"/>
      <c r="TNG5"/>
      <c r="TNH5"/>
      <c r="TNI5"/>
      <c r="TNJ5"/>
      <c r="TNK5"/>
      <c r="TNL5"/>
      <c r="TNM5"/>
      <c r="TNN5"/>
      <c r="TNO5"/>
      <c r="TNP5"/>
      <c r="TNQ5"/>
      <c r="TNR5"/>
      <c r="TNS5"/>
      <c r="TNT5"/>
      <c r="TNU5"/>
      <c r="TNV5"/>
      <c r="TNW5"/>
      <c r="TNX5"/>
      <c r="TNY5"/>
      <c r="TNZ5"/>
      <c r="TOA5"/>
      <c r="TOB5"/>
      <c r="TOC5"/>
      <c r="TOD5"/>
      <c r="TOE5"/>
      <c r="TOF5"/>
      <c r="TOG5"/>
      <c r="TOH5"/>
      <c r="TOI5"/>
      <c r="TOJ5"/>
      <c r="TOK5"/>
      <c r="TOL5"/>
      <c r="TOM5"/>
      <c r="TON5"/>
      <c r="TOO5"/>
      <c r="TOP5"/>
      <c r="TOQ5"/>
      <c r="TOR5"/>
      <c r="TOS5"/>
      <c r="TOT5"/>
      <c r="TOU5"/>
      <c r="TOV5"/>
      <c r="TOW5"/>
      <c r="TOX5"/>
      <c r="TOY5"/>
      <c r="TOZ5"/>
      <c r="TPA5"/>
      <c r="TPB5"/>
      <c r="TPC5"/>
      <c r="TPD5"/>
      <c r="TPE5"/>
      <c r="TPF5"/>
      <c r="TPG5"/>
      <c r="TPH5"/>
      <c r="TPI5"/>
      <c r="TPJ5"/>
      <c r="TPK5"/>
      <c r="TPL5"/>
      <c r="TPM5"/>
      <c r="TPN5"/>
      <c r="TPO5"/>
      <c r="TPP5"/>
      <c r="TPQ5"/>
      <c r="TPR5"/>
      <c r="TPS5"/>
      <c r="TPT5"/>
      <c r="TPU5"/>
      <c r="TPV5"/>
      <c r="TPW5"/>
      <c r="TPX5"/>
      <c r="TPY5"/>
      <c r="TPZ5"/>
      <c r="TQA5"/>
      <c r="TQB5"/>
      <c r="TQC5"/>
      <c r="TQD5"/>
      <c r="TQE5"/>
      <c r="TQF5"/>
      <c r="TQG5"/>
      <c r="TQH5"/>
      <c r="TQI5"/>
      <c r="TQJ5"/>
      <c r="TQK5"/>
      <c r="TQL5"/>
      <c r="TQM5"/>
      <c r="TQN5"/>
      <c r="TQO5"/>
      <c r="TQP5"/>
      <c r="TQQ5"/>
      <c r="TQR5"/>
      <c r="TQS5"/>
      <c r="TQT5"/>
      <c r="TQU5"/>
      <c r="TQV5"/>
      <c r="TQW5"/>
      <c r="TQX5"/>
      <c r="TQY5"/>
      <c r="TQZ5"/>
      <c r="TRA5"/>
      <c r="TRB5"/>
      <c r="TRC5"/>
      <c r="TRD5"/>
      <c r="TRE5"/>
      <c r="TRF5"/>
      <c r="TRG5"/>
      <c r="TRH5"/>
      <c r="TRI5"/>
      <c r="TRJ5"/>
      <c r="TRK5"/>
      <c r="TRL5"/>
      <c r="TRM5"/>
      <c r="TRN5"/>
      <c r="TRO5"/>
      <c r="TRP5"/>
      <c r="TRQ5"/>
      <c r="TRR5"/>
      <c r="TRS5"/>
      <c r="TRT5"/>
      <c r="TRU5"/>
      <c r="TRV5"/>
      <c r="TRW5"/>
      <c r="TRX5"/>
      <c r="TRY5"/>
      <c r="TRZ5"/>
      <c r="TSA5"/>
      <c r="TSB5"/>
      <c r="TSC5"/>
      <c r="TSD5"/>
      <c r="TSE5"/>
      <c r="TSF5"/>
      <c r="TSG5"/>
      <c r="TSH5"/>
      <c r="TSI5"/>
      <c r="TSJ5"/>
      <c r="TSK5"/>
      <c r="TSL5"/>
      <c r="TSM5"/>
      <c r="TSN5"/>
      <c r="TSO5"/>
      <c r="TSP5"/>
      <c r="TSQ5"/>
      <c r="TSR5"/>
      <c r="TSS5"/>
      <c r="TST5"/>
      <c r="TSU5"/>
      <c r="TSV5"/>
      <c r="TSW5"/>
      <c r="TSX5"/>
      <c r="TSY5"/>
      <c r="TSZ5"/>
      <c r="TTA5"/>
      <c r="TTB5"/>
      <c r="TTC5"/>
      <c r="TTD5"/>
      <c r="TTE5"/>
      <c r="TTF5"/>
      <c r="TTG5"/>
      <c r="TTH5"/>
      <c r="TTI5"/>
      <c r="TTJ5"/>
      <c r="TTK5"/>
      <c r="TTL5"/>
      <c r="TTM5"/>
      <c r="TTN5"/>
      <c r="TTO5"/>
      <c r="TTP5"/>
      <c r="TTQ5"/>
      <c r="TTR5"/>
      <c r="TTS5"/>
      <c r="TTT5"/>
      <c r="TTU5"/>
      <c r="TTV5"/>
      <c r="TTW5"/>
      <c r="TTX5"/>
      <c r="TTY5"/>
      <c r="TTZ5"/>
      <c r="TUA5"/>
      <c r="TUB5"/>
      <c r="TUC5"/>
      <c r="TUD5"/>
      <c r="TUE5"/>
      <c r="TUF5"/>
      <c r="TUG5"/>
      <c r="TUH5"/>
      <c r="TUI5"/>
      <c r="TUJ5"/>
      <c r="TUK5"/>
      <c r="TUL5"/>
      <c r="TUM5"/>
      <c r="TUN5"/>
      <c r="TUO5"/>
      <c r="TUP5"/>
      <c r="TUQ5"/>
      <c r="TUR5"/>
      <c r="TUS5"/>
      <c r="TUT5"/>
      <c r="TUU5"/>
      <c r="TUV5"/>
      <c r="TUW5"/>
      <c r="TUX5"/>
      <c r="TUY5"/>
      <c r="TUZ5"/>
      <c r="TVA5"/>
      <c r="TVB5"/>
      <c r="TVC5"/>
      <c r="TVD5"/>
      <c r="TVE5"/>
      <c r="TVF5"/>
      <c r="TVG5"/>
      <c r="TVH5"/>
      <c r="TVI5"/>
      <c r="TVJ5"/>
      <c r="TVK5"/>
      <c r="TVL5"/>
      <c r="TVM5"/>
      <c r="TVN5"/>
      <c r="TVO5"/>
      <c r="TVP5"/>
      <c r="TVQ5"/>
      <c r="TVR5"/>
      <c r="TVS5"/>
      <c r="TVT5"/>
      <c r="TVU5"/>
      <c r="TVV5"/>
      <c r="TVW5"/>
      <c r="TVX5"/>
      <c r="TVY5"/>
      <c r="TVZ5"/>
      <c r="TWA5"/>
      <c r="TWB5"/>
      <c r="TWC5"/>
      <c r="TWD5"/>
      <c r="TWE5"/>
      <c r="TWF5"/>
      <c r="TWG5"/>
      <c r="TWH5"/>
      <c r="TWI5"/>
      <c r="TWJ5"/>
      <c r="TWK5"/>
      <c r="TWL5"/>
      <c r="TWM5"/>
      <c r="TWN5"/>
      <c r="TWO5"/>
      <c r="TWP5"/>
      <c r="TWQ5"/>
      <c r="TWR5"/>
      <c r="TWS5"/>
      <c r="TWT5"/>
      <c r="TWU5"/>
      <c r="TWV5"/>
      <c r="TWW5"/>
      <c r="TWX5"/>
      <c r="TWY5"/>
      <c r="TWZ5"/>
      <c r="TXA5"/>
      <c r="TXB5"/>
      <c r="TXC5"/>
      <c r="TXD5"/>
      <c r="TXE5"/>
      <c r="TXF5"/>
      <c r="TXG5"/>
      <c r="TXH5"/>
      <c r="TXI5"/>
      <c r="TXJ5"/>
      <c r="TXK5"/>
      <c r="TXL5"/>
      <c r="TXM5"/>
      <c r="TXN5"/>
      <c r="TXO5"/>
      <c r="TXP5"/>
      <c r="TXQ5"/>
      <c r="TXR5"/>
      <c r="TXS5"/>
      <c r="TXT5"/>
      <c r="TXU5"/>
      <c r="TXV5"/>
      <c r="TXW5"/>
      <c r="TXX5"/>
      <c r="TXY5"/>
      <c r="TXZ5"/>
      <c r="TYA5"/>
      <c r="TYB5"/>
      <c r="TYC5"/>
      <c r="TYD5"/>
      <c r="TYE5"/>
      <c r="TYF5"/>
      <c r="TYG5"/>
      <c r="TYH5"/>
      <c r="TYI5"/>
      <c r="TYJ5"/>
      <c r="TYK5"/>
      <c r="TYL5"/>
      <c r="TYM5"/>
      <c r="TYN5"/>
      <c r="TYO5"/>
      <c r="TYP5"/>
      <c r="TYQ5"/>
      <c r="TYR5"/>
      <c r="TYS5"/>
      <c r="TYT5"/>
      <c r="TYU5"/>
      <c r="TYV5"/>
      <c r="TYW5"/>
      <c r="TYX5"/>
      <c r="TYY5"/>
      <c r="TYZ5"/>
      <c r="TZA5"/>
      <c r="TZB5"/>
      <c r="TZC5"/>
      <c r="TZD5"/>
      <c r="TZE5"/>
      <c r="TZF5"/>
      <c r="TZG5"/>
      <c r="TZH5"/>
      <c r="TZI5"/>
      <c r="TZJ5"/>
      <c r="TZK5"/>
      <c r="TZL5"/>
      <c r="TZM5"/>
      <c r="TZN5"/>
      <c r="TZO5"/>
      <c r="TZP5"/>
      <c r="TZQ5"/>
      <c r="TZR5"/>
      <c r="TZS5"/>
      <c r="TZT5"/>
      <c r="TZU5"/>
      <c r="TZV5"/>
      <c r="TZW5"/>
      <c r="TZX5"/>
      <c r="TZY5"/>
      <c r="TZZ5"/>
      <c r="UAA5"/>
      <c r="UAB5"/>
      <c r="UAC5"/>
      <c r="UAD5"/>
      <c r="UAE5"/>
      <c r="UAF5"/>
      <c r="UAG5"/>
      <c r="UAH5"/>
      <c r="UAI5"/>
      <c r="UAJ5"/>
      <c r="UAK5"/>
      <c r="UAL5"/>
      <c r="UAM5"/>
      <c r="UAN5"/>
      <c r="UAO5"/>
      <c r="UAP5"/>
      <c r="UAQ5"/>
      <c r="UAR5"/>
      <c r="UAS5"/>
      <c r="UAT5"/>
      <c r="UAU5"/>
      <c r="UAV5"/>
      <c r="UAW5"/>
      <c r="UAX5"/>
      <c r="UAY5"/>
      <c r="UAZ5"/>
      <c r="UBA5"/>
      <c r="UBB5"/>
      <c r="UBC5"/>
      <c r="UBD5"/>
      <c r="UBE5"/>
      <c r="UBF5"/>
      <c r="UBG5"/>
      <c r="UBH5"/>
      <c r="UBI5"/>
      <c r="UBJ5"/>
      <c r="UBK5"/>
      <c r="UBL5"/>
      <c r="UBM5"/>
      <c r="UBN5"/>
      <c r="UBO5"/>
      <c r="UBP5"/>
      <c r="UBQ5"/>
      <c r="UBR5"/>
      <c r="UBS5"/>
      <c r="UBT5"/>
      <c r="UBU5"/>
      <c r="UBV5"/>
      <c r="UBW5"/>
      <c r="UBX5"/>
      <c r="UBY5"/>
      <c r="UBZ5"/>
      <c r="UCA5"/>
      <c r="UCB5"/>
      <c r="UCC5"/>
      <c r="UCD5"/>
      <c r="UCE5"/>
      <c r="UCF5"/>
      <c r="UCG5"/>
      <c r="UCH5"/>
      <c r="UCI5"/>
      <c r="UCJ5"/>
      <c r="UCK5"/>
      <c r="UCL5"/>
      <c r="UCM5"/>
      <c r="UCN5"/>
      <c r="UCO5"/>
      <c r="UCP5"/>
      <c r="UCQ5"/>
      <c r="UCR5"/>
      <c r="UCS5"/>
      <c r="UCT5"/>
      <c r="UCU5"/>
      <c r="UCV5"/>
      <c r="UCW5"/>
      <c r="UCX5"/>
      <c r="UCY5"/>
      <c r="UCZ5"/>
      <c r="UDA5"/>
      <c r="UDB5"/>
      <c r="UDC5"/>
      <c r="UDD5"/>
      <c r="UDE5"/>
      <c r="UDF5"/>
      <c r="UDG5"/>
      <c r="UDH5"/>
      <c r="UDI5"/>
      <c r="UDJ5"/>
      <c r="UDK5"/>
      <c r="UDL5"/>
      <c r="UDM5"/>
      <c r="UDN5"/>
      <c r="UDO5"/>
      <c r="UDP5"/>
      <c r="UDQ5"/>
      <c r="UDR5"/>
      <c r="UDS5"/>
      <c r="UDT5"/>
      <c r="UDU5"/>
      <c r="UDV5"/>
      <c r="UDW5"/>
      <c r="UDX5"/>
      <c r="UDY5"/>
      <c r="UDZ5"/>
      <c r="UEA5"/>
      <c r="UEB5"/>
      <c r="UEC5"/>
      <c r="UED5"/>
      <c r="UEE5"/>
      <c r="UEF5"/>
      <c r="UEG5"/>
      <c r="UEH5"/>
      <c r="UEI5"/>
      <c r="UEJ5"/>
      <c r="UEK5"/>
      <c r="UEL5"/>
      <c r="UEM5"/>
      <c r="UEN5"/>
      <c r="UEO5"/>
      <c r="UEP5"/>
      <c r="UEQ5"/>
      <c r="UER5"/>
      <c r="UES5"/>
      <c r="UET5"/>
      <c r="UEU5"/>
      <c r="UEV5"/>
      <c r="UEW5"/>
      <c r="UEX5"/>
      <c r="UEY5"/>
      <c r="UEZ5"/>
      <c r="UFA5"/>
      <c r="UFB5"/>
      <c r="UFC5"/>
      <c r="UFD5"/>
      <c r="UFE5"/>
      <c r="UFF5"/>
      <c r="UFG5"/>
      <c r="UFH5"/>
      <c r="UFI5"/>
      <c r="UFJ5"/>
      <c r="UFK5"/>
      <c r="UFL5"/>
      <c r="UFM5"/>
      <c r="UFN5"/>
      <c r="UFO5"/>
      <c r="UFP5"/>
      <c r="UFQ5"/>
      <c r="UFR5"/>
      <c r="UFS5"/>
      <c r="UFT5"/>
      <c r="UFU5"/>
      <c r="UFV5"/>
      <c r="UFW5"/>
      <c r="UFX5"/>
      <c r="UFY5"/>
      <c r="UFZ5"/>
      <c r="UGA5"/>
      <c r="UGB5"/>
      <c r="UGC5"/>
      <c r="UGD5"/>
      <c r="UGE5"/>
      <c r="UGF5"/>
      <c r="UGG5"/>
      <c r="UGH5"/>
      <c r="UGI5"/>
      <c r="UGJ5"/>
      <c r="UGK5"/>
      <c r="UGL5"/>
      <c r="UGM5"/>
      <c r="UGN5"/>
      <c r="UGO5"/>
      <c r="UGP5"/>
      <c r="UGQ5"/>
      <c r="UGR5"/>
      <c r="UGS5"/>
      <c r="UGT5"/>
      <c r="UGU5"/>
      <c r="UGV5"/>
      <c r="UGW5"/>
      <c r="UGX5"/>
      <c r="UGY5"/>
      <c r="UGZ5"/>
      <c r="UHA5"/>
      <c r="UHB5"/>
      <c r="UHC5"/>
      <c r="UHD5"/>
      <c r="UHE5"/>
      <c r="UHF5"/>
      <c r="UHG5"/>
      <c r="UHH5"/>
      <c r="UHI5"/>
      <c r="UHJ5"/>
      <c r="UHK5"/>
      <c r="UHL5"/>
      <c r="UHM5"/>
      <c r="UHN5"/>
      <c r="UHO5"/>
      <c r="UHP5"/>
      <c r="UHQ5"/>
      <c r="UHR5"/>
      <c r="UHS5"/>
      <c r="UHT5"/>
      <c r="UHU5"/>
      <c r="UHV5"/>
      <c r="UHW5"/>
      <c r="UHX5"/>
      <c r="UHY5"/>
      <c r="UHZ5"/>
      <c r="UIA5"/>
      <c r="UIB5"/>
      <c r="UIC5"/>
      <c r="UID5"/>
      <c r="UIE5"/>
      <c r="UIF5"/>
      <c r="UIG5"/>
      <c r="UIH5"/>
      <c r="UII5"/>
      <c r="UIJ5"/>
      <c r="UIK5"/>
      <c r="UIL5"/>
      <c r="UIM5"/>
      <c r="UIN5"/>
      <c r="UIO5"/>
      <c r="UIP5"/>
      <c r="UIQ5"/>
      <c r="UIR5"/>
      <c r="UIS5"/>
      <c r="UIT5"/>
      <c r="UIU5"/>
      <c r="UIV5"/>
      <c r="UIW5"/>
      <c r="UIX5"/>
      <c r="UIY5"/>
      <c r="UIZ5"/>
      <c r="UJA5"/>
      <c r="UJB5"/>
      <c r="UJC5"/>
      <c r="UJD5"/>
      <c r="UJE5"/>
      <c r="UJF5"/>
      <c r="UJG5"/>
      <c r="UJH5"/>
      <c r="UJI5"/>
      <c r="UJJ5"/>
      <c r="UJK5"/>
      <c r="UJL5"/>
      <c r="UJM5"/>
      <c r="UJN5"/>
      <c r="UJO5"/>
      <c r="UJP5"/>
      <c r="UJQ5"/>
      <c r="UJR5"/>
      <c r="UJS5"/>
      <c r="UJT5"/>
      <c r="UJU5"/>
      <c r="UJV5"/>
      <c r="UJW5"/>
      <c r="UJX5"/>
      <c r="UJY5"/>
      <c r="UJZ5"/>
      <c r="UKA5"/>
      <c r="UKB5"/>
      <c r="UKC5"/>
      <c r="UKD5"/>
      <c r="UKE5"/>
      <c r="UKF5"/>
      <c r="UKG5"/>
      <c r="UKH5"/>
      <c r="UKI5"/>
      <c r="UKJ5"/>
      <c r="UKK5"/>
      <c r="UKL5"/>
      <c r="UKM5"/>
      <c r="UKN5"/>
      <c r="UKO5"/>
      <c r="UKP5"/>
      <c r="UKQ5"/>
      <c r="UKR5"/>
      <c r="UKS5"/>
      <c r="UKT5"/>
      <c r="UKU5"/>
      <c r="UKV5"/>
      <c r="UKW5"/>
      <c r="UKX5"/>
      <c r="UKY5"/>
      <c r="UKZ5"/>
      <c r="ULA5"/>
      <c r="ULB5"/>
      <c r="ULC5"/>
      <c r="ULD5"/>
      <c r="ULE5"/>
      <c r="ULF5"/>
      <c r="ULG5"/>
      <c r="ULH5"/>
      <c r="ULI5"/>
      <c r="ULJ5"/>
      <c r="ULK5"/>
      <c r="ULL5"/>
      <c r="ULM5"/>
      <c r="ULN5"/>
      <c r="ULO5"/>
      <c r="ULP5"/>
      <c r="ULQ5"/>
      <c r="ULR5"/>
      <c r="ULS5"/>
      <c r="ULT5"/>
      <c r="ULU5"/>
      <c r="ULV5"/>
      <c r="ULW5"/>
      <c r="ULX5"/>
      <c r="ULY5"/>
      <c r="ULZ5"/>
      <c r="UMA5"/>
      <c r="UMB5"/>
      <c r="UMC5"/>
      <c r="UMD5"/>
      <c r="UME5"/>
      <c r="UMF5"/>
      <c r="UMG5"/>
      <c r="UMH5"/>
      <c r="UMI5"/>
      <c r="UMJ5"/>
      <c r="UMK5"/>
      <c r="UML5"/>
      <c r="UMM5"/>
      <c r="UMN5"/>
      <c r="UMO5"/>
      <c r="UMP5"/>
      <c r="UMQ5"/>
      <c r="UMR5"/>
      <c r="UMS5"/>
      <c r="UMT5"/>
      <c r="UMU5"/>
      <c r="UMV5"/>
      <c r="UMW5"/>
      <c r="UMX5"/>
      <c r="UMY5"/>
      <c r="UMZ5"/>
      <c r="UNA5"/>
      <c r="UNB5"/>
      <c r="UNC5"/>
      <c r="UND5"/>
      <c r="UNE5"/>
      <c r="UNF5"/>
      <c r="UNG5"/>
      <c r="UNH5"/>
      <c r="UNI5"/>
      <c r="UNJ5"/>
      <c r="UNK5"/>
      <c r="UNL5"/>
      <c r="UNM5"/>
      <c r="UNN5"/>
      <c r="UNO5"/>
      <c r="UNP5"/>
      <c r="UNQ5"/>
      <c r="UNR5"/>
      <c r="UNS5"/>
      <c r="UNT5"/>
      <c r="UNU5"/>
      <c r="UNV5"/>
      <c r="UNW5"/>
      <c r="UNX5"/>
      <c r="UNY5"/>
      <c r="UNZ5"/>
      <c r="UOA5"/>
      <c r="UOB5"/>
      <c r="UOC5"/>
      <c r="UOD5"/>
      <c r="UOE5"/>
      <c r="UOF5"/>
      <c r="UOG5"/>
      <c r="UOH5"/>
      <c r="UOI5"/>
      <c r="UOJ5"/>
      <c r="UOK5"/>
      <c r="UOL5"/>
      <c r="UOM5"/>
      <c r="UON5"/>
      <c r="UOO5"/>
      <c r="UOP5"/>
      <c r="UOQ5"/>
      <c r="UOR5"/>
      <c r="UOS5"/>
      <c r="UOT5"/>
      <c r="UOU5"/>
      <c r="UOV5"/>
      <c r="UOW5"/>
      <c r="UOX5"/>
      <c r="UOY5"/>
      <c r="UOZ5"/>
      <c r="UPA5"/>
      <c r="UPB5"/>
      <c r="UPC5"/>
      <c r="UPD5"/>
      <c r="UPE5"/>
      <c r="UPF5"/>
      <c r="UPG5"/>
      <c r="UPH5"/>
      <c r="UPI5"/>
      <c r="UPJ5"/>
      <c r="UPK5"/>
      <c r="UPL5"/>
      <c r="UPM5"/>
      <c r="UPN5"/>
      <c r="UPO5"/>
      <c r="UPP5"/>
      <c r="UPQ5"/>
      <c r="UPR5"/>
      <c r="UPS5"/>
      <c r="UPT5"/>
      <c r="UPU5"/>
      <c r="UPV5"/>
      <c r="UPW5"/>
      <c r="UPX5"/>
      <c r="UPY5"/>
      <c r="UPZ5"/>
      <c r="UQA5"/>
      <c r="UQB5"/>
      <c r="UQC5"/>
      <c r="UQD5"/>
      <c r="UQE5"/>
      <c r="UQF5"/>
      <c r="UQG5"/>
      <c r="UQH5"/>
      <c r="UQI5"/>
      <c r="UQJ5"/>
      <c r="UQK5"/>
      <c r="UQL5"/>
      <c r="UQM5"/>
      <c r="UQN5"/>
      <c r="UQO5"/>
      <c r="UQP5"/>
      <c r="UQQ5"/>
      <c r="UQR5"/>
      <c r="UQS5"/>
      <c r="UQT5"/>
      <c r="UQU5"/>
      <c r="UQV5"/>
      <c r="UQW5"/>
      <c r="UQX5"/>
      <c r="UQY5"/>
      <c r="UQZ5"/>
      <c r="URA5"/>
      <c r="URB5"/>
      <c r="URC5"/>
      <c r="URD5"/>
      <c r="URE5"/>
      <c r="URF5"/>
      <c r="URG5"/>
      <c r="URH5"/>
      <c r="URI5"/>
      <c r="URJ5"/>
      <c r="URK5"/>
      <c r="URL5"/>
      <c r="URM5"/>
      <c r="URN5"/>
      <c r="URO5"/>
      <c r="URP5"/>
      <c r="URQ5"/>
      <c r="URR5"/>
      <c r="URS5"/>
      <c r="URT5"/>
      <c r="URU5"/>
      <c r="URV5"/>
      <c r="URW5"/>
      <c r="URX5"/>
      <c r="URY5"/>
      <c r="URZ5"/>
      <c r="USA5"/>
      <c r="USB5"/>
      <c r="USC5"/>
      <c r="USD5"/>
      <c r="USE5"/>
      <c r="USF5"/>
      <c r="USG5"/>
      <c r="USH5"/>
      <c r="USI5"/>
      <c r="USJ5"/>
      <c r="USK5"/>
      <c r="USL5"/>
      <c r="USM5"/>
      <c r="USN5"/>
      <c r="USO5"/>
      <c r="USP5"/>
      <c r="USQ5"/>
      <c r="USR5"/>
      <c r="USS5"/>
      <c r="UST5"/>
      <c r="USU5"/>
      <c r="USV5"/>
      <c r="USW5"/>
      <c r="USX5"/>
      <c r="USY5"/>
      <c r="USZ5"/>
      <c r="UTA5"/>
      <c r="UTB5"/>
      <c r="UTC5"/>
      <c r="UTD5"/>
      <c r="UTE5"/>
      <c r="UTF5"/>
      <c r="UTG5"/>
      <c r="UTH5"/>
      <c r="UTI5"/>
      <c r="UTJ5"/>
      <c r="UTK5"/>
      <c r="UTL5"/>
      <c r="UTM5"/>
      <c r="UTN5"/>
      <c r="UTO5"/>
      <c r="UTP5"/>
      <c r="UTQ5"/>
      <c r="UTR5"/>
      <c r="UTS5"/>
      <c r="UTT5"/>
      <c r="UTU5"/>
      <c r="UTV5"/>
      <c r="UTW5"/>
      <c r="UTX5"/>
      <c r="UTY5"/>
      <c r="UTZ5"/>
      <c r="UUA5"/>
      <c r="UUB5"/>
      <c r="UUC5"/>
      <c r="UUD5"/>
      <c r="UUE5"/>
      <c r="UUF5"/>
      <c r="UUG5"/>
      <c r="UUH5"/>
      <c r="UUI5"/>
      <c r="UUJ5"/>
      <c r="UUK5"/>
      <c r="UUL5"/>
      <c r="UUM5"/>
      <c r="UUN5"/>
      <c r="UUO5"/>
      <c r="UUP5"/>
      <c r="UUQ5"/>
      <c r="UUR5"/>
      <c r="UUS5"/>
      <c r="UUT5"/>
      <c r="UUU5"/>
      <c r="UUV5"/>
      <c r="UUW5"/>
      <c r="UUX5"/>
      <c r="UUY5"/>
      <c r="UUZ5"/>
      <c r="UVA5"/>
      <c r="UVB5"/>
      <c r="UVC5"/>
      <c r="UVD5"/>
      <c r="UVE5"/>
      <c r="UVF5"/>
      <c r="UVG5"/>
      <c r="UVH5"/>
      <c r="UVI5"/>
      <c r="UVJ5"/>
      <c r="UVK5"/>
      <c r="UVL5"/>
      <c r="UVM5"/>
      <c r="UVN5"/>
      <c r="UVO5"/>
      <c r="UVP5"/>
      <c r="UVQ5"/>
      <c r="UVR5"/>
      <c r="UVS5"/>
      <c r="UVT5"/>
      <c r="UVU5"/>
      <c r="UVV5"/>
      <c r="UVW5"/>
      <c r="UVX5"/>
      <c r="UVY5"/>
      <c r="UVZ5"/>
      <c r="UWA5"/>
      <c r="UWB5"/>
      <c r="UWC5"/>
      <c r="UWD5"/>
      <c r="UWE5"/>
      <c r="UWF5"/>
      <c r="UWG5"/>
      <c r="UWH5"/>
      <c r="UWI5"/>
      <c r="UWJ5"/>
      <c r="UWK5"/>
      <c r="UWL5"/>
      <c r="UWM5"/>
      <c r="UWN5"/>
      <c r="UWO5"/>
      <c r="UWP5"/>
      <c r="UWQ5"/>
      <c r="UWR5"/>
      <c r="UWS5"/>
      <c r="UWT5"/>
      <c r="UWU5"/>
      <c r="UWV5"/>
      <c r="UWW5"/>
      <c r="UWX5"/>
      <c r="UWY5"/>
      <c r="UWZ5"/>
      <c r="UXA5"/>
      <c r="UXB5"/>
      <c r="UXC5"/>
      <c r="UXD5"/>
      <c r="UXE5"/>
      <c r="UXF5"/>
      <c r="UXG5"/>
      <c r="UXH5"/>
      <c r="UXI5"/>
      <c r="UXJ5"/>
      <c r="UXK5"/>
      <c r="UXL5"/>
      <c r="UXM5"/>
      <c r="UXN5"/>
      <c r="UXO5"/>
      <c r="UXP5"/>
      <c r="UXQ5"/>
      <c r="UXR5"/>
      <c r="UXS5"/>
      <c r="UXT5"/>
      <c r="UXU5"/>
      <c r="UXV5"/>
      <c r="UXW5"/>
      <c r="UXX5"/>
      <c r="UXY5"/>
      <c r="UXZ5"/>
      <c r="UYA5"/>
      <c r="UYB5"/>
      <c r="UYC5"/>
      <c r="UYD5"/>
      <c r="UYE5"/>
      <c r="UYF5"/>
      <c r="UYG5"/>
      <c r="UYH5"/>
      <c r="UYI5"/>
      <c r="UYJ5"/>
      <c r="UYK5"/>
      <c r="UYL5"/>
      <c r="UYM5"/>
      <c r="UYN5"/>
      <c r="UYO5"/>
      <c r="UYP5"/>
      <c r="UYQ5"/>
      <c r="UYR5"/>
      <c r="UYS5"/>
      <c r="UYT5"/>
      <c r="UYU5"/>
      <c r="UYV5"/>
      <c r="UYW5"/>
      <c r="UYX5"/>
      <c r="UYY5"/>
      <c r="UYZ5"/>
      <c r="UZA5"/>
      <c r="UZB5"/>
      <c r="UZC5"/>
      <c r="UZD5"/>
      <c r="UZE5"/>
      <c r="UZF5"/>
      <c r="UZG5"/>
      <c r="UZH5"/>
      <c r="UZI5"/>
      <c r="UZJ5"/>
      <c r="UZK5"/>
      <c r="UZL5"/>
      <c r="UZM5"/>
      <c r="UZN5"/>
      <c r="UZO5"/>
      <c r="UZP5"/>
      <c r="UZQ5"/>
      <c r="UZR5"/>
      <c r="UZS5"/>
      <c r="UZT5"/>
      <c r="UZU5"/>
      <c r="UZV5"/>
      <c r="UZW5"/>
      <c r="UZX5"/>
      <c r="UZY5"/>
      <c r="UZZ5"/>
      <c r="VAA5"/>
      <c r="VAB5"/>
      <c r="VAC5"/>
      <c r="VAD5"/>
      <c r="VAE5"/>
      <c r="VAF5"/>
      <c r="VAG5"/>
      <c r="VAH5"/>
      <c r="VAI5"/>
      <c r="VAJ5"/>
      <c r="VAK5"/>
      <c r="VAL5"/>
      <c r="VAM5"/>
      <c r="VAN5"/>
      <c r="VAO5"/>
      <c r="VAP5"/>
      <c r="VAQ5"/>
      <c r="VAR5"/>
      <c r="VAS5"/>
      <c r="VAT5"/>
      <c r="VAU5"/>
      <c r="VAV5"/>
      <c r="VAW5"/>
      <c r="VAX5"/>
      <c r="VAY5"/>
      <c r="VAZ5"/>
      <c r="VBA5"/>
      <c r="VBB5"/>
      <c r="VBC5"/>
      <c r="VBD5"/>
      <c r="VBE5"/>
      <c r="VBF5"/>
      <c r="VBG5"/>
      <c r="VBH5"/>
      <c r="VBI5"/>
      <c r="VBJ5"/>
      <c r="VBK5"/>
      <c r="VBL5"/>
      <c r="VBM5"/>
      <c r="VBN5"/>
      <c r="VBO5"/>
      <c r="VBP5"/>
      <c r="VBQ5"/>
      <c r="VBR5"/>
      <c r="VBS5"/>
      <c r="VBT5"/>
      <c r="VBU5"/>
      <c r="VBV5"/>
      <c r="VBW5"/>
      <c r="VBX5"/>
      <c r="VBY5"/>
      <c r="VBZ5"/>
      <c r="VCA5"/>
      <c r="VCB5"/>
      <c r="VCC5"/>
      <c r="VCD5"/>
      <c r="VCE5"/>
      <c r="VCF5"/>
      <c r="VCG5"/>
      <c r="VCH5"/>
      <c r="VCI5"/>
      <c r="VCJ5"/>
      <c r="VCK5"/>
      <c r="VCL5"/>
      <c r="VCM5"/>
      <c r="VCN5"/>
      <c r="VCO5"/>
      <c r="VCP5"/>
      <c r="VCQ5"/>
      <c r="VCR5"/>
      <c r="VCS5"/>
      <c r="VCT5"/>
      <c r="VCU5"/>
      <c r="VCV5"/>
      <c r="VCW5"/>
      <c r="VCX5"/>
      <c r="VCY5"/>
      <c r="VCZ5"/>
      <c r="VDA5"/>
      <c r="VDB5"/>
      <c r="VDC5"/>
      <c r="VDD5"/>
      <c r="VDE5"/>
      <c r="VDF5"/>
      <c r="VDG5"/>
      <c r="VDH5"/>
      <c r="VDI5"/>
      <c r="VDJ5"/>
      <c r="VDK5"/>
      <c r="VDL5"/>
      <c r="VDM5"/>
      <c r="VDN5"/>
      <c r="VDO5"/>
      <c r="VDP5"/>
      <c r="VDQ5"/>
      <c r="VDR5"/>
      <c r="VDS5"/>
      <c r="VDT5"/>
      <c r="VDU5"/>
      <c r="VDV5"/>
      <c r="VDW5"/>
      <c r="VDX5"/>
      <c r="VDY5"/>
      <c r="VDZ5"/>
      <c r="VEA5"/>
      <c r="VEB5"/>
      <c r="VEC5"/>
      <c r="VED5"/>
      <c r="VEE5"/>
      <c r="VEF5"/>
      <c r="VEG5"/>
      <c r="VEH5"/>
      <c r="VEI5"/>
      <c r="VEJ5"/>
      <c r="VEK5"/>
      <c r="VEL5"/>
      <c r="VEM5"/>
      <c r="VEN5"/>
      <c r="VEO5"/>
      <c r="VEP5"/>
      <c r="VEQ5"/>
      <c r="VER5"/>
      <c r="VES5"/>
      <c r="VET5"/>
      <c r="VEU5"/>
      <c r="VEV5"/>
      <c r="VEW5"/>
      <c r="VEX5"/>
      <c r="VEY5"/>
      <c r="VEZ5"/>
      <c r="VFA5"/>
      <c r="VFB5"/>
      <c r="VFC5"/>
      <c r="VFD5"/>
      <c r="VFE5"/>
      <c r="VFF5"/>
      <c r="VFG5"/>
      <c r="VFH5"/>
      <c r="VFI5"/>
      <c r="VFJ5"/>
      <c r="VFK5"/>
      <c r="VFL5"/>
      <c r="VFM5"/>
      <c r="VFN5"/>
      <c r="VFO5"/>
      <c r="VFP5"/>
      <c r="VFQ5"/>
      <c r="VFR5"/>
      <c r="VFS5"/>
      <c r="VFT5"/>
      <c r="VFU5"/>
      <c r="VFV5"/>
      <c r="VFW5"/>
      <c r="VFX5"/>
      <c r="VFY5"/>
      <c r="VFZ5"/>
      <c r="VGA5"/>
      <c r="VGB5"/>
      <c r="VGC5"/>
      <c r="VGD5"/>
      <c r="VGE5"/>
      <c r="VGF5"/>
      <c r="VGG5"/>
      <c r="VGH5"/>
      <c r="VGI5"/>
      <c r="VGJ5"/>
      <c r="VGK5"/>
      <c r="VGL5"/>
      <c r="VGM5"/>
      <c r="VGN5"/>
      <c r="VGO5"/>
      <c r="VGP5"/>
      <c r="VGQ5"/>
      <c r="VGR5"/>
      <c r="VGS5"/>
      <c r="VGT5"/>
      <c r="VGU5"/>
      <c r="VGV5"/>
      <c r="VGW5"/>
      <c r="VGX5"/>
      <c r="VGY5"/>
      <c r="VGZ5"/>
      <c r="VHA5"/>
      <c r="VHB5"/>
      <c r="VHC5"/>
      <c r="VHD5"/>
      <c r="VHE5"/>
      <c r="VHF5"/>
      <c r="VHG5"/>
      <c r="VHH5"/>
      <c r="VHI5"/>
      <c r="VHJ5"/>
      <c r="VHK5"/>
      <c r="VHL5"/>
      <c r="VHM5"/>
      <c r="VHN5"/>
      <c r="VHO5"/>
      <c r="VHP5"/>
      <c r="VHQ5"/>
      <c r="VHR5"/>
      <c r="VHS5"/>
      <c r="VHT5"/>
      <c r="VHU5"/>
      <c r="VHV5"/>
      <c r="VHW5"/>
      <c r="VHX5"/>
      <c r="VHY5"/>
      <c r="VHZ5"/>
      <c r="VIA5"/>
      <c r="VIB5"/>
      <c r="VIC5"/>
      <c r="VID5"/>
      <c r="VIE5"/>
      <c r="VIF5"/>
      <c r="VIG5"/>
      <c r="VIH5"/>
      <c r="VII5"/>
      <c r="VIJ5"/>
      <c r="VIK5"/>
      <c r="VIL5"/>
      <c r="VIM5"/>
      <c r="VIN5"/>
      <c r="VIO5"/>
      <c r="VIP5"/>
      <c r="VIQ5"/>
      <c r="VIR5"/>
      <c r="VIS5"/>
      <c r="VIT5"/>
      <c r="VIU5"/>
      <c r="VIV5"/>
      <c r="VIW5"/>
      <c r="VIX5"/>
      <c r="VIY5"/>
      <c r="VIZ5"/>
      <c r="VJA5"/>
      <c r="VJB5"/>
      <c r="VJC5"/>
      <c r="VJD5"/>
      <c r="VJE5"/>
      <c r="VJF5"/>
      <c r="VJG5"/>
      <c r="VJH5"/>
      <c r="VJI5"/>
      <c r="VJJ5"/>
      <c r="VJK5"/>
      <c r="VJL5"/>
      <c r="VJM5"/>
      <c r="VJN5"/>
      <c r="VJO5"/>
      <c r="VJP5"/>
      <c r="VJQ5"/>
      <c r="VJR5"/>
      <c r="VJS5"/>
      <c r="VJT5"/>
      <c r="VJU5"/>
      <c r="VJV5"/>
      <c r="VJW5"/>
      <c r="VJX5"/>
      <c r="VJY5"/>
      <c r="VJZ5"/>
      <c r="VKA5"/>
      <c r="VKB5"/>
      <c r="VKC5"/>
      <c r="VKD5"/>
      <c r="VKE5"/>
      <c r="VKF5"/>
      <c r="VKG5"/>
      <c r="VKH5"/>
      <c r="VKI5"/>
      <c r="VKJ5"/>
      <c r="VKK5"/>
      <c r="VKL5"/>
      <c r="VKM5"/>
      <c r="VKN5"/>
      <c r="VKO5"/>
      <c r="VKP5"/>
      <c r="VKQ5"/>
      <c r="VKR5"/>
      <c r="VKS5"/>
      <c r="VKT5"/>
      <c r="VKU5"/>
      <c r="VKV5"/>
      <c r="VKW5"/>
      <c r="VKX5"/>
      <c r="VKY5"/>
      <c r="VKZ5"/>
      <c r="VLA5"/>
      <c r="VLB5"/>
      <c r="VLC5"/>
      <c r="VLD5"/>
      <c r="VLE5"/>
      <c r="VLF5"/>
      <c r="VLG5"/>
      <c r="VLH5"/>
      <c r="VLI5"/>
      <c r="VLJ5"/>
      <c r="VLK5"/>
      <c r="VLL5"/>
      <c r="VLM5"/>
      <c r="VLN5"/>
      <c r="VLO5"/>
      <c r="VLP5"/>
      <c r="VLQ5"/>
      <c r="VLR5"/>
      <c r="VLS5"/>
      <c r="VLT5"/>
      <c r="VLU5"/>
      <c r="VLV5"/>
      <c r="VLW5"/>
      <c r="VLX5"/>
      <c r="VLY5"/>
      <c r="VLZ5"/>
      <c r="VMA5"/>
      <c r="VMB5"/>
      <c r="VMC5"/>
      <c r="VMD5"/>
      <c r="VME5"/>
      <c r="VMF5"/>
      <c r="VMG5"/>
      <c r="VMH5"/>
      <c r="VMI5"/>
      <c r="VMJ5"/>
      <c r="VMK5"/>
      <c r="VML5"/>
      <c r="VMM5"/>
      <c r="VMN5"/>
      <c r="VMO5"/>
      <c r="VMP5"/>
      <c r="VMQ5"/>
      <c r="VMR5"/>
      <c r="VMS5"/>
      <c r="VMT5"/>
      <c r="VMU5"/>
      <c r="VMV5"/>
      <c r="VMW5"/>
      <c r="VMX5"/>
      <c r="VMY5"/>
      <c r="VMZ5"/>
      <c r="VNA5"/>
      <c r="VNB5"/>
      <c r="VNC5"/>
      <c r="VND5"/>
      <c r="VNE5"/>
      <c r="VNF5"/>
      <c r="VNG5"/>
      <c r="VNH5"/>
      <c r="VNI5"/>
      <c r="VNJ5"/>
      <c r="VNK5"/>
      <c r="VNL5"/>
      <c r="VNM5"/>
      <c r="VNN5"/>
      <c r="VNO5"/>
      <c r="VNP5"/>
      <c r="VNQ5"/>
      <c r="VNR5"/>
      <c r="VNS5"/>
      <c r="VNT5"/>
      <c r="VNU5"/>
      <c r="VNV5"/>
      <c r="VNW5"/>
      <c r="VNX5"/>
      <c r="VNY5"/>
      <c r="VNZ5"/>
      <c r="VOA5"/>
      <c r="VOB5"/>
      <c r="VOC5"/>
      <c r="VOD5"/>
      <c r="VOE5"/>
      <c r="VOF5"/>
      <c r="VOG5"/>
      <c r="VOH5"/>
      <c r="VOI5"/>
      <c r="VOJ5"/>
      <c r="VOK5"/>
      <c r="VOL5"/>
      <c r="VOM5"/>
      <c r="VON5"/>
      <c r="VOO5"/>
      <c r="VOP5"/>
      <c r="VOQ5"/>
      <c r="VOR5"/>
      <c r="VOS5"/>
      <c r="VOT5"/>
      <c r="VOU5"/>
      <c r="VOV5"/>
      <c r="VOW5"/>
      <c r="VOX5"/>
      <c r="VOY5"/>
      <c r="VOZ5"/>
      <c r="VPA5"/>
      <c r="VPB5"/>
      <c r="VPC5"/>
      <c r="VPD5"/>
      <c r="VPE5"/>
      <c r="VPF5"/>
      <c r="VPG5"/>
      <c r="VPH5"/>
      <c r="VPI5"/>
      <c r="VPJ5"/>
      <c r="VPK5"/>
      <c r="VPL5"/>
      <c r="VPM5"/>
      <c r="VPN5"/>
      <c r="VPO5"/>
      <c r="VPP5"/>
      <c r="VPQ5"/>
      <c r="VPR5"/>
      <c r="VPS5"/>
      <c r="VPT5"/>
      <c r="VPU5"/>
      <c r="VPV5"/>
      <c r="VPW5"/>
      <c r="VPX5"/>
      <c r="VPY5"/>
      <c r="VPZ5"/>
      <c r="VQA5"/>
      <c r="VQB5"/>
      <c r="VQC5"/>
      <c r="VQD5"/>
      <c r="VQE5"/>
      <c r="VQF5"/>
      <c r="VQG5"/>
      <c r="VQH5"/>
      <c r="VQI5"/>
      <c r="VQJ5"/>
      <c r="VQK5"/>
      <c r="VQL5"/>
      <c r="VQM5"/>
      <c r="VQN5"/>
      <c r="VQO5"/>
      <c r="VQP5"/>
      <c r="VQQ5"/>
      <c r="VQR5"/>
      <c r="VQS5"/>
      <c r="VQT5"/>
      <c r="VQU5"/>
      <c r="VQV5"/>
      <c r="VQW5"/>
      <c r="VQX5"/>
      <c r="VQY5"/>
      <c r="VQZ5"/>
      <c r="VRA5"/>
      <c r="VRB5"/>
      <c r="VRC5"/>
      <c r="VRD5"/>
      <c r="VRE5"/>
      <c r="VRF5"/>
      <c r="VRG5"/>
      <c r="VRH5"/>
      <c r="VRI5"/>
      <c r="VRJ5"/>
      <c r="VRK5"/>
      <c r="VRL5"/>
      <c r="VRM5"/>
      <c r="VRN5"/>
      <c r="VRO5"/>
      <c r="VRP5"/>
      <c r="VRQ5"/>
      <c r="VRR5"/>
      <c r="VRS5"/>
      <c r="VRT5"/>
      <c r="VRU5"/>
      <c r="VRV5"/>
      <c r="VRW5"/>
      <c r="VRX5"/>
      <c r="VRY5"/>
      <c r="VRZ5"/>
      <c r="VSA5"/>
      <c r="VSB5"/>
      <c r="VSC5"/>
      <c r="VSD5"/>
      <c r="VSE5"/>
      <c r="VSF5"/>
      <c r="VSG5"/>
      <c r="VSH5"/>
      <c r="VSI5"/>
      <c r="VSJ5"/>
      <c r="VSK5"/>
      <c r="VSL5"/>
      <c r="VSM5"/>
      <c r="VSN5"/>
      <c r="VSO5"/>
      <c r="VSP5"/>
      <c r="VSQ5"/>
      <c r="VSR5"/>
      <c r="VSS5"/>
      <c r="VST5"/>
      <c r="VSU5"/>
      <c r="VSV5"/>
      <c r="VSW5"/>
      <c r="VSX5"/>
      <c r="VSY5"/>
      <c r="VSZ5"/>
      <c r="VTA5"/>
      <c r="VTB5"/>
      <c r="VTC5"/>
      <c r="VTD5"/>
      <c r="VTE5"/>
      <c r="VTF5"/>
      <c r="VTG5"/>
      <c r="VTH5"/>
      <c r="VTI5"/>
      <c r="VTJ5"/>
      <c r="VTK5"/>
      <c r="VTL5"/>
      <c r="VTM5"/>
      <c r="VTN5"/>
      <c r="VTO5"/>
      <c r="VTP5"/>
      <c r="VTQ5"/>
      <c r="VTR5"/>
      <c r="VTS5"/>
      <c r="VTT5"/>
      <c r="VTU5"/>
      <c r="VTV5"/>
      <c r="VTW5"/>
      <c r="VTX5"/>
      <c r="VTY5"/>
      <c r="VTZ5"/>
      <c r="VUA5"/>
      <c r="VUB5"/>
      <c r="VUC5"/>
      <c r="VUD5"/>
      <c r="VUE5"/>
      <c r="VUF5"/>
      <c r="VUG5"/>
      <c r="VUH5"/>
      <c r="VUI5"/>
      <c r="VUJ5"/>
      <c r="VUK5"/>
      <c r="VUL5"/>
      <c r="VUM5"/>
      <c r="VUN5"/>
      <c r="VUO5"/>
      <c r="VUP5"/>
      <c r="VUQ5"/>
      <c r="VUR5"/>
      <c r="VUS5"/>
      <c r="VUT5"/>
      <c r="VUU5"/>
      <c r="VUV5"/>
      <c r="VUW5"/>
      <c r="VUX5"/>
      <c r="VUY5"/>
      <c r="VUZ5"/>
      <c r="VVA5"/>
      <c r="VVB5"/>
      <c r="VVC5"/>
      <c r="VVD5"/>
      <c r="VVE5"/>
      <c r="VVF5"/>
      <c r="VVG5"/>
      <c r="VVH5"/>
      <c r="VVI5"/>
      <c r="VVJ5"/>
      <c r="VVK5"/>
      <c r="VVL5"/>
      <c r="VVM5"/>
      <c r="VVN5"/>
      <c r="VVO5"/>
      <c r="VVP5"/>
      <c r="VVQ5"/>
      <c r="VVR5"/>
      <c r="VVS5"/>
      <c r="VVT5"/>
      <c r="VVU5"/>
      <c r="VVV5"/>
      <c r="VVW5"/>
      <c r="VVX5"/>
      <c r="VVY5"/>
      <c r="VVZ5"/>
      <c r="VWA5"/>
      <c r="VWB5"/>
      <c r="VWC5"/>
      <c r="VWD5"/>
      <c r="VWE5"/>
      <c r="VWF5"/>
      <c r="VWG5"/>
      <c r="VWH5"/>
      <c r="VWI5"/>
      <c r="VWJ5"/>
      <c r="VWK5"/>
      <c r="VWL5"/>
      <c r="VWM5"/>
      <c r="VWN5"/>
      <c r="VWO5"/>
      <c r="VWP5"/>
      <c r="VWQ5"/>
      <c r="VWR5"/>
      <c r="VWS5"/>
      <c r="VWT5"/>
      <c r="VWU5"/>
      <c r="VWV5"/>
      <c r="VWW5"/>
      <c r="VWX5"/>
      <c r="VWY5"/>
      <c r="VWZ5"/>
      <c r="VXA5"/>
      <c r="VXB5"/>
      <c r="VXC5"/>
      <c r="VXD5"/>
      <c r="VXE5"/>
      <c r="VXF5"/>
      <c r="VXG5"/>
      <c r="VXH5"/>
      <c r="VXI5"/>
      <c r="VXJ5"/>
      <c r="VXK5"/>
      <c r="VXL5"/>
      <c r="VXM5"/>
      <c r="VXN5"/>
      <c r="VXO5"/>
      <c r="VXP5"/>
      <c r="VXQ5"/>
      <c r="VXR5"/>
      <c r="VXS5"/>
      <c r="VXT5"/>
      <c r="VXU5"/>
      <c r="VXV5"/>
      <c r="VXW5"/>
      <c r="VXX5"/>
      <c r="VXY5"/>
      <c r="VXZ5"/>
      <c r="VYA5"/>
      <c r="VYB5"/>
      <c r="VYC5"/>
      <c r="VYD5"/>
      <c r="VYE5"/>
      <c r="VYF5"/>
      <c r="VYG5"/>
      <c r="VYH5"/>
      <c r="VYI5"/>
      <c r="VYJ5"/>
      <c r="VYK5"/>
      <c r="VYL5"/>
      <c r="VYM5"/>
      <c r="VYN5"/>
      <c r="VYO5"/>
      <c r="VYP5"/>
      <c r="VYQ5"/>
      <c r="VYR5"/>
      <c r="VYS5"/>
      <c r="VYT5"/>
      <c r="VYU5"/>
      <c r="VYV5"/>
      <c r="VYW5"/>
      <c r="VYX5"/>
      <c r="VYY5"/>
      <c r="VYZ5"/>
      <c r="VZA5"/>
      <c r="VZB5"/>
      <c r="VZC5"/>
      <c r="VZD5"/>
      <c r="VZE5"/>
      <c r="VZF5"/>
      <c r="VZG5"/>
      <c r="VZH5"/>
      <c r="VZI5"/>
      <c r="VZJ5"/>
      <c r="VZK5"/>
      <c r="VZL5"/>
      <c r="VZM5"/>
      <c r="VZN5"/>
      <c r="VZO5"/>
      <c r="VZP5"/>
      <c r="VZQ5"/>
      <c r="VZR5"/>
      <c r="VZS5"/>
      <c r="VZT5"/>
      <c r="VZU5"/>
      <c r="VZV5"/>
      <c r="VZW5"/>
      <c r="VZX5"/>
      <c r="VZY5"/>
      <c r="VZZ5"/>
      <c r="WAA5"/>
      <c r="WAB5"/>
      <c r="WAC5"/>
      <c r="WAD5"/>
      <c r="WAE5"/>
      <c r="WAF5"/>
      <c r="WAG5"/>
      <c r="WAH5"/>
      <c r="WAI5"/>
      <c r="WAJ5"/>
      <c r="WAK5"/>
      <c r="WAL5"/>
      <c r="WAM5"/>
      <c r="WAN5"/>
      <c r="WAO5"/>
      <c r="WAP5"/>
      <c r="WAQ5"/>
      <c r="WAR5"/>
      <c r="WAS5"/>
      <c r="WAT5"/>
      <c r="WAU5"/>
      <c r="WAV5"/>
      <c r="WAW5"/>
      <c r="WAX5"/>
      <c r="WAY5"/>
      <c r="WAZ5"/>
      <c r="WBA5"/>
      <c r="WBB5"/>
      <c r="WBC5"/>
      <c r="WBD5"/>
      <c r="WBE5"/>
      <c r="WBF5"/>
      <c r="WBG5"/>
      <c r="WBH5"/>
      <c r="WBI5"/>
      <c r="WBJ5"/>
      <c r="WBK5"/>
      <c r="WBL5"/>
      <c r="WBM5"/>
      <c r="WBN5"/>
      <c r="WBO5"/>
      <c r="WBP5"/>
      <c r="WBQ5"/>
      <c r="WBR5"/>
      <c r="WBS5"/>
      <c r="WBT5"/>
      <c r="WBU5"/>
      <c r="WBV5"/>
      <c r="WBW5"/>
      <c r="WBX5"/>
      <c r="WBY5"/>
      <c r="WBZ5"/>
      <c r="WCA5"/>
      <c r="WCB5"/>
      <c r="WCC5"/>
      <c r="WCD5"/>
      <c r="WCE5"/>
      <c r="WCF5"/>
      <c r="WCG5"/>
      <c r="WCH5"/>
      <c r="WCI5"/>
      <c r="WCJ5"/>
      <c r="WCK5"/>
      <c r="WCL5"/>
      <c r="WCM5"/>
      <c r="WCN5"/>
      <c r="WCO5"/>
      <c r="WCP5"/>
      <c r="WCQ5"/>
      <c r="WCR5"/>
      <c r="WCS5"/>
      <c r="WCT5"/>
      <c r="WCU5"/>
      <c r="WCV5"/>
      <c r="WCW5"/>
      <c r="WCX5"/>
      <c r="WCY5"/>
      <c r="WCZ5"/>
      <c r="WDA5"/>
      <c r="WDB5"/>
      <c r="WDC5"/>
      <c r="WDD5"/>
      <c r="WDE5"/>
      <c r="WDF5"/>
      <c r="WDG5"/>
      <c r="WDH5"/>
      <c r="WDI5"/>
      <c r="WDJ5"/>
      <c r="WDK5"/>
      <c r="WDL5"/>
      <c r="WDM5"/>
      <c r="WDN5"/>
      <c r="WDO5"/>
      <c r="WDP5"/>
      <c r="WDQ5"/>
      <c r="WDR5"/>
      <c r="WDS5"/>
      <c r="WDT5"/>
      <c r="WDU5"/>
      <c r="WDV5"/>
      <c r="WDW5"/>
      <c r="WDX5"/>
      <c r="WDY5"/>
      <c r="WDZ5"/>
      <c r="WEA5"/>
      <c r="WEB5"/>
      <c r="WEC5"/>
      <c r="WED5"/>
      <c r="WEE5"/>
      <c r="WEF5"/>
      <c r="WEG5"/>
      <c r="WEH5"/>
      <c r="WEI5"/>
      <c r="WEJ5"/>
      <c r="WEK5"/>
      <c r="WEL5"/>
      <c r="WEM5"/>
      <c r="WEN5"/>
      <c r="WEO5"/>
      <c r="WEP5"/>
      <c r="WEQ5"/>
      <c r="WER5"/>
      <c r="WES5"/>
      <c r="WET5"/>
      <c r="WEU5"/>
      <c r="WEV5"/>
      <c r="WEW5"/>
      <c r="WEX5"/>
      <c r="WEY5"/>
      <c r="WEZ5"/>
      <c r="WFA5"/>
      <c r="WFB5"/>
      <c r="WFC5"/>
      <c r="WFD5"/>
      <c r="WFE5"/>
      <c r="WFF5"/>
      <c r="WFG5"/>
      <c r="WFH5"/>
      <c r="WFI5"/>
      <c r="WFJ5"/>
      <c r="WFK5"/>
      <c r="WFL5"/>
      <c r="WFM5"/>
      <c r="WFN5"/>
      <c r="WFO5"/>
      <c r="WFP5"/>
      <c r="WFQ5"/>
      <c r="WFR5"/>
      <c r="WFS5"/>
      <c r="WFT5"/>
      <c r="WFU5"/>
      <c r="WFV5"/>
      <c r="WFW5"/>
      <c r="WFX5"/>
      <c r="WFY5"/>
      <c r="WFZ5"/>
      <c r="WGA5"/>
      <c r="WGB5"/>
      <c r="WGC5"/>
      <c r="WGD5"/>
      <c r="WGE5"/>
      <c r="WGF5"/>
      <c r="WGG5"/>
      <c r="WGH5"/>
      <c r="WGI5"/>
      <c r="WGJ5"/>
      <c r="WGK5"/>
      <c r="WGL5"/>
      <c r="WGM5"/>
      <c r="WGN5"/>
      <c r="WGO5"/>
      <c r="WGP5"/>
      <c r="WGQ5"/>
      <c r="WGR5"/>
      <c r="WGS5"/>
      <c r="WGT5"/>
      <c r="WGU5"/>
      <c r="WGV5"/>
      <c r="WGW5"/>
      <c r="WGX5"/>
      <c r="WGY5"/>
      <c r="WGZ5"/>
      <c r="WHA5"/>
      <c r="WHB5"/>
      <c r="WHC5"/>
      <c r="WHD5"/>
      <c r="WHE5"/>
      <c r="WHF5"/>
      <c r="WHG5"/>
      <c r="WHH5"/>
      <c r="WHI5"/>
      <c r="WHJ5"/>
      <c r="WHK5"/>
      <c r="WHL5"/>
      <c r="WHM5"/>
      <c r="WHN5"/>
      <c r="WHO5"/>
      <c r="WHP5"/>
      <c r="WHQ5"/>
      <c r="WHR5"/>
      <c r="WHS5"/>
      <c r="WHT5"/>
      <c r="WHU5"/>
      <c r="WHV5"/>
      <c r="WHW5"/>
      <c r="WHX5"/>
      <c r="WHY5"/>
      <c r="WHZ5"/>
      <c r="WIA5"/>
      <c r="WIB5"/>
      <c r="WIC5"/>
      <c r="WID5"/>
      <c r="WIE5"/>
      <c r="WIF5"/>
      <c r="WIG5"/>
      <c r="WIH5"/>
      <c r="WII5"/>
      <c r="WIJ5"/>
      <c r="WIK5"/>
      <c r="WIL5"/>
      <c r="WIM5"/>
      <c r="WIN5"/>
      <c r="WIO5"/>
      <c r="WIP5"/>
      <c r="WIQ5"/>
      <c r="WIR5"/>
      <c r="WIS5"/>
      <c r="WIT5"/>
      <c r="WIU5"/>
      <c r="WIV5"/>
      <c r="WIW5"/>
      <c r="WIX5"/>
      <c r="WIY5"/>
      <c r="WIZ5"/>
      <c r="WJA5"/>
      <c r="WJB5"/>
      <c r="WJC5"/>
      <c r="WJD5"/>
      <c r="WJE5"/>
      <c r="WJF5"/>
      <c r="WJG5"/>
      <c r="WJH5"/>
      <c r="WJI5"/>
      <c r="WJJ5"/>
      <c r="WJK5"/>
      <c r="WJL5"/>
      <c r="WJM5"/>
      <c r="WJN5"/>
      <c r="WJO5"/>
      <c r="WJP5"/>
      <c r="WJQ5"/>
      <c r="WJR5"/>
      <c r="WJS5"/>
      <c r="WJT5"/>
      <c r="WJU5"/>
      <c r="WJV5"/>
      <c r="WJW5"/>
      <c r="WJX5"/>
      <c r="WJY5"/>
      <c r="WJZ5"/>
      <c r="WKA5"/>
      <c r="WKB5"/>
      <c r="WKC5"/>
      <c r="WKD5"/>
      <c r="WKE5"/>
      <c r="WKF5"/>
      <c r="WKG5"/>
      <c r="WKH5"/>
      <c r="WKI5"/>
      <c r="WKJ5"/>
      <c r="WKK5"/>
      <c r="WKL5"/>
      <c r="WKM5"/>
      <c r="WKN5"/>
      <c r="WKO5"/>
      <c r="WKP5"/>
      <c r="WKQ5"/>
      <c r="WKR5"/>
      <c r="WKS5"/>
      <c r="WKT5"/>
      <c r="WKU5"/>
      <c r="WKV5"/>
      <c r="WKW5"/>
      <c r="WKX5"/>
      <c r="WKY5"/>
      <c r="WKZ5"/>
      <c r="WLA5"/>
      <c r="WLB5"/>
      <c r="WLC5"/>
      <c r="WLD5"/>
      <c r="WLE5"/>
      <c r="WLF5"/>
      <c r="WLG5"/>
      <c r="WLH5"/>
      <c r="WLI5"/>
      <c r="WLJ5"/>
      <c r="WLK5"/>
      <c r="WLL5"/>
      <c r="WLM5"/>
      <c r="WLN5"/>
      <c r="WLO5"/>
      <c r="WLP5"/>
      <c r="WLQ5"/>
      <c r="WLR5"/>
      <c r="WLS5"/>
      <c r="WLT5"/>
      <c r="WLU5"/>
      <c r="WLV5"/>
      <c r="WLW5"/>
      <c r="WLX5"/>
      <c r="WLY5"/>
      <c r="WLZ5"/>
      <c r="WMA5"/>
      <c r="WMB5"/>
      <c r="WMC5"/>
      <c r="WMD5"/>
      <c r="WME5"/>
      <c r="WMF5"/>
      <c r="WMG5"/>
      <c r="WMH5"/>
      <c r="WMI5"/>
      <c r="WMJ5"/>
      <c r="WMK5"/>
      <c r="WML5"/>
      <c r="WMM5"/>
      <c r="WMN5"/>
      <c r="WMO5"/>
      <c r="WMP5"/>
      <c r="WMQ5"/>
      <c r="WMR5"/>
      <c r="WMS5"/>
      <c r="WMT5"/>
      <c r="WMU5"/>
      <c r="WMV5"/>
      <c r="WMW5"/>
      <c r="WMX5"/>
      <c r="WMY5"/>
      <c r="WMZ5"/>
      <c r="WNA5"/>
      <c r="WNB5"/>
      <c r="WNC5"/>
      <c r="WND5"/>
      <c r="WNE5"/>
      <c r="WNF5"/>
      <c r="WNG5"/>
      <c r="WNH5"/>
      <c r="WNI5"/>
      <c r="WNJ5"/>
      <c r="WNK5"/>
      <c r="WNL5"/>
      <c r="WNM5"/>
      <c r="WNN5"/>
      <c r="WNO5"/>
      <c r="WNP5"/>
      <c r="WNQ5"/>
      <c r="WNR5"/>
      <c r="WNS5"/>
      <c r="WNT5"/>
      <c r="WNU5"/>
      <c r="WNV5"/>
      <c r="WNW5"/>
      <c r="WNX5"/>
      <c r="WNY5"/>
      <c r="WNZ5"/>
      <c r="WOA5"/>
      <c r="WOB5"/>
      <c r="WOC5"/>
      <c r="WOD5"/>
      <c r="WOE5"/>
      <c r="WOF5"/>
      <c r="WOG5"/>
      <c r="WOH5"/>
      <c r="WOI5"/>
      <c r="WOJ5"/>
      <c r="WOK5"/>
      <c r="WOL5"/>
      <c r="WOM5"/>
      <c r="WON5"/>
      <c r="WOO5"/>
      <c r="WOP5"/>
      <c r="WOQ5"/>
      <c r="WOR5"/>
      <c r="WOS5"/>
      <c r="WOT5"/>
      <c r="WOU5"/>
      <c r="WOV5"/>
      <c r="WOW5"/>
      <c r="WOX5"/>
      <c r="WOY5"/>
      <c r="WOZ5"/>
      <c r="WPA5"/>
      <c r="WPB5"/>
      <c r="WPC5"/>
      <c r="WPD5"/>
      <c r="WPE5"/>
      <c r="WPF5"/>
      <c r="WPG5"/>
      <c r="WPH5"/>
      <c r="WPI5"/>
      <c r="WPJ5"/>
      <c r="WPK5"/>
      <c r="WPL5"/>
      <c r="WPM5"/>
      <c r="WPN5"/>
      <c r="WPO5"/>
      <c r="WPP5"/>
      <c r="WPQ5"/>
      <c r="WPR5"/>
      <c r="WPS5"/>
      <c r="WPT5"/>
      <c r="WPU5"/>
      <c r="WPV5"/>
      <c r="WPW5"/>
      <c r="WPX5"/>
      <c r="WPY5"/>
      <c r="WPZ5"/>
      <c r="WQA5"/>
      <c r="WQB5"/>
      <c r="WQC5"/>
      <c r="WQD5"/>
      <c r="WQE5"/>
      <c r="WQF5"/>
      <c r="WQG5"/>
      <c r="WQH5"/>
      <c r="WQI5"/>
      <c r="WQJ5"/>
      <c r="WQK5"/>
      <c r="WQL5"/>
      <c r="WQM5"/>
      <c r="WQN5"/>
      <c r="WQO5"/>
      <c r="WQP5"/>
      <c r="WQQ5"/>
      <c r="WQR5"/>
      <c r="WQS5"/>
      <c r="WQT5"/>
      <c r="WQU5"/>
      <c r="WQV5"/>
      <c r="WQW5"/>
      <c r="WQX5"/>
      <c r="WQY5"/>
      <c r="WQZ5"/>
      <c r="WRA5"/>
      <c r="WRB5"/>
      <c r="WRC5"/>
      <c r="WRD5"/>
      <c r="WRE5"/>
      <c r="WRF5"/>
      <c r="WRG5"/>
      <c r="WRH5"/>
      <c r="WRI5"/>
      <c r="WRJ5"/>
      <c r="WRK5"/>
      <c r="WRL5"/>
      <c r="WRM5"/>
      <c r="WRN5"/>
      <c r="WRO5"/>
      <c r="WRP5"/>
      <c r="WRQ5"/>
      <c r="WRR5"/>
      <c r="WRS5"/>
      <c r="WRT5"/>
      <c r="WRU5"/>
      <c r="WRV5"/>
      <c r="WRW5"/>
      <c r="WRX5"/>
      <c r="WRY5"/>
      <c r="WRZ5"/>
      <c r="WSA5"/>
      <c r="WSB5"/>
      <c r="WSC5"/>
      <c r="WSD5"/>
      <c r="WSE5"/>
      <c r="WSF5"/>
      <c r="WSG5"/>
      <c r="WSH5"/>
      <c r="WSI5"/>
      <c r="WSJ5"/>
      <c r="WSK5"/>
      <c r="WSL5"/>
      <c r="WSM5"/>
      <c r="WSN5"/>
      <c r="WSO5"/>
      <c r="WSP5"/>
      <c r="WSQ5"/>
      <c r="WSR5"/>
      <c r="WSS5"/>
      <c r="WST5"/>
      <c r="WSU5"/>
      <c r="WSV5"/>
      <c r="WSW5"/>
      <c r="WSX5"/>
      <c r="WSY5"/>
      <c r="WSZ5"/>
      <c r="WTA5"/>
      <c r="WTB5"/>
      <c r="WTC5"/>
      <c r="WTD5"/>
      <c r="WTE5"/>
      <c r="WTF5"/>
      <c r="WTG5"/>
      <c r="WTH5"/>
      <c r="WTI5"/>
      <c r="WTJ5"/>
      <c r="WTK5"/>
      <c r="WTL5"/>
      <c r="WTM5"/>
      <c r="WTN5"/>
      <c r="WTO5"/>
      <c r="WTP5"/>
      <c r="WTQ5"/>
      <c r="WTR5"/>
      <c r="WTS5"/>
      <c r="WTT5"/>
      <c r="WTU5"/>
      <c r="WTV5"/>
      <c r="WTW5"/>
      <c r="WTX5"/>
      <c r="WTY5"/>
      <c r="WTZ5"/>
      <c r="WUA5"/>
      <c r="WUB5"/>
      <c r="WUC5"/>
      <c r="WUD5"/>
      <c r="WUE5"/>
      <c r="WUF5"/>
      <c r="WUG5"/>
      <c r="WUH5"/>
      <c r="WUI5"/>
      <c r="WUJ5"/>
      <c r="WUK5"/>
      <c r="WUL5"/>
      <c r="WUM5"/>
      <c r="WUN5"/>
      <c r="WUO5"/>
      <c r="WUP5"/>
      <c r="WUQ5"/>
      <c r="WUR5"/>
      <c r="WUS5"/>
      <c r="WUT5"/>
      <c r="WUU5"/>
      <c r="WUV5"/>
      <c r="WUW5"/>
      <c r="WUX5"/>
      <c r="WUY5"/>
      <c r="WUZ5"/>
      <c r="WVA5"/>
      <c r="WVB5"/>
      <c r="WVC5"/>
      <c r="WVD5"/>
      <c r="WVE5"/>
      <c r="WVF5"/>
      <c r="WVG5"/>
      <c r="WVH5"/>
      <c r="WVI5"/>
      <c r="WVJ5"/>
      <c r="WVK5"/>
      <c r="WVL5"/>
      <c r="WVM5"/>
      <c r="WVN5"/>
      <c r="WVO5"/>
      <c r="WVP5"/>
      <c r="WVQ5"/>
      <c r="WVR5"/>
      <c r="WVS5"/>
      <c r="WVT5"/>
      <c r="WVU5"/>
      <c r="WVV5"/>
      <c r="WVW5"/>
      <c r="WVX5"/>
      <c r="WVY5"/>
      <c r="WVZ5"/>
      <c r="WWA5"/>
      <c r="WWB5"/>
      <c r="WWC5"/>
      <c r="WWD5"/>
      <c r="WWE5"/>
      <c r="WWF5"/>
      <c r="WWG5"/>
      <c r="WWH5"/>
      <c r="WWI5"/>
      <c r="WWJ5"/>
      <c r="WWK5"/>
      <c r="WWL5"/>
      <c r="WWM5"/>
      <c r="WWN5"/>
      <c r="WWO5"/>
      <c r="WWP5"/>
      <c r="WWQ5"/>
      <c r="WWR5"/>
      <c r="WWS5"/>
      <c r="WWT5"/>
      <c r="WWU5"/>
      <c r="WWV5"/>
      <c r="WWW5"/>
      <c r="WWX5"/>
      <c r="WWY5"/>
      <c r="WWZ5"/>
      <c r="WXA5"/>
      <c r="WXB5"/>
      <c r="WXC5"/>
      <c r="WXD5"/>
      <c r="WXE5"/>
      <c r="WXF5"/>
      <c r="WXG5"/>
      <c r="WXH5"/>
      <c r="WXI5"/>
      <c r="WXJ5"/>
      <c r="WXK5"/>
      <c r="WXL5"/>
      <c r="WXM5"/>
      <c r="WXN5"/>
      <c r="WXO5"/>
      <c r="WXP5"/>
      <c r="WXQ5"/>
      <c r="WXR5"/>
      <c r="WXS5"/>
      <c r="WXT5"/>
      <c r="WXU5"/>
      <c r="WXV5"/>
      <c r="WXW5"/>
      <c r="WXX5"/>
      <c r="WXY5"/>
      <c r="WXZ5"/>
      <c r="WYA5"/>
      <c r="WYB5"/>
      <c r="WYC5"/>
      <c r="WYD5"/>
      <c r="WYE5"/>
      <c r="WYF5"/>
      <c r="WYG5"/>
      <c r="WYH5"/>
      <c r="WYI5"/>
      <c r="WYJ5"/>
      <c r="WYK5"/>
      <c r="WYL5"/>
      <c r="WYM5"/>
      <c r="WYN5"/>
      <c r="WYO5"/>
      <c r="WYP5"/>
      <c r="WYQ5"/>
      <c r="WYR5"/>
      <c r="WYS5"/>
      <c r="WYT5"/>
      <c r="WYU5"/>
      <c r="WYV5"/>
      <c r="WYW5"/>
      <c r="WYX5"/>
      <c r="WYY5"/>
      <c r="WYZ5"/>
      <c r="WZA5"/>
      <c r="WZB5"/>
      <c r="WZC5"/>
      <c r="WZD5"/>
      <c r="WZE5"/>
      <c r="WZF5"/>
      <c r="WZG5"/>
      <c r="WZH5"/>
      <c r="WZI5"/>
      <c r="WZJ5"/>
      <c r="WZK5"/>
      <c r="WZL5"/>
      <c r="WZM5"/>
      <c r="WZN5"/>
      <c r="WZO5"/>
      <c r="WZP5"/>
      <c r="WZQ5"/>
      <c r="WZR5"/>
      <c r="WZS5"/>
      <c r="WZT5"/>
      <c r="WZU5"/>
      <c r="WZV5"/>
      <c r="WZW5"/>
      <c r="WZX5"/>
      <c r="WZY5"/>
      <c r="WZZ5"/>
      <c r="XAA5"/>
      <c r="XAB5"/>
      <c r="XAC5"/>
      <c r="XAD5"/>
      <c r="XAE5"/>
      <c r="XAF5"/>
      <c r="XAG5"/>
      <c r="XAH5"/>
      <c r="XAI5"/>
      <c r="XAJ5"/>
      <c r="XAK5"/>
      <c r="XAL5"/>
      <c r="XAM5"/>
      <c r="XAN5"/>
      <c r="XAO5"/>
      <c r="XAP5"/>
      <c r="XAQ5"/>
      <c r="XAR5"/>
      <c r="XAS5"/>
      <c r="XAT5"/>
      <c r="XAU5"/>
      <c r="XAV5"/>
      <c r="XAW5"/>
      <c r="XAX5"/>
      <c r="XAY5"/>
      <c r="XAZ5"/>
      <c r="XBA5"/>
      <c r="XBB5"/>
      <c r="XBC5"/>
      <c r="XBD5"/>
      <c r="XBE5"/>
      <c r="XBF5"/>
      <c r="XBG5"/>
      <c r="XBH5"/>
      <c r="XBI5"/>
      <c r="XBJ5"/>
      <c r="XBK5"/>
      <c r="XBL5"/>
      <c r="XBM5"/>
      <c r="XBN5"/>
      <c r="XBO5"/>
      <c r="XBP5"/>
      <c r="XBQ5"/>
      <c r="XBR5"/>
      <c r="XBS5"/>
      <c r="XBT5"/>
      <c r="XBU5"/>
      <c r="XBV5"/>
      <c r="XBW5"/>
      <c r="XBX5"/>
      <c r="XBY5"/>
      <c r="XBZ5"/>
      <c r="XCA5"/>
      <c r="XCB5"/>
      <c r="XCC5"/>
      <c r="XCD5"/>
      <c r="XCE5"/>
      <c r="XCF5"/>
      <c r="XCG5"/>
      <c r="XCH5"/>
      <c r="XCI5"/>
      <c r="XCJ5"/>
      <c r="XCK5"/>
      <c r="XCL5"/>
      <c r="XCM5"/>
      <c r="XCN5"/>
      <c r="XCO5"/>
      <c r="XCP5"/>
      <c r="XCQ5"/>
      <c r="XCR5"/>
      <c r="XCS5"/>
      <c r="XCT5"/>
      <c r="XCU5"/>
      <c r="XCV5"/>
      <c r="XCW5"/>
      <c r="XCX5"/>
      <c r="XCY5"/>
      <c r="XCZ5"/>
      <c r="XDA5"/>
      <c r="XDB5"/>
      <c r="XDC5"/>
      <c r="XDD5"/>
      <c r="XDE5"/>
      <c r="XDF5"/>
      <c r="XDG5"/>
      <c r="XDH5"/>
      <c r="XDI5"/>
      <c r="XDJ5"/>
      <c r="XDK5"/>
      <c r="XDL5"/>
      <c r="XDM5"/>
      <c r="XDN5"/>
      <c r="XDO5"/>
      <c r="XDP5"/>
      <c r="XDQ5"/>
      <c r="XDR5"/>
      <c r="XDS5"/>
      <c r="XDT5"/>
      <c r="XDU5"/>
      <c r="XDV5"/>
      <c r="XDW5"/>
      <c r="XDX5"/>
      <c r="XDY5"/>
      <c r="XDZ5"/>
      <c r="XEA5"/>
      <c r="XEB5"/>
      <c r="XEC5"/>
      <c r="XED5"/>
      <c r="XEE5"/>
      <c r="XEF5"/>
      <c r="XEG5"/>
      <c r="XEH5"/>
      <c r="XEI5"/>
      <c r="XEJ5"/>
      <c r="XEK5"/>
      <c r="XEL5"/>
      <c r="XEM5"/>
      <c r="XEN5"/>
      <c r="XEO5"/>
      <c r="XEP5"/>
      <c r="XEQ5"/>
      <c r="XER5"/>
      <c r="XES5"/>
      <c r="XET5"/>
      <c r="XEU5"/>
      <c r="XEV5"/>
      <c r="XEW5"/>
      <c r="XEX5"/>
      <c r="XEY5"/>
      <c r="XEZ5"/>
      <c r="XFA5"/>
      <c r="XFB5"/>
      <c r="XFC5"/>
      <c r="XFD5"/>
    </row>
    <row r="6" spans="1:16384" s="40" customFormat="1" x14ac:dyDescent="0.35">
      <c r="A6" s="40" t="s">
        <v>11</v>
      </c>
    </row>
    <row r="7" spans="1:16384" x14ac:dyDescent="0.35">
      <c r="A7" s="1"/>
      <c r="B7" s="1"/>
      <c r="C7" s="2" t="s">
        <v>12</v>
      </c>
      <c r="D7" s="54">
        <v>3000</v>
      </c>
      <c r="H7" s="32" t="s">
        <v>10</v>
      </c>
      <c r="I7" s="4">
        <f>D35</f>
        <v>0</v>
      </c>
    </row>
    <row r="8" spans="1:16384" x14ac:dyDescent="0.35">
      <c r="A8" s="1"/>
      <c r="B8" s="1"/>
      <c r="C8" s="2" t="s">
        <v>13</v>
      </c>
      <c r="D8" s="53">
        <v>0.8</v>
      </c>
      <c r="H8" s="32" t="s">
        <v>108</v>
      </c>
      <c r="I8" s="7">
        <f>D29</f>
        <v>0</v>
      </c>
    </row>
    <row r="9" spans="1:16384" x14ac:dyDescent="0.35">
      <c r="A9" s="1"/>
      <c r="B9" s="1"/>
      <c r="C9" s="2" t="s">
        <v>14</v>
      </c>
      <c r="D9" s="6">
        <f>D7*D8</f>
        <v>2400</v>
      </c>
      <c r="H9" s="32" t="s">
        <v>102</v>
      </c>
      <c r="I9" s="12">
        <f>I8/D7</f>
        <v>0</v>
      </c>
    </row>
    <row r="10" spans="1:16384" x14ac:dyDescent="0.35">
      <c r="A10" s="1"/>
      <c r="B10" s="1"/>
      <c r="C10" s="2" t="s">
        <v>1</v>
      </c>
      <c r="D10" s="51">
        <v>1.2</v>
      </c>
    </row>
    <row r="11" spans="1:16384" x14ac:dyDescent="0.35">
      <c r="A11" s="1"/>
      <c r="B11" s="1"/>
      <c r="C11" s="2" t="s">
        <v>24</v>
      </c>
      <c r="D11" s="12">
        <f>Intrest_Rate</f>
        <v>0.05</v>
      </c>
    </row>
    <row r="12" spans="1:16384" x14ac:dyDescent="0.35">
      <c r="A12" s="1"/>
      <c r="B12" s="1"/>
    </row>
    <row r="13" spans="1:16384" x14ac:dyDescent="0.35">
      <c r="A13" s="1"/>
      <c r="B13" s="1"/>
      <c r="C13" s="2" t="s">
        <v>2</v>
      </c>
      <c r="E13" s="4">
        <f>'Basic Case - NPV Analysis'!E16</f>
        <v>210.60000000000002</v>
      </c>
      <c r="F13" s="4">
        <f>'Basic Case - NPV Analysis'!F16</f>
        <v>227.44800000000004</v>
      </c>
      <c r="G13" s="4">
        <f>'Basic Case - NPV Analysis'!G16</f>
        <v>238.82040000000003</v>
      </c>
      <c r="H13" s="4">
        <f>'Basic Case - NPV Analysis'!H16</f>
        <v>250.76142000000004</v>
      </c>
      <c r="I13" s="4">
        <f>'Basic Case - NPV Analysis'!I16</f>
        <v>263.29949100000005</v>
      </c>
      <c r="J13" s="4">
        <f>'Basic Case - NPV Analysis'!J16</f>
        <v>276.46446555000006</v>
      </c>
      <c r="K13" s="4">
        <f>'Basic Case - NPV Analysis'!K16</f>
        <v>284.75839951650005</v>
      </c>
      <c r="L13" s="4">
        <f>'Basic Case - NPV Analysis'!L16</f>
        <v>293.30115150199504</v>
      </c>
      <c r="M13" s="4">
        <f>'Basic Case - NPV Analysis'!M16</f>
        <v>302.10018604705488</v>
      </c>
      <c r="N13" s="4">
        <f>'Basic Case - NPV Analysis'!N16</f>
        <v>308.142189767996</v>
      </c>
      <c r="O13" s="4">
        <f>'Basic Case - NPV Analysis'!O16</f>
        <v>314.30503356335595</v>
      </c>
      <c r="P13" s="4">
        <f>'Basic Case - NPV Analysis'!P16</f>
        <v>320.5911342346231</v>
      </c>
      <c r="Q13" s="4">
        <f>'Basic Case - NPV Analysis'!Q16</f>
        <v>327.00295691931558</v>
      </c>
      <c r="R13" s="4">
        <f>'Basic Case - NPV Analysis'!R16</f>
        <v>333.54301605770189</v>
      </c>
      <c r="S13" s="4">
        <f>'Basic Case - NPV Analysis'!S16</f>
        <v>340.21387637885596</v>
      </c>
      <c r="T13" s="4">
        <f>'Basic Case - NPV Analysis'!T16</f>
        <v>347.0181539064331</v>
      </c>
      <c r="U13" s="4">
        <f>'Basic Case - NPV Analysis'!U16</f>
        <v>353.95851698456175</v>
      </c>
      <c r="V13" s="4">
        <f>'Basic Case - NPV Analysis'!V16</f>
        <v>361.037687324253</v>
      </c>
      <c r="W13" s="4">
        <f>'Basic Case - NPV Analysis'!W16</f>
        <v>368.25844107073806</v>
      </c>
      <c r="X13" s="4">
        <f>'Basic Case - NPV Analysis'!X16</f>
        <v>375.62360989215284</v>
      </c>
      <c r="Y13" s="4">
        <f>'Basic Case - NPV Analysis'!Y16</f>
        <v>383.13608208999591</v>
      </c>
      <c r="Z13" s="4">
        <f>'Basic Case - NPV Analysis'!Z16</f>
        <v>390.79880373179583</v>
      </c>
      <c r="AA13" s="4">
        <f>'Basic Case - NPV Analysis'!AA16</f>
        <v>398.61477980643173</v>
      </c>
      <c r="AB13" s="4">
        <f>'Basic Case - NPV Analysis'!AB16</f>
        <v>406.58707540256034</v>
      </c>
      <c r="AC13" s="4">
        <f>'Basic Case - NPV Analysis'!AC16</f>
        <v>414.71881691061157</v>
      </c>
    </row>
    <row r="14" spans="1:16384" x14ac:dyDescent="0.35">
      <c r="A14" s="1"/>
      <c r="B14" s="1"/>
      <c r="C14" s="2" t="s">
        <v>48</v>
      </c>
      <c r="E14" s="2" t="b">
        <f>'Basic Case - NPV Analysis'!E18</f>
        <v>1</v>
      </c>
      <c r="F14" s="2" t="b">
        <f>'Basic Case - NPV Analysis'!F18</f>
        <v>1</v>
      </c>
      <c r="G14" s="2" t="b">
        <f>'Basic Case - NPV Analysis'!G18</f>
        <v>1</v>
      </c>
      <c r="H14" s="2" t="b">
        <f>'Basic Case - NPV Analysis'!H18</f>
        <v>1</v>
      </c>
      <c r="I14" s="2" t="b">
        <f>'Basic Case - NPV Analysis'!I18</f>
        <v>1</v>
      </c>
      <c r="J14" s="2" t="b">
        <f>'Basic Case - NPV Analysis'!J18</f>
        <v>1</v>
      </c>
      <c r="K14" s="2" t="b">
        <f>'Basic Case - NPV Analysis'!K18</f>
        <v>1</v>
      </c>
      <c r="L14" s="2" t="b">
        <f>'Basic Case - NPV Analysis'!L18</f>
        <v>1</v>
      </c>
      <c r="M14" s="2" t="b">
        <f>'Basic Case - NPV Analysis'!M18</f>
        <v>1</v>
      </c>
      <c r="N14" s="2" t="b">
        <f>'Basic Case - NPV Analysis'!N18</f>
        <v>1</v>
      </c>
      <c r="O14" s="2" t="b">
        <f>'Basic Case - NPV Analysis'!O18</f>
        <v>1</v>
      </c>
      <c r="P14" s="2" t="b">
        <f>'Basic Case - NPV Analysis'!P18</f>
        <v>1</v>
      </c>
      <c r="Q14" s="2" t="b">
        <f>'Basic Case - NPV Analysis'!Q18</f>
        <v>1</v>
      </c>
      <c r="R14" s="2" t="b">
        <f>'Basic Case - NPV Analysis'!R18</f>
        <v>1</v>
      </c>
      <c r="S14" s="2" t="b">
        <f>'Basic Case - NPV Analysis'!S18</f>
        <v>1</v>
      </c>
      <c r="T14" s="2" t="b">
        <f>'Basic Case - NPV Analysis'!T18</f>
        <v>0</v>
      </c>
      <c r="U14" s="2" t="b">
        <f>'Basic Case - NPV Analysis'!U18</f>
        <v>0</v>
      </c>
      <c r="V14" s="2" t="b">
        <f>'Basic Case - NPV Analysis'!V18</f>
        <v>0</v>
      </c>
      <c r="W14" s="2" t="b">
        <f>'Basic Case - NPV Analysis'!W18</f>
        <v>0</v>
      </c>
      <c r="X14" s="2" t="b">
        <f>'Basic Case - NPV Analysis'!X18</f>
        <v>0</v>
      </c>
      <c r="Y14" s="2" t="b">
        <f>'Basic Case - NPV Analysis'!Y18</f>
        <v>0</v>
      </c>
      <c r="Z14" s="2" t="b">
        <f>'Basic Case - NPV Analysis'!Z18</f>
        <v>0</v>
      </c>
      <c r="AA14" s="2" t="b">
        <f>'Basic Case - NPV Analysis'!AA18</f>
        <v>0</v>
      </c>
      <c r="AB14" s="2" t="b">
        <f>'Basic Case - NPV Analysis'!AB18</f>
        <v>0</v>
      </c>
      <c r="AC14" s="2" t="b">
        <f>'Basic Case - NPV Analysis'!AC18</f>
        <v>0</v>
      </c>
    </row>
    <row r="15" spans="1:16384" x14ac:dyDescent="0.35">
      <c r="A15" s="1"/>
      <c r="B15" s="1"/>
      <c r="C15" s="2" t="s">
        <v>15</v>
      </c>
      <c r="D15" s="62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</row>
    <row r="16" spans="1:16384" x14ac:dyDescent="0.35">
      <c r="A16" s="1"/>
      <c r="B16" s="1"/>
      <c r="C16" s="2" t="s">
        <v>49</v>
      </c>
      <c r="D16" s="62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</row>
    <row r="17" spans="1:29" x14ac:dyDescent="0.35">
      <c r="A17" s="1"/>
      <c r="B17" s="1"/>
      <c r="C17" s="2" t="s">
        <v>52</v>
      </c>
      <c r="D17" s="63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</row>
    <row r="18" spans="1:29" x14ac:dyDescent="0.35">
      <c r="A18" s="1"/>
      <c r="B18" s="1"/>
      <c r="C18" s="2" t="s">
        <v>53</v>
      </c>
      <c r="D18" s="18" t="str">
        <f>IF(D17&lt;D8,"DSCR","Debt to Cap")</f>
        <v>DSCR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</row>
    <row r="19" spans="1:29" x14ac:dyDescent="0.35">
      <c r="A19" s="1"/>
      <c r="B19" s="1"/>
      <c r="D19" s="1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</row>
    <row r="20" spans="1:29" x14ac:dyDescent="0.35">
      <c r="A20" s="1"/>
      <c r="B20" s="1"/>
      <c r="C20" s="27" t="s">
        <v>50</v>
      </c>
      <c r="D20" s="28"/>
      <c r="E20" s="4"/>
    </row>
    <row r="21" spans="1:29" x14ac:dyDescent="0.35">
      <c r="A21" s="1"/>
      <c r="B21" s="1"/>
      <c r="D21" s="4"/>
      <c r="E21" s="4"/>
    </row>
    <row r="22" spans="1:29" x14ac:dyDescent="0.35">
      <c r="A22" s="1"/>
      <c r="B22" s="1"/>
      <c r="C22" s="2" t="s">
        <v>157</v>
      </c>
      <c r="D22" s="61"/>
      <c r="E22" s="4"/>
    </row>
    <row r="23" spans="1:29" x14ac:dyDescent="0.35">
      <c r="A23" s="1"/>
      <c r="B23" s="1"/>
      <c r="D23" s="4"/>
      <c r="E23" s="4"/>
    </row>
    <row r="24" spans="1:29" s="4" customFormat="1" x14ac:dyDescent="0.35">
      <c r="A24" s="8"/>
      <c r="B24" s="8"/>
      <c r="C24" s="4" t="s">
        <v>3</v>
      </c>
      <c r="D24" s="61"/>
      <c r="E24" s="61"/>
      <c r="F24" s="61"/>
      <c r="G24" s="61"/>
      <c r="H24" s="61"/>
      <c r="I24" s="61"/>
      <c r="J24" s="61"/>
      <c r="K24" s="61"/>
      <c r="L24" s="61"/>
      <c r="M24" s="61"/>
      <c r="N24" s="61"/>
      <c r="O24" s="61"/>
      <c r="P24" s="61"/>
      <c r="Q24" s="61"/>
      <c r="R24" s="61"/>
      <c r="S24" s="61"/>
      <c r="T24" s="61"/>
      <c r="U24" s="61"/>
      <c r="V24" s="61"/>
      <c r="W24" s="61"/>
      <c r="X24" s="61"/>
      <c r="Y24" s="61"/>
      <c r="Z24" s="61"/>
      <c r="AA24" s="61"/>
      <c r="AB24" s="61"/>
      <c r="AC24" s="61"/>
    </row>
    <row r="25" spans="1:29" s="4" customFormat="1" x14ac:dyDescent="0.35">
      <c r="A25" s="8"/>
      <c r="B25" s="8"/>
      <c r="C25" s="4" t="s">
        <v>54</v>
      </c>
      <c r="D25" s="61"/>
    </row>
    <row r="26" spans="1:29" x14ac:dyDescent="0.35">
      <c r="A26" s="1"/>
      <c r="B26" s="1"/>
    </row>
    <row r="27" spans="1:29" x14ac:dyDescent="0.35">
      <c r="A27" s="1"/>
      <c r="B27" s="1"/>
      <c r="C27" s="2" t="s">
        <v>5</v>
      </c>
      <c r="D27" s="62"/>
      <c r="E27" s="62"/>
      <c r="F27" s="62"/>
      <c r="G27" s="62"/>
      <c r="H27" s="62"/>
      <c r="I27" s="62"/>
      <c r="J27" s="62"/>
      <c r="K27" s="62"/>
      <c r="L27" s="62"/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2"/>
      <c r="AA27" s="62"/>
      <c r="AB27" s="62"/>
      <c r="AC27" s="62"/>
    </row>
    <row r="28" spans="1:29" x14ac:dyDescent="0.35">
      <c r="A28" s="1"/>
      <c r="B28" s="1"/>
      <c r="C28" s="2" t="s">
        <v>6</v>
      </c>
      <c r="D28" s="62"/>
      <c r="E28" s="62"/>
      <c r="F28" s="62"/>
      <c r="G28" s="62"/>
      <c r="H28" s="62"/>
      <c r="I28" s="62"/>
      <c r="J28" s="62"/>
      <c r="K28" s="62"/>
      <c r="L28" s="62"/>
      <c r="M28" s="62"/>
      <c r="N28" s="62"/>
      <c r="O28" s="62"/>
      <c r="P28" s="62"/>
      <c r="Q28" s="62"/>
      <c r="R28" s="62"/>
      <c r="S28" s="62"/>
      <c r="T28" s="62"/>
      <c r="U28" s="62"/>
      <c r="V28" s="62"/>
      <c r="W28" s="62"/>
      <c r="X28" s="62"/>
      <c r="Y28" s="62"/>
      <c r="Z28" s="62"/>
      <c r="AA28" s="62"/>
      <c r="AB28" s="62"/>
      <c r="AC28" s="62"/>
    </row>
    <row r="29" spans="1:29" x14ac:dyDescent="0.35">
      <c r="A29" s="1"/>
      <c r="B29" s="1"/>
      <c r="C29" s="2" t="s">
        <v>7</v>
      </c>
      <c r="D29" s="62"/>
      <c r="E29" s="62"/>
      <c r="F29" s="62"/>
      <c r="G29" s="62"/>
      <c r="H29" s="62"/>
      <c r="I29" s="62"/>
      <c r="J29" s="62"/>
      <c r="K29" s="62"/>
      <c r="L29" s="62"/>
      <c r="M29" s="62"/>
      <c r="N29" s="62"/>
      <c r="O29" s="62"/>
      <c r="P29" s="62"/>
      <c r="Q29" s="62"/>
      <c r="R29" s="62"/>
      <c r="S29" s="62"/>
      <c r="T29" s="62"/>
      <c r="U29" s="62"/>
      <c r="V29" s="62"/>
      <c r="W29" s="62"/>
      <c r="X29" s="62"/>
      <c r="Y29" s="62"/>
      <c r="Z29" s="62"/>
      <c r="AA29" s="62"/>
      <c r="AB29" s="62"/>
      <c r="AC29" s="62"/>
    </row>
    <row r="30" spans="1:29" x14ac:dyDescent="0.35">
      <c r="A30" s="1"/>
      <c r="B30" s="1"/>
      <c r="C30" s="2" t="s">
        <v>8</v>
      </c>
      <c r="D30" s="60"/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64"/>
      <c r="P30" s="64"/>
      <c r="Q30" s="64"/>
      <c r="R30" s="64"/>
      <c r="S30" s="64"/>
      <c r="T30" s="64"/>
      <c r="U30" s="64"/>
      <c r="V30" s="64"/>
      <c r="W30" s="64"/>
      <c r="X30" s="64"/>
      <c r="Y30" s="64"/>
      <c r="Z30" s="64"/>
      <c r="AA30" s="64"/>
      <c r="AB30" s="64"/>
      <c r="AC30" s="64"/>
    </row>
    <row r="31" spans="1:29" x14ac:dyDescent="0.35">
      <c r="A31" s="1"/>
      <c r="B31" s="1"/>
      <c r="D31" s="60"/>
      <c r="E31" s="65"/>
      <c r="F31" s="65"/>
      <c r="G31" s="65"/>
      <c r="H31" s="65"/>
      <c r="I31" s="65"/>
      <c r="J31" s="65"/>
      <c r="K31" s="65"/>
      <c r="L31" s="65"/>
      <c r="M31" s="65"/>
      <c r="N31" s="65"/>
      <c r="O31" s="65"/>
      <c r="P31" s="65"/>
      <c r="Q31" s="65"/>
      <c r="R31" s="65"/>
      <c r="S31" s="65"/>
      <c r="T31" s="65"/>
      <c r="U31" s="65"/>
      <c r="V31" s="65"/>
      <c r="W31" s="65"/>
      <c r="X31" s="65"/>
      <c r="Y31" s="65"/>
      <c r="Z31" s="65"/>
      <c r="AA31" s="65"/>
      <c r="AB31" s="65"/>
      <c r="AC31" s="65"/>
    </row>
    <row r="32" spans="1:29" x14ac:dyDescent="0.35">
      <c r="A32" s="1"/>
      <c r="B32" s="1"/>
      <c r="C32" s="2" t="s">
        <v>47</v>
      </c>
      <c r="D32" s="4" t="b">
        <f>ROUND(LOOKUP('Basic Case - NPV Analysis'!$D$18,'Basic Case - NPV Analysis'!$5:$5,29:29),0)=0</f>
        <v>1</v>
      </c>
    </row>
    <row r="33" spans="1:29" x14ac:dyDescent="0.35">
      <c r="A33" s="1"/>
      <c r="B33" s="1"/>
    </row>
    <row r="34" spans="1:29" x14ac:dyDescent="0.35">
      <c r="A34" s="1"/>
      <c r="B34" s="1"/>
      <c r="C34" s="2" t="s">
        <v>9</v>
      </c>
      <c r="E34" s="61"/>
      <c r="F34" s="61"/>
      <c r="G34" s="61"/>
      <c r="H34" s="61"/>
      <c r="I34" s="61"/>
      <c r="J34" s="61"/>
      <c r="K34" s="61"/>
      <c r="L34" s="61"/>
      <c r="M34" s="61"/>
      <c r="N34" s="61"/>
      <c r="O34" s="61"/>
      <c r="P34" s="61"/>
      <c r="Q34" s="61"/>
      <c r="R34" s="61"/>
      <c r="S34" s="61"/>
      <c r="T34" s="61"/>
      <c r="U34" s="61"/>
      <c r="V34" s="61"/>
      <c r="W34" s="61"/>
      <c r="X34" s="61"/>
      <c r="Y34" s="61"/>
      <c r="Z34" s="61"/>
      <c r="AA34" s="61"/>
      <c r="AB34" s="61"/>
      <c r="AC34" s="61"/>
    </row>
    <row r="35" spans="1:29" x14ac:dyDescent="0.35">
      <c r="A35" s="1"/>
      <c r="B35" s="1"/>
      <c r="C35" s="2" t="s">
        <v>158</v>
      </c>
      <c r="D35" s="61"/>
    </row>
    <row r="36" spans="1:29" x14ac:dyDescent="0.35">
      <c r="A36" s="1"/>
      <c r="B36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Spinner 1">
              <controlPr defaultSize="0" autoPict="0">
                <anchor moveWithCells="1" sizeWithCells="1">
                  <from>
                    <xdr:col>3</xdr:col>
                    <xdr:colOff>488950</xdr:colOff>
                    <xdr:row>12</xdr:row>
                    <xdr:rowOff>31750</xdr:rowOff>
                  </from>
                  <to>
                    <xdr:col>3</xdr:col>
                    <xdr:colOff>704850</xdr:colOff>
                    <xdr:row>12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AC50"/>
  <sheetViews>
    <sheetView zoomScale="80" zoomScaleNormal="80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D1" sqref="D1"/>
    </sheetView>
  </sheetViews>
  <sheetFormatPr defaultColWidth="9.1796875" defaultRowHeight="14.5" x14ac:dyDescent="0.35"/>
  <cols>
    <col min="1" max="2" width="1.26953125" style="2" customWidth="1"/>
    <col min="3" max="3" width="38.81640625" style="2" customWidth="1"/>
    <col min="4" max="4" width="12.7265625" style="2" bestFit="1" customWidth="1"/>
    <col min="5" max="64" width="10.81640625" style="2" customWidth="1"/>
    <col min="65" max="16384" width="9.1796875" style="2"/>
  </cols>
  <sheetData>
    <row r="1" spans="1:29" ht="26" x14ac:dyDescent="0.6">
      <c r="A1" s="1"/>
      <c r="B1" s="109" t="s">
        <v>41</v>
      </c>
      <c r="C1" s="108"/>
      <c r="D1" s="108"/>
      <c r="E1" s="108"/>
      <c r="F1" s="108"/>
      <c r="G1" s="108"/>
      <c r="H1" s="108"/>
      <c r="I1" s="108"/>
      <c r="J1" s="108"/>
      <c r="K1" s="108"/>
      <c r="L1" s="108"/>
      <c r="M1" s="110"/>
    </row>
    <row r="2" spans="1:29" s="10" customFormat="1" ht="26" x14ac:dyDescent="0.6">
      <c r="A2" s="1"/>
      <c r="B2" s="111" t="s">
        <v>149</v>
      </c>
      <c r="C2" s="112"/>
      <c r="D2" s="112"/>
      <c r="E2" s="112"/>
      <c r="F2" s="112"/>
      <c r="G2" s="112"/>
      <c r="H2" s="112"/>
      <c r="I2" s="112"/>
      <c r="J2" s="112"/>
      <c r="K2" s="112"/>
      <c r="L2" s="112"/>
      <c r="M2" s="113"/>
    </row>
    <row r="3" spans="1:29" ht="26" x14ac:dyDescent="0.6">
      <c r="A3" s="1"/>
      <c r="B3" s="1"/>
      <c r="H3" s="59"/>
      <c r="I3" s="10"/>
      <c r="J3" s="10"/>
      <c r="K3" s="10"/>
      <c r="L3" s="10"/>
      <c r="M3" s="10"/>
    </row>
    <row r="4" spans="1:29" s="40" customFormat="1" x14ac:dyDescent="0.35">
      <c r="A4" s="40" t="s">
        <v>424</v>
      </c>
    </row>
    <row r="5" spans="1:29" x14ac:dyDescent="0.35">
      <c r="A5" s="1"/>
      <c r="B5" s="1"/>
      <c r="D5" s="9" t="s">
        <v>42</v>
      </c>
      <c r="E5" s="9" t="s">
        <v>43</v>
      </c>
      <c r="F5" s="9" t="s">
        <v>36</v>
      </c>
    </row>
    <row r="6" spans="1:29" x14ac:dyDescent="0.35">
      <c r="A6" s="1"/>
      <c r="B6" s="1"/>
      <c r="C6" s="2" t="s">
        <v>16</v>
      </c>
      <c r="D6" s="51">
        <v>700</v>
      </c>
      <c r="E6" s="50">
        <v>0.04</v>
      </c>
      <c r="F6" s="51">
        <v>10</v>
      </c>
      <c r="H6" s="2" t="s">
        <v>109</v>
      </c>
    </row>
    <row r="7" spans="1:29" x14ac:dyDescent="0.35">
      <c r="A7" s="1"/>
      <c r="B7" s="1"/>
      <c r="C7" s="2" t="s">
        <v>17</v>
      </c>
      <c r="D7" s="51">
        <v>500</v>
      </c>
      <c r="E7" s="50">
        <v>4.4999999999999998E-2</v>
      </c>
      <c r="F7" s="51">
        <v>15</v>
      </c>
    </row>
    <row r="8" spans="1:29" x14ac:dyDescent="0.35">
      <c r="A8" s="1"/>
      <c r="B8" s="1"/>
      <c r="C8" s="2" t="s">
        <v>57</v>
      </c>
      <c r="E8" s="50">
        <v>0.05</v>
      </c>
      <c r="F8" s="51">
        <v>25</v>
      </c>
    </row>
    <row r="9" spans="1:29" x14ac:dyDescent="0.35">
      <c r="A9" s="1"/>
      <c r="B9" s="1"/>
      <c r="E9" s="3"/>
    </row>
    <row r="10" spans="1:29" x14ac:dyDescent="0.35">
      <c r="A10" s="1"/>
      <c r="B10" s="1" t="s">
        <v>55</v>
      </c>
      <c r="E10" s="3"/>
    </row>
    <row r="11" spans="1:29" x14ac:dyDescent="0.35">
      <c r="A11" s="1"/>
      <c r="B11" s="1"/>
      <c r="C11" s="2" t="s">
        <v>5</v>
      </c>
      <c r="E11" s="4">
        <f t="shared" ref="E11:AC11" si="0">D13</f>
        <v>700</v>
      </c>
      <c r="F11" s="4">
        <f t="shared" si="0"/>
        <v>630</v>
      </c>
      <c r="G11" s="4">
        <f t="shared" si="0"/>
        <v>560</v>
      </c>
      <c r="H11" s="4">
        <f t="shared" si="0"/>
        <v>490</v>
      </c>
      <c r="I11" s="4">
        <f t="shared" si="0"/>
        <v>420</v>
      </c>
      <c r="J11" s="4">
        <f t="shared" si="0"/>
        <v>350</v>
      </c>
      <c r="K11" s="4">
        <f t="shared" si="0"/>
        <v>280</v>
      </c>
      <c r="L11" s="4">
        <f t="shared" si="0"/>
        <v>210</v>
      </c>
      <c r="M11" s="4">
        <f t="shared" si="0"/>
        <v>140</v>
      </c>
      <c r="N11" s="4">
        <f t="shared" si="0"/>
        <v>70</v>
      </c>
      <c r="O11" s="4">
        <f t="shared" si="0"/>
        <v>0</v>
      </c>
      <c r="P11" s="4">
        <f t="shared" si="0"/>
        <v>0</v>
      </c>
      <c r="Q11" s="4">
        <f t="shared" si="0"/>
        <v>0</v>
      </c>
      <c r="R11" s="4">
        <f t="shared" si="0"/>
        <v>0</v>
      </c>
      <c r="S11" s="4">
        <f t="shared" si="0"/>
        <v>0</v>
      </c>
      <c r="T11" s="4">
        <f t="shared" si="0"/>
        <v>0</v>
      </c>
      <c r="U11" s="4">
        <f t="shared" si="0"/>
        <v>0</v>
      </c>
      <c r="V11" s="4">
        <f t="shared" si="0"/>
        <v>0</v>
      </c>
      <c r="W11" s="4">
        <f t="shared" si="0"/>
        <v>0</v>
      </c>
      <c r="X11" s="4">
        <f t="shared" si="0"/>
        <v>0</v>
      </c>
      <c r="Y11" s="4">
        <f t="shared" si="0"/>
        <v>0</v>
      </c>
      <c r="Z11" s="4">
        <f t="shared" si="0"/>
        <v>0</v>
      </c>
      <c r="AA11" s="4">
        <f t="shared" si="0"/>
        <v>0</v>
      </c>
      <c r="AB11" s="4">
        <f t="shared" si="0"/>
        <v>0</v>
      </c>
      <c r="AC11" s="4">
        <f t="shared" si="0"/>
        <v>0</v>
      </c>
    </row>
    <row r="12" spans="1:29" x14ac:dyDescent="0.35">
      <c r="A12" s="1"/>
      <c r="B12" s="1"/>
      <c r="C12" s="2" t="s">
        <v>18</v>
      </c>
      <c r="E12" s="4">
        <f t="shared" ref="E12:AC12" si="1">MIN($D$13/$F$6,E11)</f>
        <v>70</v>
      </c>
      <c r="F12" s="4">
        <f t="shared" si="1"/>
        <v>70</v>
      </c>
      <c r="G12" s="4">
        <f t="shared" si="1"/>
        <v>70</v>
      </c>
      <c r="H12" s="4">
        <f t="shared" si="1"/>
        <v>70</v>
      </c>
      <c r="I12" s="4">
        <f t="shared" si="1"/>
        <v>70</v>
      </c>
      <c r="J12" s="4">
        <f t="shared" si="1"/>
        <v>70</v>
      </c>
      <c r="K12" s="4">
        <f t="shared" si="1"/>
        <v>70</v>
      </c>
      <c r="L12" s="4">
        <f t="shared" si="1"/>
        <v>70</v>
      </c>
      <c r="M12" s="4">
        <f t="shared" si="1"/>
        <v>70</v>
      </c>
      <c r="N12" s="4">
        <f t="shared" si="1"/>
        <v>70</v>
      </c>
      <c r="O12" s="4">
        <f t="shared" si="1"/>
        <v>0</v>
      </c>
      <c r="P12" s="4">
        <f t="shared" si="1"/>
        <v>0</v>
      </c>
      <c r="Q12" s="4">
        <f t="shared" si="1"/>
        <v>0</v>
      </c>
      <c r="R12" s="4">
        <f t="shared" si="1"/>
        <v>0</v>
      </c>
      <c r="S12" s="4">
        <f t="shared" si="1"/>
        <v>0</v>
      </c>
      <c r="T12" s="4">
        <f t="shared" si="1"/>
        <v>0</v>
      </c>
      <c r="U12" s="4">
        <f t="shared" si="1"/>
        <v>0</v>
      </c>
      <c r="V12" s="4">
        <f t="shared" si="1"/>
        <v>0</v>
      </c>
      <c r="W12" s="4">
        <f t="shared" si="1"/>
        <v>0</v>
      </c>
      <c r="X12" s="4">
        <f t="shared" si="1"/>
        <v>0</v>
      </c>
      <c r="Y12" s="4">
        <f t="shared" si="1"/>
        <v>0</v>
      </c>
      <c r="Z12" s="4">
        <f t="shared" si="1"/>
        <v>0</v>
      </c>
      <c r="AA12" s="4">
        <f t="shared" si="1"/>
        <v>0</v>
      </c>
      <c r="AB12" s="4">
        <f t="shared" si="1"/>
        <v>0</v>
      </c>
      <c r="AC12" s="4">
        <f t="shared" si="1"/>
        <v>0</v>
      </c>
    </row>
    <row r="13" spans="1:29" x14ac:dyDescent="0.35">
      <c r="A13" s="1"/>
      <c r="B13" s="1"/>
      <c r="C13" s="2" t="s">
        <v>7</v>
      </c>
      <c r="D13" s="2">
        <f>D6</f>
        <v>700</v>
      </c>
      <c r="E13" s="4">
        <f t="shared" ref="E13:AC13" si="2">E11-E12</f>
        <v>630</v>
      </c>
      <c r="F13" s="4">
        <f t="shared" si="2"/>
        <v>560</v>
      </c>
      <c r="G13" s="4">
        <f t="shared" si="2"/>
        <v>490</v>
      </c>
      <c r="H13" s="4">
        <f t="shared" si="2"/>
        <v>420</v>
      </c>
      <c r="I13" s="4">
        <f t="shared" si="2"/>
        <v>350</v>
      </c>
      <c r="J13" s="4">
        <f t="shared" si="2"/>
        <v>280</v>
      </c>
      <c r="K13" s="4">
        <f t="shared" si="2"/>
        <v>210</v>
      </c>
      <c r="L13" s="4">
        <f t="shared" si="2"/>
        <v>140</v>
      </c>
      <c r="M13" s="4">
        <f t="shared" si="2"/>
        <v>70</v>
      </c>
      <c r="N13" s="4">
        <f t="shared" si="2"/>
        <v>0</v>
      </c>
      <c r="O13" s="4">
        <f t="shared" si="2"/>
        <v>0</v>
      </c>
      <c r="P13" s="4">
        <f t="shared" si="2"/>
        <v>0</v>
      </c>
      <c r="Q13" s="4">
        <f t="shared" si="2"/>
        <v>0</v>
      </c>
      <c r="R13" s="4">
        <f t="shared" si="2"/>
        <v>0</v>
      </c>
      <c r="S13" s="4">
        <f t="shared" si="2"/>
        <v>0</v>
      </c>
      <c r="T13" s="4">
        <f t="shared" si="2"/>
        <v>0</v>
      </c>
      <c r="U13" s="4">
        <f t="shared" si="2"/>
        <v>0</v>
      </c>
      <c r="V13" s="4">
        <f t="shared" si="2"/>
        <v>0</v>
      </c>
      <c r="W13" s="4">
        <f t="shared" si="2"/>
        <v>0</v>
      </c>
      <c r="X13" s="4">
        <f t="shared" si="2"/>
        <v>0</v>
      </c>
      <c r="Y13" s="4">
        <f t="shared" si="2"/>
        <v>0</v>
      </c>
      <c r="Z13" s="4">
        <f t="shared" si="2"/>
        <v>0</v>
      </c>
      <c r="AA13" s="4">
        <f t="shared" si="2"/>
        <v>0</v>
      </c>
      <c r="AB13" s="4">
        <f t="shared" si="2"/>
        <v>0</v>
      </c>
      <c r="AC13" s="4">
        <f t="shared" si="2"/>
        <v>0</v>
      </c>
    </row>
    <row r="14" spans="1:29" x14ac:dyDescent="0.35">
      <c r="A14" s="1"/>
      <c r="B14" s="1"/>
      <c r="C14" s="2" t="s">
        <v>8</v>
      </c>
      <c r="E14" s="4">
        <f t="shared" ref="E14:AC14" si="3">E11*$E$6</f>
        <v>28</v>
      </c>
      <c r="F14" s="4">
        <f t="shared" si="3"/>
        <v>25.2</v>
      </c>
      <c r="G14" s="4">
        <f t="shared" si="3"/>
        <v>22.400000000000002</v>
      </c>
      <c r="H14" s="4">
        <f t="shared" si="3"/>
        <v>19.600000000000001</v>
      </c>
      <c r="I14" s="4">
        <f t="shared" si="3"/>
        <v>16.8</v>
      </c>
      <c r="J14" s="4">
        <f t="shared" si="3"/>
        <v>14</v>
      </c>
      <c r="K14" s="4">
        <f t="shared" si="3"/>
        <v>11.200000000000001</v>
      </c>
      <c r="L14" s="4">
        <f t="shared" si="3"/>
        <v>8.4</v>
      </c>
      <c r="M14" s="4">
        <f t="shared" si="3"/>
        <v>5.6000000000000005</v>
      </c>
      <c r="N14" s="4">
        <f t="shared" si="3"/>
        <v>2.8000000000000003</v>
      </c>
      <c r="O14" s="4">
        <f t="shared" si="3"/>
        <v>0</v>
      </c>
      <c r="P14" s="4">
        <f t="shared" si="3"/>
        <v>0</v>
      </c>
      <c r="Q14" s="4">
        <f t="shared" si="3"/>
        <v>0</v>
      </c>
      <c r="R14" s="4">
        <f t="shared" si="3"/>
        <v>0</v>
      </c>
      <c r="S14" s="4">
        <f t="shared" si="3"/>
        <v>0</v>
      </c>
      <c r="T14" s="4">
        <f t="shared" si="3"/>
        <v>0</v>
      </c>
      <c r="U14" s="4">
        <f t="shared" si="3"/>
        <v>0</v>
      </c>
      <c r="V14" s="4">
        <f t="shared" si="3"/>
        <v>0</v>
      </c>
      <c r="W14" s="4">
        <f t="shared" si="3"/>
        <v>0</v>
      </c>
      <c r="X14" s="4">
        <f t="shared" si="3"/>
        <v>0</v>
      </c>
      <c r="Y14" s="4">
        <f t="shared" si="3"/>
        <v>0</v>
      </c>
      <c r="Z14" s="4">
        <f t="shared" si="3"/>
        <v>0</v>
      </c>
      <c r="AA14" s="4">
        <f t="shared" si="3"/>
        <v>0</v>
      </c>
      <c r="AB14" s="4">
        <f t="shared" si="3"/>
        <v>0</v>
      </c>
      <c r="AC14" s="4">
        <f t="shared" si="3"/>
        <v>0</v>
      </c>
    </row>
    <row r="15" spans="1:29" x14ac:dyDescent="0.35">
      <c r="A15" s="1"/>
      <c r="B15" s="1"/>
      <c r="E15" s="3"/>
    </row>
    <row r="16" spans="1:29" x14ac:dyDescent="0.35">
      <c r="A16" s="1"/>
      <c r="B16" s="1" t="s">
        <v>56</v>
      </c>
      <c r="E16" s="3"/>
    </row>
    <row r="17" spans="1:29" x14ac:dyDescent="0.35">
      <c r="A17" s="1"/>
      <c r="B17" s="1"/>
      <c r="C17" s="2" t="s">
        <v>5</v>
      </c>
      <c r="E17" s="4">
        <f t="shared" ref="E17:AC17" si="4">D19</f>
        <v>500</v>
      </c>
      <c r="F17" s="4">
        <f t="shared" si="4"/>
        <v>466.66666666666669</v>
      </c>
      <c r="G17" s="4">
        <f t="shared" si="4"/>
        <v>433.33333333333337</v>
      </c>
      <c r="H17" s="4">
        <f t="shared" si="4"/>
        <v>400.00000000000006</v>
      </c>
      <c r="I17" s="4">
        <f t="shared" si="4"/>
        <v>366.66666666666674</v>
      </c>
      <c r="J17" s="4">
        <f t="shared" si="4"/>
        <v>333.33333333333343</v>
      </c>
      <c r="K17" s="4">
        <f t="shared" si="4"/>
        <v>300.00000000000011</v>
      </c>
      <c r="L17" s="4">
        <f t="shared" si="4"/>
        <v>266.6666666666668</v>
      </c>
      <c r="M17" s="4">
        <f t="shared" si="4"/>
        <v>233.33333333333346</v>
      </c>
      <c r="N17" s="4">
        <f t="shared" si="4"/>
        <v>200.00000000000011</v>
      </c>
      <c r="O17" s="4">
        <f t="shared" si="4"/>
        <v>166.66666666666677</v>
      </c>
      <c r="P17" s="4">
        <f t="shared" si="4"/>
        <v>133.33333333333343</v>
      </c>
      <c r="Q17" s="4">
        <f t="shared" si="4"/>
        <v>100.00000000000009</v>
      </c>
      <c r="R17" s="4">
        <f t="shared" si="4"/>
        <v>66.666666666666742</v>
      </c>
      <c r="S17" s="4">
        <f t="shared" si="4"/>
        <v>33.333333333333407</v>
      </c>
      <c r="T17" s="4">
        <f t="shared" si="4"/>
        <v>7.1054273576010019E-14</v>
      </c>
      <c r="U17" s="4">
        <f t="shared" si="4"/>
        <v>0</v>
      </c>
      <c r="V17" s="4">
        <f t="shared" si="4"/>
        <v>0</v>
      </c>
      <c r="W17" s="4">
        <f t="shared" si="4"/>
        <v>0</v>
      </c>
      <c r="X17" s="4">
        <f t="shared" si="4"/>
        <v>0</v>
      </c>
      <c r="Y17" s="4">
        <f t="shared" si="4"/>
        <v>0</v>
      </c>
      <c r="Z17" s="4">
        <f t="shared" si="4"/>
        <v>0</v>
      </c>
      <c r="AA17" s="4">
        <f t="shared" si="4"/>
        <v>0</v>
      </c>
      <c r="AB17" s="4">
        <f t="shared" si="4"/>
        <v>0</v>
      </c>
      <c r="AC17" s="4">
        <f t="shared" si="4"/>
        <v>0</v>
      </c>
    </row>
    <row r="18" spans="1:29" x14ac:dyDescent="0.35">
      <c r="A18" s="1"/>
      <c r="B18" s="1"/>
      <c r="C18" s="2" t="s">
        <v>18</v>
      </c>
      <c r="E18" s="4">
        <f t="shared" ref="E18:AC18" si="5">MIN($D19/$F7,E17)</f>
        <v>33.333333333333336</v>
      </c>
      <c r="F18" s="4">
        <f t="shared" si="5"/>
        <v>33.333333333333336</v>
      </c>
      <c r="G18" s="4">
        <f t="shared" si="5"/>
        <v>33.333333333333336</v>
      </c>
      <c r="H18" s="4">
        <f t="shared" si="5"/>
        <v>33.333333333333336</v>
      </c>
      <c r="I18" s="4">
        <f t="shared" si="5"/>
        <v>33.333333333333336</v>
      </c>
      <c r="J18" s="4">
        <f t="shared" si="5"/>
        <v>33.333333333333336</v>
      </c>
      <c r="K18" s="4">
        <f t="shared" si="5"/>
        <v>33.333333333333336</v>
      </c>
      <c r="L18" s="4">
        <f t="shared" si="5"/>
        <v>33.333333333333336</v>
      </c>
      <c r="M18" s="4">
        <f t="shared" si="5"/>
        <v>33.333333333333336</v>
      </c>
      <c r="N18" s="4">
        <f t="shared" si="5"/>
        <v>33.333333333333336</v>
      </c>
      <c r="O18" s="4">
        <f t="shared" si="5"/>
        <v>33.333333333333336</v>
      </c>
      <c r="P18" s="4">
        <f t="shared" si="5"/>
        <v>33.333333333333336</v>
      </c>
      <c r="Q18" s="4">
        <f t="shared" si="5"/>
        <v>33.333333333333336</v>
      </c>
      <c r="R18" s="4">
        <f t="shared" si="5"/>
        <v>33.333333333333336</v>
      </c>
      <c r="S18" s="4">
        <f t="shared" si="5"/>
        <v>33.333333333333336</v>
      </c>
      <c r="T18" s="4">
        <f t="shared" si="5"/>
        <v>7.1054273576010019E-14</v>
      </c>
      <c r="U18" s="4">
        <f t="shared" si="5"/>
        <v>0</v>
      </c>
      <c r="V18" s="4">
        <f t="shared" si="5"/>
        <v>0</v>
      </c>
      <c r="W18" s="4">
        <f t="shared" si="5"/>
        <v>0</v>
      </c>
      <c r="X18" s="4">
        <f t="shared" si="5"/>
        <v>0</v>
      </c>
      <c r="Y18" s="4">
        <f t="shared" si="5"/>
        <v>0</v>
      </c>
      <c r="Z18" s="4">
        <f t="shared" si="5"/>
        <v>0</v>
      </c>
      <c r="AA18" s="4">
        <f t="shared" si="5"/>
        <v>0</v>
      </c>
      <c r="AB18" s="4">
        <f t="shared" si="5"/>
        <v>0</v>
      </c>
      <c r="AC18" s="4">
        <f t="shared" si="5"/>
        <v>0</v>
      </c>
    </row>
    <row r="19" spans="1:29" x14ac:dyDescent="0.35">
      <c r="A19" s="1"/>
      <c r="B19" s="1"/>
      <c r="C19" s="2" t="s">
        <v>7</v>
      </c>
      <c r="D19" s="2">
        <f>D7</f>
        <v>500</v>
      </c>
      <c r="E19" s="4">
        <f t="shared" ref="E19:AC19" si="6">E17-E18</f>
        <v>466.66666666666669</v>
      </c>
      <c r="F19" s="4">
        <f t="shared" si="6"/>
        <v>433.33333333333337</v>
      </c>
      <c r="G19" s="4">
        <f t="shared" si="6"/>
        <v>400.00000000000006</v>
      </c>
      <c r="H19" s="4">
        <f t="shared" si="6"/>
        <v>366.66666666666674</v>
      </c>
      <c r="I19" s="4">
        <f t="shared" si="6"/>
        <v>333.33333333333343</v>
      </c>
      <c r="J19" s="4">
        <f t="shared" si="6"/>
        <v>300.00000000000011</v>
      </c>
      <c r="K19" s="4">
        <f t="shared" si="6"/>
        <v>266.6666666666668</v>
      </c>
      <c r="L19" s="4">
        <f t="shared" si="6"/>
        <v>233.33333333333346</v>
      </c>
      <c r="M19" s="4">
        <f t="shared" si="6"/>
        <v>200.00000000000011</v>
      </c>
      <c r="N19" s="4">
        <f t="shared" si="6"/>
        <v>166.66666666666677</v>
      </c>
      <c r="O19" s="4">
        <f t="shared" si="6"/>
        <v>133.33333333333343</v>
      </c>
      <c r="P19" s="4">
        <f t="shared" si="6"/>
        <v>100.00000000000009</v>
      </c>
      <c r="Q19" s="4">
        <f t="shared" si="6"/>
        <v>66.666666666666742</v>
      </c>
      <c r="R19" s="4">
        <f t="shared" si="6"/>
        <v>33.333333333333407</v>
      </c>
      <c r="S19" s="4">
        <f t="shared" si="6"/>
        <v>7.1054273576010019E-14</v>
      </c>
      <c r="T19" s="4">
        <f t="shared" si="6"/>
        <v>0</v>
      </c>
      <c r="U19" s="4">
        <f t="shared" si="6"/>
        <v>0</v>
      </c>
      <c r="V19" s="4">
        <f t="shared" si="6"/>
        <v>0</v>
      </c>
      <c r="W19" s="4">
        <f t="shared" si="6"/>
        <v>0</v>
      </c>
      <c r="X19" s="4">
        <f t="shared" si="6"/>
        <v>0</v>
      </c>
      <c r="Y19" s="4">
        <f t="shared" si="6"/>
        <v>0</v>
      </c>
      <c r="Z19" s="4">
        <f t="shared" si="6"/>
        <v>0</v>
      </c>
      <c r="AA19" s="4">
        <f t="shared" si="6"/>
        <v>0</v>
      </c>
      <c r="AB19" s="4">
        <f t="shared" si="6"/>
        <v>0</v>
      </c>
      <c r="AC19" s="4">
        <f t="shared" si="6"/>
        <v>0</v>
      </c>
    </row>
    <row r="20" spans="1:29" x14ac:dyDescent="0.35">
      <c r="A20" s="1"/>
      <c r="B20" s="1"/>
      <c r="C20" s="2" t="s">
        <v>8</v>
      </c>
      <c r="E20" s="4">
        <f t="shared" ref="E20:AC20" si="7">E17*$E$7</f>
        <v>22.5</v>
      </c>
      <c r="F20" s="4">
        <f t="shared" si="7"/>
        <v>21</v>
      </c>
      <c r="G20" s="4">
        <f t="shared" si="7"/>
        <v>19.5</v>
      </c>
      <c r="H20" s="4">
        <f t="shared" si="7"/>
        <v>18.000000000000004</v>
      </c>
      <c r="I20" s="4">
        <f t="shared" si="7"/>
        <v>16.500000000000004</v>
      </c>
      <c r="J20" s="4">
        <f t="shared" si="7"/>
        <v>15.000000000000004</v>
      </c>
      <c r="K20" s="4">
        <f t="shared" si="7"/>
        <v>13.500000000000005</v>
      </c>
      <c r="L20" s="4">
        <f t="shared" si="7"/>
        <v>12.000000000000005</v>
      </c>
      <c r="M20" s="4">
        <f t="shared" si="7"/>
        <v>10.500000000000005</v>
      </c>
      <c r="N20" s="4">
        <f t="shared" si="7"/>
        <v>9.0000000000000053</v>
      </c>
      <c r="O20" s="4">
        <f t="shared" si="7"/>
        <v>7.5000000000000044</v>
      </c>
      <c r="P20" s="4">
        <f t="shared" si="7"/>
        <v>6.0000000000000044</v>
      </c>
      <c r="Q20" s="4">
        <f t="shared" si="7"/>
        <v>4.5000000000000036</v>
      </c>
      <c r="R20" s="4">
        <f t="shared" si="7"/>
        <v>3.0000000000000031</v>
      </c>
      <c r="S20" s="4">
        <f t="shared" si="7"/>
        <v>1.5000000000000033</v>
      </c>
      <c r="T20" s="4">
        <f t="shared" si="7"/>
        <v>3.1974423109204505E-15</v>
      </c>
      <c r="U20" s="4">
        <f t="shared" si="7"/>
        <v>0</v>
      </c>
      <c r="V20" s="4">
        <f t="shared" si="7"/>
        <v>0</v>
      </c>
      <c r="W20" s="4">
        <f t="shared" si="7"/>
        <v>0</v>
      </c>
      <c r="X20" s="4">
        <f t="shared" si="7"/>
        <v>0</v>
      </c>
      <c r="Y20" s="4">
        <f t="shared" si="7"/>
        <v>0</v>
      </c>
      <c r="Z20" s="4">
        <f t="shared" si="7"/>
        <v>0</v>
      </c>
      <c r="AA20" s="4">
        <f t="shared" si="7"/>
        <v>0</v>
      </c>
      <c r="AB20" s="4">
        <f t="shared" si="7"/>
        <v>0</v>
      </c>
      <c r="AC20" s="4">
        <f t="shared" si="7"/>
        <v>0</v>
      </c>
    </row>
    <row r="21" spans="1:29" x14ac:dyDescent="0.35">
      <c r="A21" s="1"/>
      <c r="B21" s="1"/>
      <c r="D21" s="4"/>
      <c r="E21" s="4"/>
    </row>
    <row r="22" spans="1:29" x14ac:dyDescent="0.35">
      <c r="A22" s="1"/>
      <c r="B22" s="1"/>
      <c r="C22" s="2" t="s">
        <v>12</v>
      </c>
      <c r="D22" s="52">
        <v>3000</v>
      </c>
      <c r="E22" s="4"/>
    </row>
    <row r="23" spans="1:29" x14ac:dyDescent="0.35">
      <c r="A23" s="1"/>
      <c r="B23" s="1"/>
      <c r="C23" s="2" t="s">
        <v>58</v>
      </c>
      <c r="D23" s="50">
        <v>0.8</v>
      </c>
      <c r="E23" s="4"/>
    </row>
    <row r="24" spans="1:29" x14ac:dyDescent="0.35">
      <c r="A24" s="1"/>
      <c r="B24" s="1"/>
      <c r="C24" s="2" t="s">
        <v>59</v>
      </c>
      <c r="D24" s="4">
        <f>D23*D22</f>
        <v>2400</v>
      </c>
      <c r="E24" s="4"/>
    </row>
    <row r="25" spans="1:29" x14ac:dyDescent="0.35">
      <c r="A25" s="1"/>
      <c r="B25" s="1"/>
      <c r="D25" s="4"/>
      <c r="E25" s="4"/>
    </row>
    <row r="26" spans="1:29" x14ac:dyDescent="0.35">
      <c r="A26" s="1"/>
      <c r="B26" s="1"/>
      <c r="C26" s="2" t="s">
        <v>4</v>
      </c>
      <c r="D26" s="53">
        <v>0.05</v>
      </c>
    </row>
    <row r="27" spans="1:29" x14ac:dyDescent="0.35">
      <c r="A27" s="1"/>
      <c r="B27" s="1"/>
      <c r="D27" s="5"/>
    </row>
    <row r="28" spans="1:29" x14ac:dyDescent="0.35">
      <c r="A28" s="1"/>
      <c r="B28" s="1"/>
      <c r="C28" s="2" t="s">
        <v>60</v>
      </c>
      <c r="D28" s="5"/>
      <c r="E28" s="4">
        <f t="shared" ref="E28:AC28" si="8">E18+E20+E12+E14</f>
        <v>153.83333333333334</v>
      </c>
      <c r="F28" s="4">
        <f t="shared" si="8"/>
        <v>149.53333333333333</v>
      </c>
      <c r="G28" s="4">
        <f t="shared" si="8"/>
        <v>145.23333333333335</v>
      </c>
      <c r="H28" s="4">
        <f t="shared" si="8"/>
        <v>140.93333333333334</v>
      </c>
      <c r="I28" s="4">
        <f t="shared" si="8"/>
        <v>136.63333333333335</v>
      </c>
      <c r="J28" s="4">
        <f t="shared" si="8"/>
        <v>132.33333333333334</v>
      </c>
      <c r="K28" s="4">
        <f t="shared" si="8"/>
        <v>128.03333333333333</v>
      </c>
      <c r="L28" s="4">
        <f t="shared" si="8"/>
        <v>123.73333333333335</v>
      </c>
      <c r="M28" s="4">
        <f t="shared" si="8"/>
        <v>119.43333333333334</v>
      </c>
      <c r="N28" s="4">
        <f t="shared" si="8"/>
        <v>115.13333333333334</v>
      </c>
      <c r="O28" s="4">
        <f t="shared" si="8"/>
        <v>40.833333333333343</v>
      </c>
      <c r="P28" s="4">
        <f t="shared" si="8"/>
        <v>39.333333333333343</v>
      </c>
      <c r="Q28" s="4">
        <f t="shared" si="8"/>
        <v>37.833333333333343</v>
      </c>
      <c r="R28" s="4">
        <f t="shared" si="8"/>
        <v>36.333333333333336</v>
      </c>
      <c r="S28" s="4">
        <f t="shared" si="8"/>
        <v>34.833333333333336</v>
      </c>
      <c r="T28" s="4">
        <f t="shared" si="8"/>
        <v>7.4251715886930464E-14</v>
      </c>
      <c r="U28" s="4">
        <f t="shared" si="8"/>
        <v>0</v>
      </c>
      <c r="V28" s="4">
        <f t="shared" si="8"/>
        <v>0</v>
      </c>
      <c r="W28" s="4">
        <f t="shared" si="8"/>
        <v>0</v>
      </c>
      <c r="X28" s="4">
        <f t="shared" si="8"/>
        <v>0</v>
      </c>
      <c r="Y28" s="4">
        <f t="shared" si="8"/>
        <v>0</v>
      </c>
      <c r="Z28" s="4">
        <f t="shared" si="8"/>
        <v>0</v>
      </c>
      <c r="AA28" s="4">
        <f t="shared" si="8"/>
        <v>0</v>
      </c>
      <c r="AB28" s="4">
        <f t="shared" si="8"/>
        <v>0</v>
      </c>
      <c r="AC28" s="4">
        <f t="shared" si="8"/>
        <v>0</v>
      </c>
    </row>
    <row r="29" spans="1:29" x14ac:dyDescent="0.35">
      <c r="A29" s="1"/>
      <c r="B29" s="1"/>
      <c r="C29" s="2" t="s">
        <v>2</v>
      </c>
      <c r="D29" s="5"/>
      <c r="E29" s="4">
        <f>'Basic Case - NPV Analysis'!E16</f>
        <v>210.60000000000002</v>
      </c>
      <c r="F29" s="4">
        <f>'Basic Case - NPV Analysis'!F16</f>
        <v>227.44800000000004</v>
      </c>
      <c r="G29" s="4">
        <f>'Basic Case - NPV Analysis'!G16</f>
        <v>238.82040000000003</v>
      </c>
      <c r="H29" s="4">
        <f>'Basic Case - NPV Analysis'!H16</f>
        <v>250.76142000000004</v>
      </c>
      <c r="I29" s="4">
        <f>'Basic Case - NPV Analysis'!I16</f>
        <v>263.29949100000005</v>
      </c>
      <c r="J29" s="4">
        <f>'Basic Case - NPV Analysis'!J16</f>
        <v>276.46446555000006</v>
      </c>
      <c r="K29" s="4">
        <f>'Basic Case - NPV Analysis'!K16</f>
        <v>284.75839951650005</v>
      </c>
      <c r="L29" s="4">
        <f>'Basic Case - NPV Analysis'!L16</f>
        <v>293.30115150199504</v>
      </c>
      <c r="M29" s="4">
        <f>'Basic Case - NPV Analysis'!M16</f>
        <v>302.10018604705488</v>
      </c>
      <c r="N29" s="4">
        <f>'Basic Case - NPV Analysis'!N16</f>
        <v>308.142189767996</v>
      </c>
      <c r="O29" s="4">
        <f>'Basic Case - NPV Analysis'!O16</f>
        <v>314.30503356335595</v>
      </c>
      <c r="P29" s="4">
        <f>'Basic Case - NPV Analysis'!P16</f>
        <v>320.5911342346231</v>
      </c>
      <c r="Q29" s="4">
        <f>'Basic Case - NPV Analysis'!Q16</f>
        <v>327.00295691931558</v>
      </c>
      <c r="R29" s="4">
        <f>'Basic Case - NPV Analysis'!R16</f>
        <v>333.54301605770189</v>
      </c>
      <c r="S29" s="4">
        <f>'Basic Case - NPV Analysis'!S16</f>
        <v>340.21387637885596</v>
      </c>
      <c r="T29" s="4">
        <f>'Basic Case - NPV Analysis'!T16</f>
        <v>347.0181539064331</v>
      </c>
      <c r="U29" s="4">
        <f>'Basic Case - NPV Analysis'!U16</f>
        <v>353.95851698456175</v>
      </c>
      <c r="V29" s="4">
        <f>'Basic Case - NPV Analysis'!V16</f>
        <v>361.037687324253</v>
      </c>
      <c r="W29" s="4">
        <f>'Basic Case - NPV Analysis'!W16</f>
        <v>368.25844107073806</v>
      </c>
      <c r="X29" s="4">
        <f>'Basic Case - NPV Analysis'!X16</f>
        <v>375.62360989215284</v>
      </c>
      <c r="Y29" s="4">
        <f>'Basic Case - NPV Analysis'!Y16</f>
        <v>383.13608208999591</v>
      </c>
      <c r="Z29" s="4">
        <f>'Basic Case - NPV Analysis'!Z16</f>
        <v>390.79880373179583</v>
      </c>
      <c r="AA29" s="4">
        <f>'Basic Case - NPV Analysis'!AA16</f>
        <v>398.61477980643173</v>
      </c>
      <c r="AB29" s="4">
        <f>'Basic Case - NPV Analysis'!AB16</f>
        <v>406.58707540256034</v>
      </c>
      <c r="AC29" s="4">
        <f>'Basic Case - NPV Analysis'!AC16</f>
        <v>414.71881691061157</v>
      </c>
    </row>
    <row r="30" spans="1:29" x14ac:dyDescent="0.35">
      <c r="A30" s="1"/>
      <c r="B30" s="1"/>
      <c r="C30" s="2" t="s">
        <v>48</v>
      </c>
      <c r="D30" s="5"/>
      <c r="E30" s="4" t="b">
        <f>'Debt to Cap and LLCR'!E12</f>
        <v>1</v>
      </c>
      <c r="F30" s="4" t="b">
        <f>'Debt to Cap and LLCR'!F12</f>
        <v>1</v>
      </c>
      <c r="G30" s="4" t="b">
        <f>'Debt to Cap and LLCR'!G12</f>
        <v>1</v>
      </c>
      <c r="H30" s="4" t="b">
        <f>'Debt to Cap and LLCR'!H12</f>
        <v>1</v>
      </c>
      <c r="I30" s="4" t="b">
        <f>'Debt to Cap and LLCR'!I12</f>
        <v>1</v>
      </c>
      <c r="J30" s="4" t="b">
        <f>'Debt to Cap and LLCR'!J12</f>
        <v>1</v>
      </c>
      <c r="K30" s="4" t="b">
        <f>'Debt to Cap and LLCR'!K12</f>
        <v>1</v>
      </c>
      <c r="L30" s="4" t="b">
        <f>'Debt to Cap and LLCR'!L12</f>
        <v>1</v>
      </c>
      <c r="M30" s="4" t="b">
        <f>'Debt to Cap and LLCR'!M12</f>
        <v>1</v>
      </c>
      <c r="N30" s="4" t="b">
        <f>'Debt to Cap and LLCR'!N12</f>
        <v>1</v>
      </c>
      <c r="O30" s="4" t="b">
        <f>'Debt to Cap and LLCR'!O12</f>
        <v>1</v>
      </c>
      <c r="P30" s="4" t="b">
        <f>'Debt to Cap and LLCR'!P12</f>
        <v>1</v>
      </c>
      <c r="Q30" s="4" t="b">
        <f>'Debt to Cap and LLCR'!Q12</f>
        <v>1</v>
      </c>
      <c r="R30" s="4" t="b">
        <f>'Debt to Cap and LLCR'!R12</f>
        <v>1</v>
      </c>
      <c r="S30" s="4" t="b">
        <f>'Debt to Cap and LLCR'!S12</f>
        <v>1</v>
      </c>
      <c r="T30" s="4" t="b">
        <f>'Debt to Cap and LLCR'!T12</f>
        <v>0</v>
      </c>
      <c r="U30" s="4" t="b">
        <f>'Debt to Cap and LLCR'!U12</f>
        <v>0</v>
      </c>
      <c r="V30" s="4" t="b">
        <f>'Debt to Cap and LLCR'!V12</f>
        <v>0</v>
      </c>
      <c r="W30" s="4" t="b">
        <f>'Debt to Cap and LLCR'!W12</f>
        <v>0</v>
      </c>
      <c r="X30" s="4" t="b">
        <f>'Debt to Cap and LLCR'!X12</f>
        <v>0</v>
      </c>
      <c r="Y30" s="4" t="b">
        <f>'Debt to Cap and LLCR'!Y12</f>
        <v>0</v>
      </c>
      <c r="Z30" s="4" t="b">
        <f>'Debt to Cap and LLCR'!Z12</f>
        <v>0</v>
      </c>
      <c r="AA30" s="4" t="b">
        <f>'Debt to Cap and LLCR'!AA12</f>
        <v>0</v>
      </c>
      <c r="AB30" s="4" t="b">
        <f>'Debt to Cap and LLCR'!AB12</f>
        <v>0</v>
      </c>
      <c r="AC30" s="4" t="b">
        <f>'Debt to Cap and LLCR'!AC12</f>
        <v>0</v>
      </c>
    </row>
    <row r="31" spans="1:29" x14ac:dyDescent="0.35">
      <c r="A31" s="1"/>
      <c r="B31" s="1"/>
      <c r="D31" s="5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</row>
    <row r="32" spans="1:29" x14ac:dyDescent="0.35">
      <c r="A32" s="1"/>
      <c r="B32" s="1"/>
      <c r="C32" s="2" t="s">
        <v>61</v>
      </c>
      <c r="D32" s="4">
        <f t="array" ref="D32">NPV(D26,E29:AC29*E30:AC30)/D24</f>
        <v>1.2019553898255568</v>
      </c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</row>
    <row r="33" spans="1:29" x14ac:dyDescent="0.35">
      <c r="A33" s="1"/>
      <c r="B33" s="1"/>
      <c r="D33" s="5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</row>
    <row r="34" spans="1:29" s="4" customFormat="1" x14ac:dyDescent="0.35">
      <c r="A34" s="8"/>
      <c r="B34" s="8"/>
      <c r="C34" s="29" t="s">
        <v>3</v>
      </c>
      <c r="D34" s="30">
        <f>MAX(D32,'Basic Case - NPV Analysis'!D7)</f>
        <v>1.2019553898255568</v>
      </c>
      <c r="E34" s="30">
        <f t="shared" ref="E34:AC34" si="9">(E29/$D$34-E28)*E30</f>
        <v>21.381156141658721</v>
      </c>
      <c r="F34" s="30">
        <f t="shared" si="9"/>
        <v>39.698315299658105</v>
      </c>
      <c r="G34" s="30">
        <f t="shared" si="9"/>
        <v>53.459897731307677</v>
      </c>
      <c r="H34" s="30">
        <f t="shared" si="9"/>
        <v>67.694559284539736</v>
      </c>
      <c r="I34" s="30">
        <f t="shared" si="9"/>
        <v>82.425953915433382</v>
      </c>
      <c r="J34" s="30">
        <f t="shared" si="9"/>
        <v>97.67891827787173</v>
      </c>
      <c r="K34" s="30">
        <f t="shared" si="9"/>
        <v>108.87928582620788</v>
      </c>
      <c r="L34" s="30">
        <f t="shared" si="9"/>
        <v>120.28666440099408</v>
      </c>
      <c r="M34" s="30">
        <f t="shared" si="9"/>
        <v>131.90726433302393</v>
      </c>
      <c r="N34" s="30">
        <f t="shared" si="9"/>
        <v>141.23407628635113</v>
      </c>
      <c r="O34" s="30">
        <f t="shared" si="9"/>
        <v>220.66142447874481</v>
      </c>
      <c r="P34" s="30">
        <f t="shared" si="9"/>
        <v>227.39131963498639</v>
      </c>
      <c r="Q34" s="30">
        <f t="shared" si="9"/>
        <v>234.22581269435281</v>
      </c>
      <c r="R34" s="30">
        <f t="shared" si="9"/>
        <v>241.16699561490654</v>
      </c>
      <c r="S34" s="30">
        <f t="shared" si="9"/>
        <v>248.21700219387131</v>
      </c>
      <c r="T34" s="30">
        <f t="shared" si="9"/>
        <v>0</v>
      </c>
      <c r="U34" s="30">
        <f t="shared" si="9"/>
        <v>0</v>
      </c>
      <c r="V34" s="30">
        <f t="shared" si="9"/>
        <v>0</v>
      </c>
      <c r="W34" s="30">
        <f t="shared" si="9"/>
        <v>0</v>
      </c>
      <c r="X34" s="30">
        <f t="shared" si="9"/>
        <v>0</v>
      </c>
      <c r="Y34" s="30">
        <f t="shared" si="9"/>
        <v>0</v>
      </c>
      <c r="Z34" s="30">
        <f t="shared" si="9"/>
        <v>0</v>
      </c>
      <c r="AA34" s="30">
        <f t="shared" si="9"/>
        <v>0</v>
      </c>
      <c r="AB34" s="30">
        <f t="shared" si="9"/>
        <v>0</v>
      </c>
      <c r="AC34" s="28">
        <f t="shared" si="9"/>
        <v>0</v>
      </c>
    </row>
    <row r="35" spans="1:29" s="4" customFormat="1" x14ac:dyDescent="0.35">
      <c r="A35" s="8"/>
      <c r="B35" s="8"/>
      <c r="C35" s="4" t="s">
        <v>62</v>
      </c>
      <c r="D35" s="4">
        <f>NPV(D26,E34:AC34)</f>
        <v>1247.2968508641441</v>
      </c>
    </row>
    <row r="36" spans="1:29" x14ac:dyDescent="0.35">
      <c r="A36" s="1"/>
      <c r="B36" s="1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</row>
    <row r="37" spans="1:29" x14ac:dyDescent="0.35">
      <c r="A37" s="1"/>
      <c r="B37" s="1"/>
      <c r="C37" s="2" t="s">
        <v>5</v>
      </c>
      <c r="E37" s="4">
        <f t="shared" ref="E37:AC37" si="10">D39</f>
        <v>1247.2968508641441</v>
      </c>
      <c r="F37" s="4">
        <f t="shared" si="10"/>
        <v>1288.2805372656926</v>
      </c>
      <c r="G37" s="4">
        <f t="shared" si="10"/>
        <v>1312.996248829319</v>
      </c>
      <c r="H37" s="4">
        <f t="shared" si="10"/>
        <v>1325.1861635394773</v>
      </c>
      <c r="I37" s="4">
        <f t="shared" si="10"/>
        <v>1323.7509124319115</v>
      </c>
      <c r="J37" s="4">
        <f t="shared" si="10"/>
        <v>1307.5125041380736</v>
      </c>
      <c r="K37" s="4">
        <f t="shared" si="10"/>
        <v>1275.2092110671056</v>
      </c>
      <c r="L37" s="4">
        <f t="shared" si="10"/>
        <v>1230.0903857942531</v>
      </c>
      <c r="M37" s="4">
        <f t="shared" si="10"/>
        <v>1171.3082406829717</v>
      </c>
      <c r="N37" s="4">
        <f t="shared" si="10"/>
        <v>1097.9663883840963</v>
      </c>
      <c r="O37" s="4">
        <f t="shared" si="10"/>
        <v>1011.63063151695</v>
      </c>
      <c r="P37" s="4">
        <f t="shared" si="10"/>
        <v>841.55073861405265</v>
      </c>
      <c r="Q37" s="4">
        <f t="shared" si="10"/>
        <v>656.23695590976888</v>
      </c>
      <c r="R37" s="4">
        <f t="shared" si="10"/>
        <v>454.8229910109045</v>
      </c>
      <c r="S37" s="4">
        <f t="shared" si="10"/>
        <v>236.39714494654319</v>
      </c>
      <c r="T37" s="4">
        <f t="shared" si="10"/>
        <v>-9.6633812063373625E-13</v>
      </c>
      <c r="U37" s="4">
        <f t="shared" si="10"/>
        <v>-1.0146550266654231E-12</v>
      </c>
      <c r="V37" s="4">
        <f t="shared" si="10"/>
        <v>-1.0653877779986942E-12</v>
      </c>
      <c r="W37" s="4">
        <f t="shared" si="10"/>
        <v>-1.118657166898629E-12</v>
      </c>
      <c r="X37" s="4">
        <f t="shared" si="10"/>
        <v>-1.1745900252435604E-12</v>
      </c>
      <c r="Y37" s="4">
        <f t="shared" si="10"/>
        <v>-1.2333195265057385E-12</v>
      </c>
      <c r="Z37" s="4">
        <f t="shared" si="10"/>
        <v>-1.2949855028310254E-12</v>
      </c>
      <c r="AA37" s="4">
        <f t="shared" si="10"/>
        <v>-1.3597347779725768E-12</v>
      </c>
      <c r="AB37" s="4">
        <f t="shared" si="10"/>
        <v>-1.4277215168712056E-12</v>
      </c>
      <c r="AC37" s="4">
        <f t="shared" si="10"/>
        <v>-1.499107592714766E-12</v>
      </c>
    </row>
    <row r="38" spans="1:29" x14ac:dyDescent="0.35">
      <c r="A38" s="1"/>
      <c r="B38" s="1"/>
      <c r="C38" s="2" t="s">
        <v>6</v>
      </c>
      <c r="E38" s="4">
        <f t="shared" ref="E38:AC38" si="11">E34-E40</f>
        <v>-40.983686401548482</v>
      </c>
      <c r="F38" s="4">
        <f t="shared" si="11"/>
        <v>-24.715711563626527</v>
      </c>
      <c r="G38" s="4">
        <f t="shared" si="11"/>
        <v>-12.189914710158277</v>
      </c>
      <c r="H38" s="4">
        <f t="shared" si="11"/>
        <v>1.4352511075658612</v>
      </c>
      <c r="I38" s="4">
        <f t="shared" si="11"/>
        <v>16.238408293837807</v>
      </c>
      <c r="J38" s="4">
        <f t="shared" si="11"/>
        <v>32.303293070968053</v>
      </c>
      <c r="K38" s="4">
        <f t="shared" si="11"/>
        <v>45.118825272852597</v>
      </c>
      <c r="L38" s="4">
        <f t="shared" si="11"/>
        <v>58.78214511128143</v>
      </c>
      <c r="M38" s="4">
        <f t="shared" si="11"/>
        <v>73.341852298875352</v>
      </c>
      <c r="N38" s="4">
        <f t="shared" si="11"/>
        <v>86.335756867146301</v>
      </c>
      <c r="O38" s="4">
        <f t="shared" si="11"/>
        <v>170.07989290289731</v>
      </c>
      <c r="P38" s="4">
        <f t="shared" si="11"/>
        <v>185.31378270428377</v>
      </c>
      <c r="Q38" s="4">
        <f t="shared" si="11"/>
        <v>201.41396489886438</v>
      </c>
      <c r="R38" s="4">
        <f t="shared" si="11"/>
        <v>218.42584606436131</v>
      </c>
      <c r="S38" s="4">
        <f t="shared" si="11"/>
        <v>236.39714494654416</v>
      </c>
      <c r="T38" s="4">
        <f t="shared" si="11"/>
        <v>4.8316906031686818E-14</v>
      </c>
      <c r="U38" s="4">
        <f t="shared" si="11"/>
        <v>5.0732751333271157E-14</v>
      </c>
      <c r="V38" s="4">
        <f t="shared" si="11"/>
        <v>5.326938889993471E-14</v>
      </c>
      <c r="W38" s="4">
        <f t="shared" si="11"/>
        <v>5.5932858344931454E-14</v>
      </c>
      <c r="X38" s="4">
        <f t="shared" si="11"/>
        <v>5.8729501262178024E-14</v>
      </c>
      <c r="Y38" s="4">
        <f t="shared" si="11"/>
        <v>6.1665976325286929E-14</v>
      </c>
      <c r="Z38" s="4">
        <f t="shared" si="11"/>
        <v>6.4749275141551269E-14</v>
      </c>
      <c r="AA38" s="4">
        <f t="shared" si="11"/>
        <v>6.7986738898628846E-14</v>
      </c>
      <c r="AB38" s="4">
        <f t="shared" si="11"/>
        <v>7.1386075843560286E-14</v>
      </c>
      <c r="AC38" s="4">
        <f t="shared" si="11"/>
        <v>7.4955379635738304E-14</v>
      </c>
    </row>
    <row r="39" spans="1:29" x14ac:dyDescent="0.35">
      <c r="A39" s="1"/>
      <c r="B39" s="1"/>
      <c r="C39" s="2" t="s">
        <v>7</v>
      </c>
      <c r="D39" s="5">
        <f>D35</f>
        <v>1247.2968508641441</v>
      </c>
      <c r="E39" s="4">
        <f t="shared" ref="E39:AC39" si="12">E37-E38</f>
        <v>1288.2805372656926</v>
      </c>
      <c r="F39" s="4">
        <f t="shared" si="12"/>
        <v>1312.996248829319</v>
      </c>
      <c r="G39" s="4">
        <f t="shared" si="12"/>
        <v>1325.1861635394773</v>
      </c>
      <c r="H39" s="4">
        <f t="shared" si="12"/>
        <v>1323.7509124319115</v>
      </c>
      <c r="I39" s="4">
        <f t="shared" si="12"/>
        <v>1307.5125041380736</v>
      </c>
      <c r="J39" s="4">
        <f t="shared" si="12"/>
        <v>1275.2092110671056</v>
      </c>
      <c r="K39" s="4">
        <f t="shared" si="12"/>
        <v>1230.0903857942531</v>
      </c>
      <c r="L39" s="4">
        <f t="shared" si="12"/>
        <v>1171.3082406829717</v>
      </c>
      <c r="M39" s="4">
        <f t="shared" si="12"/>
        <v>1097.9663883840963</v>
      </c>
      <c r="N39" s="4">
        <f t="shared" si="12"/>
        <v>1011.63063151695</v>
      </c>
      <c r="O39" s="4">
        <f t="shared" si="12"/>
        <v>841.55073861405265</v>
      </c>
      <c r="P39" s="4">
        <f t="shared" si="12"/>
        <v>656.23695590976888</v>
      </c>
      <c r="Q39" s="4">
        <f t="shared" si="12"/>
        <v>454.8229910109045</v>
      </c>
      <c r="R39" s="4">
        <f t="shared" si="12"/>
        <v>236.39714494654319</v>
      </c>
      <c r="S39" s="4">
        <f t="shared" si="12"/>
        <v>-9.6633812063373625E-13</v>
      </c>
      <c r="T39" s="4">
        <f t="shared" si="12"/>
        <v>-1.0146550266654231E-12</v>
      </c>
      <c r="U39" s="4">
        <f t="shared" si="12"/>
        <v>-1.0653877779986942E-12</v>
      </c>
      <c r="V39" s="4">
        <f t="shared" si="12"/>
        <v>-1.118657166898629E-12</v>
      </c>
      <c r="W39" s="4">
        <f t="shared" si="12"/>
        <v>-1.1745900252435604E-12</v>
      </c>
      <c r="X39" s="4">
        <f t="shared" si="12"/>
        <v>-1.2333195265057385E-12</v>
      </c>
      <c r="Y39" s="4">
        <f t="shared" si="12"/>
        <v>-1.2949855028310254E-12</v>
      </c>
      <c r="Z39" s="4">
        <f t="shared" si="12"/>
        <v>-1.3597347779725768E-12</v>
      </c>
      <c r="AA39" s="4">
        <f t="shared" si="12"/>
        <v>-1.4277215168712056E-12</v>
      </c>
      <c r="AB39" s="4">
        <f t="shared" si="12"/>
        <v>-1.499107592714766E-12</v>
      </c>
      <c r="AC39" s="4">
        <f t="shared" si="12"/>
        <v>-1.5740629723505043E-12</v>
      </c>
    </row>
    <row r="40" spans="1:29" x14ac:dyDescent="0.35">
      <c r="A40" s="1"/>
      <c r="B40" s="1"/>
      <c r="C40" s="2" t="s">
        <v>8</v>
      </c>
      <c r="E40" s="4">
        <f>'Basic Case - NPV Analysis'!$D$9*E37</f>
        <v>62.364842543207203</v>
      </c>
      <c r="F40" s="4">
        <f>'Basic Case - NPV Analysis'!$D$9*F37</f>
        <v>64.414026863284633</v>
      </c>
      <c r="G40" s="4">
        <f>'Basic Case - NPV Analysis'!$D$9*G37</f>
        <v>65.649812441465954</v>
      </c>
      <c r="H40" s="4">
        <f>'Basic Case - NPV Analysis'!$D$9*H37</f>
        <v>66.259308176973875</v>
      </c>
      <c r="I40" s="4">
        <f>'Basic Case - NPV Analysis'!$D$9*I37</f>
        <v>66.187545621595575</v>
      </c>
      <c r="J40" s="4">
        <f>'Basic Case - NPV Analysis'!$D$9*J37</f>
        <v>65.375625206903678</v>
      </c>
      <c r="K40" s="4">
        <f>'Basic Case - NPV Analysis'!$D$9*K37</f>
        <v>63.76046055335528</v>
      </c>
      <c r="L40" s="4">
        <f>'Basic Case - NPV Analysis'!$D$9*L37</f>
        <v>61.504519289712654</v>
      </c>
      <c r="M40" s="4">
        <f>'Basic Case - NPV Analysis'!$D$9*M37</f>
        <v>58.565412034148586</v>
      </c>
      <c r="N40" s="4">
        <f>'Basic Case - NPV Analysis'!$D$9*N37</f>
        <v>54.898319419204817</v>
      </c>
      <c r="O40" s="4">
        <f>'Basic Case - NPV Analysis'!$D$9*O37</f>
        <v>50.581531575847499</v>
      </c>
      <c r="P40" s="4">
        <f>'Basic Case - NPV Analysis'!$D$9*P37</f>
        <v>42.077536930702635</v>
      </c>
      <c r="Q40" s="4">
        <f>'Basic Case - NPV Analysis'!$D$9*Q37</f>
        <v>32.811847795488447</v>
      </c>
      <c r="R40" s="4">
        <f>'Basic Case - NPV Analysis'!$D$9*R37</f>
        <v>22.741149550545227</v>
      </c>
      <c r="S40" s="4">
        <f>'Basic Case - NPV Analysis'!$D$9*S37</f>
        <v>11.81985724732716</v>
      </c>
      <c r="T40" s="4">
        <f>'Basic Case - NPV Analysis'!$D$9*T37</f>
        <v>-4.8316906031686818E-14</v>
      </c>
      <c r="U40" s="4">
        <f>'Basic Case - NPV Analysis'!$D$9*U37</f>
        <v>-5.0732751333271157E-14</v>
      </c>
      <c r="V40" s="4">
        <f>'Basic Case - NPV Analysis'!$D$9*V37</f>
        <v>-5.326938889993471E-14</v>
      </c>
      <c r="W40" s="4">
        <f>'Basic Case - NPV Analysis'!$D$9*W37</f>
        <v>-5.5932858344931454E-14</v>
      </c>
      <c r="X40" s="4">
        <f>'Basic Case - NPV Analysis'!$D$9*X37</f>
        <v>-5.8729501262178024E-14</v>
      </c>
      <c r="Y40" s="4">
        <f>'Basic Case - NPV Analysis'!$D$9*Y37</f>
        <v>-6.1665976325286929E-14</v>
      </c>
      <c r="Z40" s="4">
        <f>'Basic Case - NPV Analysis'!$D$9*Z37</f>
        <v>-6.4749275141551269E-14</v>
      </c>
      <c r="AA40" s="4">
        <f>'Basic Case - NPV Analysis'!$D$9*AA37</f>
        <v>-6.7986738898628846E-14</v>
      </c>
      <c r="AB40" s="4">
        <f>'Basic Case - NPV Analysis'!$D$9*AB37</f>
        <v>-7.1386075843560286E-14</v>
      </c>
      <c r="AC40" s="4">
        <f>'Basic Case - NPV Analysis'!$D$9*AC37</f>
        <v>-7.4955379635738304E-14</v>
      </c>
    </row>
    <row r="41" spans="1:29" x14ac:dyDescent="0.35">
      <c r="A41" s="1"/>
      <c r="B41" s="1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</row>
    <row r="42" spans="1:29" x14ac:dyDescent="0.35">
      <c r="A42" s="1"/>
      <c r="B42" s="1"/>
      <c r="C42" s="2" t="s">
        <v>47</v>
      </c>
      <c r="D42" s="4">
        <f>LOOKUP('Basic Case - NPV Analysis'!D8,'Basic Case - NPV Analysis'!5:5,39:39)</f>
        <v>-9.6633812063373625E-13</v>
      </c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</row>
    <row r="43" spans="1:29" x14ac:dyDescent="0.35">
      <c r="A43" s="1"/>
      <c r="B43" s="1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</row>
    <row r="44" spans="1:29" x14ac:dyDescent="0.35">
      <c r="A44" s="1"/>
      <c r="B44" s="1"/>
      <c r="C44" s="2" t="s">
        <v>437</v>
      </c>
      <c r="E44" s="4">
        <f t="shared" ref="E44:AC44" si="13">E28+E38+E40</f>
        <v>175.21448947499206</v>
      </c>
      <c r="F44" s="4">
        <f t="shared" si="13"/>
        <v>189.23164863299144</v>
      </c>
      <c r="G44" s="4">
        <f t="shared" si="13"/>
        <v>198.693231064641</v>
      </c>
      <c r="H44" s="4">
        <f t="shared" si="13"/>
        <v>208.6278926178731</v>
      </c>
      <c r="I44" s="4">
        <f t="shared" si="13"/>
        <v>219.05928724876674</v>
      </c>
      <c r="J44" s="4">
        <f t="shared" si="13"/>
        <v>230.0122516112051</v>
      </c>
      <c r="K44" s="4">
        <f t="shared" si="13"/>
        <v>236.91261915954121</v>
      </c>
      <c r="L44" s="4">
        <f t="shared" si="13"/>
        <v>244.01999773432743</v>
      </c>
      <c r="M44" s="4">
        <f t="shared" si="13"/>
        <v>251.34059766635727</v>
      </c>
      <c r="N44" s="4">
        <f t="shared" si="13"/>
        <v>256.36740961968445</v>
      </c>
      <c r="O44" s="4">
        <f t="shared" si="13"/>
        <v>261.49475781207815</v>
      </c>
      <c r="P44" s="4">
        <f t="shared" si="13"/>
        <v>266.72465296831973</v>
      </c>
      <c r="Q44" s="4">
        <f t="shared" si="13"/>
        <v>272.05914602768615</v>
      </c>
      <c r="R44" s="4">
        <f t="shared" si="13"/>
        <v>277.50032894823988</v>
      </c>
      <c r="S44" s="4">
        <f t="shared" si="13"/>
        <v>283.05033552720465</v>
      </c>
      <c r="T44" s="4">
        <f t="shared" si="13"/>
        <v>7.4251715886930464E-14</v>
      </c>
      <c r="U44" s="4">
        <f t="shared" si="13"/>
        <v>0</v>
      </c>
      <c r="V44" s="4">
        <f t="shared" si="13"/>
        <v>0</v>
      </c>
      <c r="W44" s="4">
        <f t="shared" si="13"/>
        <v>0</v>
      </c>
      <c r="X44" s="4">
        <f t="shared" si="13"/>
        <v>0</v>
      </c>
      <c r="Y44" s="4">
        <f t="shared" si="13"/>
        <v>0</v>
      </c>
      <c r="Z44" s="4">
        <f t="shared" si="13"/>
        <v>0</v>
      </c>
      <c r="AA44" s="4">
        <f t="shared" si="13"/>
        <v>0</v>
      </c>
      <c r="AB44" s="4">
        <f t="shared" si="13"/>
        <v>0</v>
      </c>
      <c r="AC44" s="4">
        <f t="shared" si="13"/>
        <v>0</v>
      </c>
    </row>
    <row r="45" spans="1:29" x14ac:dyDescent="0.35">
      <c r="A45" s="1"/>
      <c r="B45" s="1"/>
      <c r="C45" s="2" t="s">
        <v>9</v>
      </c>
      <c r="D45" s="51">
        <v>10</v>
      </c>
      <c r="E45" s="4">
        <f t="shared" ref="E45:AC45" si="14">IF(E44&gt;0.1,E29/E44)</f>
        <v>1.2019553898255568</v>
      </c>
      <c r="F45" s="4">
        <f t="shared" si="14"/>
        <v>1.2019553898255568</v>
      </c>
      <c r="G45" s="4">
        <f t="shared" si="14"/>
        <v>1.2019553898255571</v>
      </c>
      <c r="H45" s="4">
        <f t="shared" si="14"/>
        <v>1.2019553898255566</v>
      </c>
      <c r="I45" s="4">
        <f t="shared" si="14"/>
        <v>1.2019553898255568</v>
      </c>
      <c r="J45" s="4">
        <f t="shared" si="14"/>
        <v>1.2019553898255566</v>
      </c>
      <c r="K45" s="4">
        <f t="shared" si="14"/>
        <v>1.2019553898255568</v>
      </c>
      <c r="L45" s="4">
        <f t="shared" si="14"/>
        <v>1.2019553898255568</v>
      </c>
      <c r="M45" s="4">
        <f t="shared" si="14"/>
        <v>1.2019553898255568</v>
      </c>
      <c r="N45" s="4">
        <f t="shared" si="14"/>
        <v>1.2019553898255566</v>
      </c>
      <c r="O45" s="4">
        <f t="shared" si="14"/>
        <v>1.2019553898255568</v>
      </c>
      <c r="P45" s="4">
        <f t="shared" si="14"/>
        <v>1.2019553898255568</v>
      </c>
      <c r="Q45" s="4">
        <f t="shared" si="14"/>
        <v>1.2019553898255568</v>
      </c>
      <c r="R45" s="4">
        <f t="shared" si="14"/>
        <v>1.2019553898255568</v>
      </c>
      <c r="S45" s="4">
        <f t="shared" si="14"/>
        <v>1.2019553898255571</v>
      </c>
      <c r="T45" s="4" t="b">
        <f t="shared" si="14"/>
        <v>0</v>
      </c>
      <c r="U45" s="4" t="b">
        <f t="shared" si="14"/>
        <v>0</v>
      </c>
      <c r="V45" s="4" t="b">
        <f t="shared" si="14"/>
        <v>0</v>
      </c>
      <c r="W45" s="4" t="b">
        <f t="shared" si="14"/>
        <v>0</v>
      </c>
      <c r="X45" s="4" t="b">
        <f t="shared" si="14"/>
        <v>0</v>
      </c>
      <c r="Y45" s="4" t="b">
        <f t="shared" si="14"/>
        <v>0</v>
      </c>
      <c r="Z45" s="4" t="b">
        <f t="shared" si="14"/>
        <v>0</v>
      </c>
      <c r="AA45" s="4" t="b">
        <f t="shared" si="14"/>
        <v>0</v>
      </c>
      <c r="AB45" s="4" t="b">
        <f t="shared" si="14"/>
        <v>0</v>
      </c>
      <c r="AC45" s="4" t="b">
        <f t="shared" si="14"/>
        <v>0</v>
      </c>
    </row>
    <row r="46" spans="1:29" x14ac:dyDescent="0.35">
      <c r="A46" s="1"/>
      <c r="B46" s="1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</row>
    <row r="47" spans="1:29" x14ac:dyDescent="0.35">
      <c r="A47" s="1"/>
      <c r="B47" s="1"/>
      <c r="C47" s="2" t="s">
        <v>63</v>
      </c>
      <c r="D47" s="5">
        <f>-D39-D13-D19</f>
        <v>-2447.2968508641443</v>
      </c>
      <c r="E47" s="4">
        <f t="shared" ref="E47:AC47" si="15">E44</f>
        <v>175.21448947499206</v>
      </c>
      <c r="F47" s="4">
        <f t="shared" si="15"/>
        <v>189.23164863299144</v>
      </c>
      <c r="G47" s="4">
        <f t="shared" si="15"/>
        <v>198.693231064641</v>
      </c>
      <c r="H47" s="4">
        <f t="shared" si="15"/>
        <v>208.6278926178731</v>
      </c>
      <c r="I47" s="4">
        <f t="shared" si="15"/>
        <v>219.05928724876674</v>
      </c>
      <c r="J47" s="4">
        <f t="shared" si="15"/>
        <v>230.0122516112051</v>
      </c>
      <c r="K47" s="4">
        <f t="shared" si="15"/>
        <v>236.91261915954121</v>
      </c>
      <c r="L47" s="4">
        <f t="shared" si="15"/>
        <v>244.01999773432743</v>
      </c>
      <c r="M47" s="4">
        <f t="shared" si="15"/>
        <v>251.34059766635727</v>
      </c>
      <c r="N47" s="4">
        <f t="shared" si="15"/>
        <v>256.36740961968445</v>
      </c>
      <c r="O47" s="4">
        <f t="shared" si="15"/>
        <v>261.49475781207815</v>
      </c>
      <c r="P47" s="4">
        <f t="shared" si="15"/>
        <v>266.72465296831973</v>
      </c>
      <c r="Q47" s="4">
        <f t="shared" si="15"/>
        <v>272.05914602768615</v>
      </c>
      <c r="R47" s="4">
        <f t="shared" si="15"/>
        <v>277.50032894823988</v>
      </c>
      <c r="S47" s="4">
        <f t="shared" si="15"/>
        <v>283.05033552720465</v>
      </c>
      <c r="T47" s="4">
        <f t="shared" si="15"/>
        <v>7.4251715886930464E-14</v>
      </c>
      <c r="U47" s="4">
        <f t="shared" si="15"/>
        <v>0</v>
      </c>
      <c r="V47" s="4">
        <f t="shared" si="15"/>
        <v>0</v>
      </c>
      <c r="W47" s="4">
        <f t="shared" si="15"/>
        <v>0</v>
      </c>
      <c r="X47" s="4">
        <f t="shared" si="15"/>
        <v>0</v>
      </c>
      <c r="Y47" s="4">
        <f t="shared" si="15"/>
        <v>0</v>
      </c>
      <c r="Z47" s="4">
        <f t="shared" si="15"/>
        <v>0</v>
      </c>
      <c r="AA47" s="4">
        <f t="shared" si="15"/>
        <v>0</v>
      </c>
      <c r="AB47" s="4">
        <f t="shared" si="15"/>
        <v>0</v>
      </c>
      <c r="AC47" s="4">
        <f t="shared" si="15"/>
        <v>0</v>
      </c>
    </row>
    <row r="48" spans="1:29" x14ac:dyDescent="0.35">
      <c r="A48" s="1"/>
      <c r="B48" s="1"/>
      <c r="C48" s="2" t="s">
        <v>64</v>
      </c>
      <c r="D48" s="12">
        <f>IRR(47:47)</f>
        <v>4.7349437320886034E-2</v>
      </c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</row>
    <row r="49" spans="1:4" x14ac:dyDescent="0.35">
      <c r="A49" s="1"/>
      <c r="B49" s="1"/>
    </row>
    <row r="50" spans="1:4" x14ac:dyDescent="0.35">
      <c r="A50" s="1"/>
      <c r="B50" s="1"/>
      <c r="C50" s="2" t="s">
        <v>10</v>
      </c>
      <c r="D50" s="4">
        <f t="array" ref="D50">NPV(D48,E29:AC29*E30:AC30)/(D39+D19+D13)</f>
        <v>1.2019553898254436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Spinner 1">
              <controlPr defaultSize="0" autoPict="0">
                <anchor moveWithCells="1" sizeWithCells="1">
                  <from>
                    <xdr:col>3</xdr:col>
                    <xdr:colOff>342900</xdr:colOff>
                    <xdr:row>27</xdr:row>
                    <xdr:rowOff>146050</xdr:rowOff>
                  </from>
                  <to>
                    <xdr:col>3</xdr:col>
                    <xdr:colOff>584200</xdr:colOff>
                    <xdr:row>28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3">
    <tabColor rgb="FFFFFF00"/>
  </sheetPr>
  <dimension ref="A1:AC50"/>
  <sheetViews>
    <sheetView zoomScale="80" zoomScaleNormal="80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G7" sqref="G7"/>
    </sheetView>
  </sheetViews>
  <sheetFormatPr defaultColWidth="9.1796875" defaultRowHeight="14.5" x14ac:dyDescent="0.35"/>
  <cols>
    <col min="1" max="2" width="1.26953125" style="2" customWidth="1"/>
    <col min="3" max="3" width="38.81640625" style="2" customWidth="1"/>
    <col min="4" max="4" width="12.7265625" style="2" bestFit="1" customWidth="1"/>
    <col min="5" max="64" width="10.81640625" style="2" customWidth="1"/>
    <col min="65" max="16384" width="9.1796875" style="2"/>
  </cols>
  <sheetData>
    <row r="1" spans="1:29" ht="26" x14ac:dyDescent="0.6">
      <c r="A1" s="1"/>
      <c r="B1" s="1"/>
      <c r="C1" s="49" t="s">
        <v>41</v>
      </c>
    </row>
    <row r="2" spans="1:29" ht="26" x14ac:dyDescent="0.6">
      <c r="A2" s="1"/>
      <c r="B2" s="1"/>
      <c r="C2" s="56" t="s">
        <v>149</v>
      </c>
      <c r="D2" s="57"/>
      <c r="E2" s="57"/>
      <c r="F2" s="57"/>
      <c r="G2" s="57"/>
      <c r="H2" s="57"/>
      <c r="I2" s="58"/>
      <c r="J2" s="10"/>
      <c r="K2" s="10"/>
      <c r="L2" s="10"/>
      <c r="M2" s="10"/>
    </row>
    <row r="3" spans="1:29" s="60" customFormat="1" ht="26" x14ac:dyDescent="0.6">
      <c r="A3" s="123"/>
      <c r="B3" s="123"/>
      <c r="C3" s="122" t="s">
        <v>439</v>
      </c>
      <c r="H3" s="124"/>
      <c r="I3" s="125"/>
      <c r="J3" s="125"/>
      <c r="K3" s="125"/>
      <c r="L3" s="125"/>
      <c r="M3" s="125"/>
    </row>
    <row r="4" spans="1:29" s="40" customFormat="1" x14ac:dyDescent="0.35">
      <c r="A4" s="40" t="s">
        <v>425</v>
      </c>
    </row>
    <row r="5" spans="1:29" x14ac:dyDescent="0.35">
      <c r="A5" s="1"/>
      <c r="B5" s="1"/>
      <c r="D5" s="9" t="s">
        <v>42</v>
      </c>
      <c r="E5" s="9" t="s">
        <v>43</v>
      </c>
      <c r="F5" s="9" t="s">
        <v>36</v>
      </c>
    </row>
    <row r="6" spans="1:29" x14ac:dyDescent="0.35">
      <c r="A6" s="1"/>
      <c r="B6" s="1"/>
      <c r="C6" s="2" t="s">
        <v>16</v>
      </c>
      <c r="D6" s="51">
        <v>700</v>
      </c>
      <c r="E6" s="50">
        <v>0.04</v>
      </c>
      <c r="F6" s="51">
        <v>10</v>
      </c>
      <c r="H6" s="2" t="s">
        <v>109</v>
      </c>
    </row>
    <row r="7" spans="1:29" x14ac:dyDescent="0.35">
      <c r="A7" s="1"/>
      <c r="B7" s="1"/>
      <c r="C7" s="2" t="s">
        <v>17</v>
      </c>
      <c r="D7" s="51">
        <v>500</v>
      </c>
      <c r="E7" s="50">
        <v>4.4999999999999998E-2</v>
      </c>
      <c r="F7" s="51">
        <v>15</v>
      </c>
    </row>
    <row r="8" spans="1:29" x14ac:dyDescent="0.35">
      <c r="A8" s="1"/>
      <c r="B8" s="1"/>
      <c r="C8" s="2" t="s">
        <v>57</v>
      </c>
      <c r="E8" s="50">
        <v>0.05</v>
      </c>
      <c r="F8" s="51">
        <v>25</v>
      </c>
    </row>
    <row r="9" spans="1:29" x14ac:dyDescent="0.35">
      <c r="A9" s="1"/>
      <c r="B9" s="1"/>
      <c r="E9" s="3"/>
    </row>
    <row r="10" spans="1:29" x14ac:dyDescent="0.35">
      <c r="A10" s="1"/>
      <c r="B10" s="1" t="s">
        <v>55</v>
      </c>
      <c r="E10" s="3"/>
    </row>
    <row r="11" spans="1:29" x14ac:dyDescent="0.35">
      <c r="A11" s="1"/>
      <c r="B11" s="1"/>
      <c r="C11" s="2" t="s">
        <v>5</v>
      </c>
      <c r="E11" s="4">
        <f t="shared" ref="E11:AC11" si="0">D13</f>
        <v>700</v>
      </c>
      <c r="F11" s="4">
        <f t="shared" si="0"/>
        <v>630</v>
      </c>
      <c r="G11" s="4">
        <f t="shared" si="0"/>
        <v>560</v>
      </c>
      <c r="H11" s="4">
        <f t="shared" si="0"/>
        <v>490</v>
      </c>
      <c r="I11" s="4">
        <f t="shared" si="0"/>
        <v>420</v>
      </c>
      <c r="J11" s="4">
        <f t="shared" si="0"/>
        <v>350</v>
      </c>
      <c r="K11" s="4">
        <f t="shared" si="0"/>
        <v>280</v>
      </c>
      <c r="L11" s="4">
        <f t="shared" si="0"/>
        <v>210</v>
      </c>
      <c r="M11" s="4">
        <f t="shared" si="0"/>
        <v>140</v>
      </c>
      <c r="N11" s="4">
        <f t="shared" si="0"/>
        <v>70</v>
      </c>
      <c r="O11" s="4">
        <f t="shared" si="0"/>
        <v>0</v>
      </c>
      <c r="P11" s="4">
        <f t="shared" si="0"/>
        <v>0</v>
      </c>
      <c r="Q11" s="4">
        <f t="shared" si="0"/>
        <v>0</v>
      </c>
      <c r="R11" s="4">
        <f t="shared" si="0"/>
        <v>0</v>
      </c>
      <c r="S11" s="4">
        <f t="shared" si="0"/>
        <v>0</v>
      </c>
      <c r="T11" s="4">
        <f t="shared" si="0"/>
        <v>0</v>
      </c>
      <c r="U11" s="4">
        <f t="shared" si="0"/>
        <v>0</v>
      </c>
      <c r="V11" s="4">
        <f t="shared" si="0"/>
        <v>0</v>
      </c>
      <c r="W11" s="4">
        <f t="shared" si="0"/>
        <v>0</v>
      </c>
      <c r="X11" s="4">
        <f t="shared" si="0"/>
        <v>0</v>
      </c>
      <c r="Y11" s="4">
        <f t="shared" si="0"/>
        <v>0</v>
      </c>
      <c r="Z11" s="4">
        <f t="shared" si="0"/>
        <v>0</v>
      </c>
      <c r="AA11" s="4">
        <f t="shared" si="0"/>
        <v>0</v>
      </c>
      <c r="AB11" s="4">
        <f t="shared" si="0"/>
        <v>0</v>
      </c>
      <c r="AC11" s="4">
        <f t="shared" si="0"/>
        <v>0</v>
      </c>
    </row>
    <row r="12" spans="1:29" x14ac:dyDescent="0.35">
      <c r="A12" s="1"/>
      <c r="B12" s="1"/>
      <c r="C12" s="2" t="s">
        <v>18</v>
      </c>
      <c r="E12" s="4">
        <f t="shared" ref="E12:AC12" si="1">MIN($D$13/$F$6,E11)</f>
        <v>70</v>
      </c>
      <c r="F12" s="4">
        <f t="shared" si="1"/>
        <v>70</v>
      </c>
      <c r="G12" s="4">
        <f t="shared" si="1"/>
        <v>70</v>
      </c>
      <c r="H12" s="4">
        <f t="shared" si="1"/>
        <v>70</v>
      </c>
      <c r="I12" s="4">
        <f t="shared" si="1"/>
        <v>70</v>
      </c>
      <c r="J12" s="4">
        <f t="shared" si="1"/>
        <v>70</v>
      </c>
      <c r="K12" s="4">
        <f t="shared" si="1"/>
        <v>70</v>
      </c>
      <c r="L12" s="4">
        <f t="shared" si="1"/>
        <v>70</v>
      </c>
      <c r="M12" s="4">
        <f t="shared" si="1"/>
        <v>70</v>
      </c>
      <c r="N12" s="4">
        <f t="shared" si="1"/>
        <v>70</v>
      </c>
      <c r="O12" s="4">
        <f t="shared" si="1"/>
        <v>0</v>
      </c>
      <c r="P12" s="4">
        <f t="shared" si="1"/>
        <v>0</v>
      </c>
      <c r="Q12" s="4">
        <f t="shared" si="1"/>
        <v>0</v>
      </c>
      <c r="R12" s="4">
        <f t="shared" si="1"/>
        <v>0</v>
      </c>
      <c r="S12" s="4">
        <f t="shared" si="1"/>
        <v>0</v>
      </c>
      <c r="T12" s="4">
        <f t="shared" si="1"/>
        <v>0</v>
      </c>
      <c r="U12" s="4">
        <f t="shared" si="1"/>
        <v>0</v>
      </c>
      <c r="V12" s="4">
        <f t="shared" si="1"/>
        <v>0</v>
      </c>
      <c r="W12" s="4">
        <f t="shared" si="1"/>
        <v>0</v>
      </c>
      <c r="X12" s="4">
        <f t="shared" si="1"/>
        <v>0</v>
      </c>
      <c r="Y12" s="4">
        <f t="shared" si="1"/>
        <v>0</v>
      </c>
      <c r="Z12" s="4">
        <f t="shared" si="1"/>
        <v>0</v>
      </c>
      <c r="AA12" s="4">
        <f t="shared" si="1"/>
        <v>0</v>
      </c>
      <c r="AB12" s="4">
        <f t="shared" si="1"/>
        <v>0</v>
      </c>
      <c r="AC12" s="4">
        <f t="shared" si="1"/>
        <v>0</v>
      </c>
    </row>
    <row r="13" spans="1:29" x14ac:dyDescent="0.35">
      <c r="A13" s="1"/>
      <c r="B13" s="1"/>
      <c r="C13" s="2" t="s">
        <v>7</v>
      </c>
      <c r="D13" s="2">
        <f>D6</f>
        <v>700</v>
      </c>
      <c r="E13" s="4">
        <f t="shared" ref="E13:AC13" si="2">E11-E12</f>
        <v>630</v>
      </c>
      <c r="F13" s="4">
        <f t="shared" si="2"/>
        <v>560</v>
      </c>
      <c r="G13" s="4">
        <f t="shared" si="2"/>
        <v>490</v>
      </c>
      <c r="H13" s="4">
        <f t="shared" si="2"/>
        <v>420</v>
      </c>
      <c r="I13" s="4">
        <f t="shared" si="2"/>
        <v>350</v>
      </c>
      <c r="J13" s="4">
        <f t="shared" si="2"/>
        <v>280</v>
      </c>
      <c r="K13" s="4">
        <f t="shared" si="2"/>
        <v>210</v>
      </c>
      <c r="L13" s="4">
        <f t="shared" si="2"/>
        <v>140</v>
      </c>
      <c r="M13" s="4">
        <f t="shared" si="2"/>
        <v>70</v>
      </c>
      <c r="N13" s="4">
        <f t="shared" si="2"/>
        <v>0</v>
      </c>
      <c r="O13" s="4">
        <f t="shared" si="2"/>
        <v>0</v>
      </c>
      <c r="P13" s="4">
        <f t="shared" si="2"/>
        <v>0</v>
      </c>
      <c r="Q13" s="4">
        <f t="shared" si="2"/>
        <v>0</v>
      </c>
      <c r="R13" s="4">
        <f t="shared" si="2"/>
        <v>0</v>
      </c>
      <c r="S13" s="4">
        <f t="shared" si="2"/>
        <v>0</v>
      </c>
      <c r="T13" s="4">
        <f t="shared" si="2"/>
        <v>0</v>
      </c>
      <c r="U13" s="4">
        <f t="shared" si="2"/>
        <v>0</v>
      </c>
      <c r="V13" s="4">
        <f t="shared" si="2"/>
        <v>0</v>
      </c>
      <c r="W13" s="4">
        <f t="shared" si="2"/>
        <v>0</v>
      </c>
      <c r="X13" s="4">
        <f t="shared" si="2"/>
        <v>0</v>
      </c>
      <c r="Y13" s="4">
        <f t="shared" si="2"/>
        <v>0</v>
      </c>
      <c r="Z13" s="4">
        <f t="shared" si="2"/>
        <v>0</v>
      </c>
      <c r="AA13" s="4">
        <f t="shared" si="2"/>
        <v>0</v>
      </c>
      <c r="AB13" s="4">
        <f t="shared" si="2"/>
        <v>0</v>
      </c>
      <c r="AC13" s="4">
        <f t="shared" si="2"/>
        <v>0</v>
      </c>
    </row>
    <row r="14" spans="1:29" x14ac:dyDescent="0.35">
      <c r="A14" s="1"/>
      <c r="B14" s="1"/>
      <c r="C14" s="2" t="s">
        <v>8</v>
      </c>
      <c r="E14" s="4">
        <f t="shared" ref="E14:AC14" si="3">E11*$E$6</f>
        <v>28</v>
      </c>
      <c r="F14" s="4">
        <f t="shared" si="3"/>
        <v>25.2</v>
      </c>
      <c r="G14" s="4">
        <f t="shared" si="3"/>
        <v>22.400000000000002</v>
      </c>
      <c r="H14" s="4">
        <f t="shared" si="3"/>
        <v>19.600000000000001</v>
      </c>
      <c r="I14" s="4">
        <f t="shared" si="3"/>
        <v>16.8</v>
      </c>
      <c r="J14" s="4">
        <f t="shared" si="3"/>
        <v>14</v>
      </c>
      <c r="K14" s="4">
        <f t="shared" si="3"/>
        <v>11.200000000000001</v>
      </c>
      <c r="L14" s="4">
        <f t="shared" si="3"/>
        <v>8.4</v>
      </c>
      <c r="M14" s="4">
        <f t="shared" si="3"/>
        <v>5.6000000000000005</v>
      </c>
      <c r="N14" s="4">
        <f t="shared" si="3"/>
        <v>2.8000000000000003</v>
      </c>
      <c r="O14" s="4">
        <f t="shared" si="3"/>
        <v>0</v>
      </c>
      <c r="P14" s="4">
        <f t="shared" si="3"/>
        <v>0</v>
      </c>
      <c r="Q14" s="4">
        <f t="shared" si="3"/>
        <v>0</v>
      </c>
      <c r="R14" s="4">
        <f t="shared" si="3"/>
        <v>0</v>
      </c>
      <c r="S14" s="4">
        <f t="shared" si="3"/>
        <v>0</v>
      </c>
      <c r="T14" s="4">
        <f t="shared" si="3"/>
        <v>0</v>
      </c>
      <c r="U14" s="4">
        <f t="shared" si="3"/>
        <v>0</v>
      </c>
      <c r="V14" s="4">
        <f t="shared" si="3"/>
        <v>0</v>
      </c>
      <c r="W14" s="4">
        <f t="shared" si="3"/>
        <v>0</v>
      </c>
      <c r="X14" s="4">
        <f t="shared" si="3"/>
        <v>0</v>
      </c>
      <c r="Y14" s="4">
        <f t="shared" si="3"/>
        <v>0</v>
      </c>
      <c r="Z14" s="4">
        <f t="shared" si="3"/>
        <v>0</v>
      </c>
      <c r="AA14" s="4">
        <f t="shared" si="3"/>
        <v>0</v>
      </c>
      <c r="AB14" s="4">
        <f t="shared" si="3"/>
        <v>0</v>
      </c>
      <c r="AC14" s="4">
        <f t="shared" si="3"/>
        <v>0</v>
      </c>
    </row>
    <row r="15" spans="1:29" x14ac:dyDescent="0.35">
      <c r="A15" s="1"/>
      <c r="B15" s="1"/>
      <c r="E15" s="3"/>
    </row>
    <row r="16" spans="1:29" x14ac:dyDescent="0.35">
      <c r="A16" s="1"/>
      <c r="B16" s="1" t="s">
        <v>56</v>
      </c>
      <c r="E16" s="3"/>
    </row>
    <row r="17" spans="1:29" x14ac:dyDescent="0.35">
      <c r="A17" s="1"/>
      <c r="B17" s="1"/>
      <c r="C17" s="2" t="s">
        <v>5</v>
      </c>
      <c r="E17" s="61"/>
      <c r="F17" s="61"/>
      <c r="G17" s="61"/>
      <c r="H17" s="61"/>
      <c r="I17" s="61"/>
      <c r="J17" s="61"/>
      <c r="K17" s="61"/>
      <c r="L17" s="61"/>
      <c r="M17" s="61"/>
      <c r="N17" s="61"/>
      <c r="O17" s="61"/>
      <c r="P17" s="61"/>
      <c r="Q17" s="61"/>
      <c r="R17" s="61"/>
      <c r="S17" s="61"/>
      <c r="T17" s="61"/>
      <c r="U17" s="61"/>
      <c r="V17" s="61"/>
      <c r="W17" s="61"/>
      <c r="X17" s="61"/>
      <c r="Y17" s="61"/>
      <c r="Z17" s="61"/>
      <c r="AA17" s="61"/>
      <c r="AB17" s="61"/>
      <c r="AC17" s="61"/>
    </row>
    <row r="18" spans="1:29" x14ac:dyDescent="0.35">
      <c r="A18" s="1"/>
      <c r="B18" s="1"/>
      <c r="C18" s="2" t="s">
        <v>18</v>
      </c>
      <c r="E18" s="61"/>
      <c r="F18" s="61"/>
      <c r="G18" s="61"/>
      <c r="H18" s="61"/>
      <c r="I18" s="61"/>
      <c r="J18" s="61"/>
      <c r="K18" s="61"/>
      <c r="L18" s="61"/>
      <c r="M18" s="61"/>
      <c r="N18" s="61"/>
      <c r="O18" s="61"/>
      <c r="P18" s="61"/>
      <c r="Q18" s="61"/>
      <c r="R18" s="61"/>
      <c r="S18" s="61"/>
      <c r="T18" s="61"/>
      <c r="U18" s="61"/>
      <c r="V18" s="61"/>
      <c r="W18" s="61"/>
      <c r="X18" s="61"/>
      <c r="Y18" s="61"/>
      <c r="Z18" s="61"/>
      <c r="AA18" s="61"/>
      <c r="AB18" s="61"/>
      <c r="AC18" s="61"/>
    </row>
    <row r="19" spans="1:29" x14ac:dyDescent="0.35">
      <c r="A19" s="1"/>
      <c r="B19" s="1"/>
      <c r="C19" s="2" t="s">
        <v>7</v>
      </c>
      <c r="D19" s="2">
        <f>D7</f>
        <v>500</v>
      </c>
      <c r="E19" s="61"/>
      <c r="F19" s="61"/>
      <c r="G19" s="61"/>
      <c r="H19" s="61"/>
      <c r="I19" s="61"/>
      <c r="J19" s="61"/>
      <c r="K19" s="61"/>
      <c r="L19" s="61"/>
      <c r="M19" s="61"/>
      <c r="N19" s="61"/>
      <c r="O19" s="61"/>
      <c r="P19" s="61"/>
      <c r="Q19" s="61"/>
      <c r="R19" s="61"/>
      <c r="S19" s="61"/>
      <c r="T19" s="61"/>
      <c r="U19" s="61"/>
      <c r="V19" s="61"/>
      <c r="W19" s="61"/>
      <c r="X19" s="61"/>
      <c r="Y19" s="61"/>
      <c r="Z19" s="61"/>
      <c r="AA19" s="61"/>
      <c r="AB19" s="61"/>
      <c r="AC19" s="61"/>
    </row>
    <row r="20" spans="1:29" x14ac:dyDescent="0.35">
      <c r="A20" s="1"/>
      <c r="B20" s="1"/>
      <c r="C20" s="2" t="s">
        <v>8</v>
      </c>
      <c r="D20" s="12">
        <f>E7</f>
        <v>4.4999999999999998E-2</v>
      </c>
      <c r="E20" s="61"/>
      <c r="F20" s="61"/>
      <c r="G20" s="61"/>
      <c r="H20" s="61"/>
      <c r="I20" s="61"/>
      <c r="J20" s="61"/>
      <c r="K20" s="61"/>
      <c r="L20" s="61"/>
      <c r="M20" s="61"/>
      <c r="N20" s="61"/>
      <c r="O20" s="61"/>
      <c r="P20" s="61"/>
      <c r="Q20" s="61"/>
      <c r="R20" s="61"/>
      <c r="S20" s="61"/>
      <c r="T20" s="61"/>
      <c r="U20" s="61"/>
      <c r="V20" s="61"/>
      <c r="W20" s="61"/>
      <c r="X20" s="61"/>
      <c r="Y20" s="61"/>
      <c r="Z20" s="61"/>
      <c r="AA20" s="61"/>
      <c r="AB20" s="61"/>
      <c r="AC20" s="61"/>
    </row>
    <row r="21" spans="1:29" x14ac:dyDescent="0.35">
      <c r="A21" s="1"/>
      <c r="B21" s="1"/>
      <c r="D21" s="4"/>
      <c r="E21" s="4"/>
    </row>
    <row r="22" spans="1:29" x14ac:dyDescent="0.35">
      <c r="A22" s="1"/>
      <c r="B22" s="1"/>
      <c r="C22" s="2" t="s">
        <v>12</v>
      </c>
      <c r="D22" s="52">
        <v>3000</v>
      </c>
      <c r="E22" s="4"/>
    </row>
    <row r="23" spans="1:29" x14ac:dyDescent="0.35">
      <c r="A23" s="1"/>
      <c r="B23" s="1"/>
      <c r="C23" s="2" t="s">
        <v>58</v>
      </c>
      <c r="D23" s="50">
        <v>0.8</v>
      </c>
      <c r="E23" s="4"/>
    </row>
    <row r="24" spans="1:29" x14ac:dyDescent="0.35">
      <c r="A24" s="1"/>
      <c r="B24" s="1"/>
      <c r="C24" s="2" t="s">
        <v>59</v>
      </c>
      <c r="D24" s="4">
        <f>D23*D22</f>
        <v>2400</v>
      </c>
      <c r="E24" s="4"/>
    </row>
    <row r="25" spans="1:29" x14ac:dyDescent="0.35">
      <c r="A25" s="1"/>
      <c r="B25" s="1"/>
      <c r="D25" s="4"/>
      <c r="E25" s="4"/>
    </row>
    <row r="26" spans="1:29" x14ac:dyDescent="0.35">
      <c r="A26" s="1"/>
      <c r="B26" s="1"/>
      <c r="C26" s="2" t="s">
        <v>4</v>
      </c>
      <c r="D26" s="53">
        <v>0.05</v>
      </c>
    </row>
    <row r="27" spans="1:29" x14ac:dyDescent="0.35">
      <c r="A27" s="1"/>
      <c r="B27" s="1"/>
      <c r="D27" s="5"/>
    </row>
    <row r="28" spans="1:29" x14ac:dyDescent="0.35">
      <c r="A28" s="1"/>
      <c r="B28" s="1"/>
      <c r="C28" s="2" t="s">
        <v>60</v>
      </c>
      <c r="D28" s="5"/>
      <c r="E28" s="4">
        <f t="shared" ref="E28:AC28" si="4">E18+E20+E12+E14</f>
        <v>98</v>
      </c>
      <c r="F28" s="4">
        <f t="shared" si="4"/>
        <v>95.2</v>
      </c>
      <c r="G28" s="4">
        <f t="shared" si="4"/>
        <v>92.4</v>
      </c>
      <c r="H28" s="4">
        <f t="shared" si="4"/>
        <v>89.6</v>
      </c>
      <c r="I28" s="4">
        <f t="shared" si="4"/>
        <v>86.8</v>
      </c>
      <c r="J28" s="4">
        <f t="shared" si="4"/>
        <v>84</v>
      </c>
      <c r="K28" s="4">
        <f t="shared" si="4"/>
        <v>81.2</v>
      </c>
      <c r="L28" s="4">
        <f t="shared" si="4"/>
        <v>78.400000000000006</v>
      </c>
      <c r="M28" s="4">
        <f t="shared" si="4"/>
        <v>75.599999999999994</v>
      </c>
      <c r="N28" s="4">
        <f t="shared" si="4"/>
        <v>72.8</v>
      </c>
      <c r="O28" s="4">
        <f t="shared" si="4"/>
        <v>0</v>
      </c>
      <c r="P28" s="4">
        <f t="shared" si="4"/>
        <v>0</v>
      </c>
      <c r="Q28" s="4">
        <f t="shared" si="4"/>
        <v>0</v>
      </c>
      <c r="R28" s="4">
        <f t="shared" si="4"/>
        <v>0</v>
      </c>
      <c r="S28" s="4">
        <f t="shared" si="4"/>
        <v>0</v>
      </c>
      <c r="T28" s="4">
        <f t="shared" si="4"/>
        <v>0</v>
      </c>
      <c r="U28" s="4">
        <f t="shared" si="4"/>
        <v>0</v>
      </c>
      <c r="V28" s="4">
        <f t="shared" si="4"/>
        <v>0</v>
      </c>
      <c r="W28" s="4">
        <f t="shared" si="4"/>
        <v>0</v>
      </c>
      <c r="X28" s="4">
        <f t="shared" si="4"/>
        <v>0</v>
      </c>
      <c r="Y28" s="4">
        <f t="shared" si="4"/>
        <v>0</v>
      </c>
      <c r="Z28" s="4">
        <f t="shared" si="4"/>
        <v>0</v>
      </c>
      <c r="AA28" s="4">
        <f t="shared" si="4"/>
        <v>0</v>
      </c>
      <c r="AB28" s="4">
        <f t="shared" si="4"/>
        <v>0</v>
      </c>
      <c r="AC28" s="4">
        <f t="shared" si="4"/>
        <v>0</v>
      </c>
    </row>
    <row r="29" spans="1:29" x14ac:dyDescent="0.35">
      <c r="A29" s="1"/>
      <c r="B29" s="1"/>
      <c r="C29" s="2" t="s">
        <v>2</v>
      </c>
      <c r="D29" s="5"/>
      <c r="E29" s="4">
        <f>'Basic Case - NPV Analysis'!E16</f>
        <v>210.60000000000002</v>
      </c>
      <c r="F29" s="4">
        <f>'Basic Case - NPV Analysis'!F16</f>
        <v>227.44800000000004</v>
      </c>
      <c r="G29" s="4">
        <f>'Basic Case - NPV Analysis'!G16</f>
        <v>238.82040000000003</v>
      </c>
      <c r="H29" s="4">
        <f>'Basic Case - NPV Analysis'!H16</f>
        <v>250.76142000000004</v>
      </c>
      <c r="I29" s="4">
        <f>'Basic Case - NPV Analysis'!I16</f>
        <v>263.29949100000005</v>
      </c>
      <c r="J29" s="4">
        <f>'Basic Case - NPV Analysis'!J16</f>
        <v>276.46446555000006</v>
      </c>
      <c r="K29" s="4">
        <f>'Basic Case - NPV Analysis'!K16</f>
        <v>284.75839951650005</v>
      </c>
      <c r="L29" s="4">
        <f>'Basic Case - NPV Analysis'!L16</f>
        <v>293.30115150199504</v>
      </c>
      <c r="M29" s="4">
        <f>'Basic Case - NPV Analysis'!M16</f>
        <v>302.10018604705488</v>
      </c>
      <c r="N29" s="4">
        <f>'Basic Case - NPV Analysis'!N16</f>
        <v>308.142189767996</v>
      </c>
      <c r="O29" s="4">
        <f>'Basic Case - NPV Analysis'!O16</f>
        <v>314.30503356335595</v>
      </c>
      <c r="P29" s="4">
        <f>'Basic Case - NPV Analysis'!P16</f>
        <v>320.5911342346231</v>
      </c>
      <c r="Q29" s="4">
        <f>'Basic Case - NPV Analysis'!Q16</f>
        <v>327.00295691931558</v>
      </c>
      <c r="R29" s="4">
        <f>'Basic Case - NPV Analysis'!R16</f>
        <v>333.54301605770189</v>
      </c>
      <c r="S29" s="4">
        <f>'Basic Case - NPV Analysis'!S16</f>
        <v>340.21387637885596</v>
      </c>
      <c r="T29" s="4">
        <f>'Basic Case - NPV Analysis'!T16</f>
        <v>347.0181539064331</v>
      </c>
      <c r="U29" s="4">
        <f>'Basic Case - NPV Analysis'!U16</f>
        <v>353.95851698456175</v>
      </c>
      <c r="V29" s="4">
        <f>'Basic Case - NPV Analysis'!V16</f>
        <v>361.037687324253</v>
      </c>
      <c r="W29" s="4">
        <f>'Basic Case - NPV Analysis'!W16</f>
        <v>368.25844107073806</v>
      </c>
      <c r="X29" s="4">
        <f>'Basic Case - NPV Analysis'!X16</f>
        <v>375.62360989215284</v>
      </c>
      <c r="Y29" s="4">
        <f>'Basic Case - NPV Analysis'!Y16</f>
        <v>383.13608208999591</v>
      </c>
      <c r="Z29" s="4">
        <f>'Basic Case - NPV Analysis'!Z16</f>
        <v>390.79880373179583</v>
      </c>
      <c r="AA29" s="4">
        <f>'Basic Case - NPV Analysis'!AA16</f>
        <v>398.61477980643173</v>
      </c>
      <c r="AB29" s="4">
        <f>'Basic Case - NPV Analysis'!AB16</f>
        <v>406.58707540256034</v>
      </c>
      <c r="AC29" s="4">
        <f>'Basic Case - NPV Analysis'!AC16</f>
        <v>414.71881691061157</v>
      </c>
    </row>
    <row r="30" spans="1:29" x14ac:dyDescent="0.35">
      <c r="A30" s="1"/>
      <c r="B30" s="1"/>
      <c r="C30" s="2" t="s">
        <v>48</v>
      </c>
      <c r="D30" s="5"/>
      <c r="E30" s="4" t="b">
        <f>'Debt to Cap and LLCR'!E12</f>
        <v>1</v>
      </c>
      <c r="F30" s="4" t="b">
        <f>'Debt to Cap and LLCR'!F12</f>
        <v>1</v>
      </c>
      <c r="G30" s="4" t="b">
        <f>'Debt to Cap and LLCR'!G12</f>
        <v>1</v>
      </c>
      <c r="H30" s="4" t="b">
        <f>'Debt to Cap and LLCR'!H12</f>
        <v>1</v>
      </c>
      <c r="I30" s="4" t="b">
        <f>'Debt to Cap and LLCR'!I12</f>
        <v>1</v>
      </c>
      <c r="J30" s="4" t="b">
        <f>'Debt to Cap and LLCR'!J12</f>
        <v>1</v>
      </c>
      <c r="K30" s="4" t="b">
        <f>'Debt to Cap and LLCR'!K12</f>
        <v>1</v>
      </c>
      <c r="L30" s="4" t="b">
        <f>'Debt to Cap and LLCR'!L12</f>
        <v>1</v>
      </c>
      <c r="M30" s="4" t="b">
        <f>'Debt to Cap and LLCR'!M12</f>
        <v>1</v>
      </c>
      <c r="N30" s="4" t="b">
        <f>'Debt to Cap and LLCR'!N12</f>
        <v>1</v>
      </c>
      <c r="O30" s="4" t="b">
        <f>'Debt to Cap and LLCR'!O12</f>
        <v>1</v>
      </c>
      <c r="P30" s="4" t="b">
        <f>'Debt to Cap and LLCR'!P12</f>
        <v>1</v>
      </c>
      <c r="Q30" s="4" t="b">
        <f>'Debt to Cap and LLCR'!Q12</f>
        <v>1</v>
      </c>
      <c r="R30" s="4" t="b">
        <f>'Debt to Cap and LLCR'!R12</f>
        <v>1</v>
      </c>
      <c r="S30" s="4" t="b">
        <f>'Debt to Cap and LLCR'!S12</f>
        <v>1</v>
      </c>
      <c r="T30" s="4" t="b">
        <f>'Debt to Cap and LLCR'!T12</f>
        <v>0</v>
      </c>
      <c r="U30" s="4" t="b">
        <f>'Debt to Cap and LLCR'!U12</f>
        <v>0</v>
      </c>
      <c r="V30" s="4" t="b">
        <f>'Debt to Cap and LLCR'!V12</f>
        <v>0</v>
      </c>
      <c r="W30" s="4" t="b">
        <f>'Debt to Cap and LLCR'!W12</f>
        <v>0</v>
      </c>
      <c r="X30" s="4" t="b">
        <f>'Debt to Cap and LLCR'!X12</f>
        <v>0</v>
      </c>
      <c r="Y30" s="4" t="b">
        <f>'Debt to Cap and LLCR'!Y12</f>
        <v>0</v>
      </c>
      <c r="Z30" s="4" t="b">
        <f>'Debt to Cap and LLCR'!Z12</f>
        <v>0</v>
      </c>
      <c r="AA30" s="4" t="b">
        <f>'Debt to Cap and LLCR'!AA12</f>
        <v>0</v>
      </c>
      <c r="AB30" s="4" t="b">
        <f>'Debt to Cap and LLCR'!AB12</f>
        <v>0</v>
      </c>
      <c r="AC30" s="4" t="b">
        <f>'Debt to Cap and LLCR'!AC12</f>
        <v>0</v>
      </c>
    </row>
    <row r="31" spans="1:29" x14ac:dyDescent="0.35">
      <c r="A31" s="1"/>
      <c r="B31" s="1"/>
      <c r="D31" s="5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</row>
    <row r="32" spans="1:29" x14ac:dyDescent="0.35">
      <c r="A32" s="1"/>
      <c r="B32" s="1"/>
      <c r="C32" s="2" t="s">
        <v>61</v>
      </c>
      <c r="D32" s="4">
        <f t="array" ref="D32">NPV(D26,E29:AC29*E30:AC30)/D24</f>
        <v>1.2019553898255568</v>
      </c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</row>
    <row r="33" spans="1:29" x14ac:dyDescent="0.35">
      <c r="A33" s="1"/>
      <c r="B33" s="1"/>
      <c r="D33" s="5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</row>
    <row r="34" spans="1:29" s="4" customFormat="1" x14ac:dyDescent="0.35">
      <c r="A34" s="8"/>
      <c r="B34" s="8"/>
      <c r="C34" s="29" t="s">
        <v>3</v>
      </c>
      <c r="D34" s="30">
        <f>MAX(D32,'Basic Case - NPV Analysis'!D7)</f>
        <v>1.2019553898255568</v>
      </c>
      <c r="E34" s="78"/>
      <c r="F34" s="78"/>
      <c r="G34" s="78"/>
      <c r="H34" s="78"/>
      <c r="I34" s="78"/>
      <c r="J34" s="78"/>
      <c r="K34" s="78"/>
      <c r="L34" s="78"/>
      <c r="M34" s="78"/>
      <c r="N34" s="78"/>
      <c r="O34" s="78"/>
      <c r="P34" s="78"/>
      <c r="Q34" s="78"/>
      <c r="R34" s="78"/>
      <c r="S34" s="78"/>
      <c r="T34" s="78"/>
      <c r="U34" s="78"/>
      <c r="V34" s="78"/>
      <c r="W34" s="78"/>
      <c r="X34" s="78"/>
      <c r="Y34" s="78"/>
      <c r="Z34" s="78"/>
      <c r="AA34" s="78"/>
      <c r="AB34" s="78"/>
      <c r="AC34" s="79"/>
    </row>
    <row r="35" spans="1:29" s="4" customFormat="1" x14ac:dyDescent="0.35">
      <c r="A35" s="8"/>
      <c r="B35" s="8"/>
      <c r="C35" s="4" t="s">
        <v>62</v>
      </c>
      <c r="D35" s="4">
        <f>NPV(D26,E34:AC34)</f>
        <v>0</v>
      </c>
    </row>
    <row r="36" spans="1:29" x14ac:dyDescent="0.35">
      <c r="A36" s="1"/>
      <c r="B36" s="1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</row>
    <row r="37" spans="1:29" x14ac:dyDescent="0.35">
      <c r="A37" s="1"/>
      <c r="B37" s="1"/>
      <c r="C37" s="2" t="s">
        <v>5</v>
      </c>
      <c r="E37" s="4">
        <f t="shared" ref="E37:AC37" si="5">D39</f>
        <v>0</v>
      </c>
      <c r="F37" s="4">
        <f t="shared" si="5"/>
        <v>0</v>
      </c>
      <c r="G37" s="4">
        <f t="shared" si="5"/>
        <v>0</v>
      </c>
      <c r="H37" s="4">
        <f t="shared" si="5"/>
        <v>0</v>
      </c>
      <c r="I37" s="4">
        <f t="shared" si="5"/>
        <v>0</v>
      </c>
      <c r="J37" s="4">
        <f t="shared" si="5"/>
        <v>0</v>
      </c>
      <c r="K37" s="4">
        <f t="shared" si="5"/>
        <v>0</v>
      </c>
      <c r="L37" s="4">
        <f t="shared" si="5"/>
        <v>0</v>
      </c>
      <c r="M37" s="4">
        <f t="shared" si="5"/>
        <v>0</v>
      </c>
      <c r="N37" s="4">
        <f t="shared" si="5"/>
        <v>0</v>
      </c>
      <c r="O37" s="4">
        <f t="shared" si="5"/>
        <v>0</v>
      </c>
      <c r="P37" s="4">
        <f t="shared" si="5"/>
        <v>0</v>
      </c>
      <c r="Q37" s="4">
        <f t="shared" si="5"/>
        <v>0</v>
      </c>
      <c r="R37" s="4">
        <f t="shared" si="5"/>
        <v>0</v>
      </c>
      <c r="S37" s="4">
        <f t="shared" si="5"/>
        <v>0</v>
      </c>
      <c r="T37" s="4">
        <f t="shared" si="5"/>
        <v>0</v>
      </c>
      <c r="U37" s="4">
        <f t="shared" si="5"/>
        <v>0</v>
      </c>
      <c r="V37" s="4">
        <f t="shared" si="5"/>
        <v>0</v>
      </c>
      <c r="W37" s="4">
        <f t="shared" si="5"/>
        <v>0</v>
      </c>
      <c r="X37" s="4">
        <f t="shared" si="5"/>
        <v>0</v>
      </c>
      <c r="Y37" s="4">
        <f t="shared" si="5"/>
        <v>0</v>
      </c>
      <c r="Z37" s="4">
        <f t="shared" si="5"/>
        <v>0</v>
      </c>
      <c r="AA37" s="4">
        <f t="shared" si="5"/>
        <v>0</v>
      </c>
      <c r="AB37" s="4">
        <f t="shared" si="5"/>
        <v>0</v>
      </c>
      <c r="AC37" s="4">
        <f t="shared" si="5"/>
        <v>0</v>
      </c>
    </row>
    <row r="38" spans="1:29" x14ac:dyDescent="0.35">
      <c r="A38" s="1"/>
      <c r="B38" s="1"/>
      <c r="C38" s="2" t="s">
        <v>6</v>
      </c>
      <c r="E38" s="4">
        <f t="shared" ref="E38:AC38" si="6">E34-E40</f>
        <v>0</v>
      </c>
      <c r="F38" s="4">
        <f t="shared" si="6"/>
        <v>0</v>
      </c>
      <c r="G38" s="4">
        <f t="shared" si="6"/>
        <v>0</v>
      </c>
      <c r="H38" s="4">
        <f t="shared" si="6"/>
        <v>0</v>
      </c>
      <c r="I38" s="4">
        <f t="shared" si="6"/>
        <v>0</v>
      </c>
      <c r="J38" s="4">
        <f t="shared" si="6"/>
        <v>0</v>
      </c>
      <c r="K38" s="4">
        <f t="shared" si="6"/>
        <v>0</v>
      </c>
      <c r="L38" s="4">
        <f t="shared" si="6"/>
        <v>0</v>
      </c>
      <c r="M38" s="4">
        <f t="shared" si="6"/>
        <v>0</v>
      </c>
      <c r="N38" s="4">
        <f t="shared" si="6"/>
        <v>0</v>
      </c>
      <c r="O38" s="4">
        <f t="shared" si="6"/>
        <v>0</v>
      </c>
      <c r="P38" s="4">
        <f t="shared" si="6"/>
        <v>0</v>
      </c>
      <c r="Q38" s="4">
        <f t="shared" si="6"/>
        <v>0</v>
      </c>
      <c r="R38" s="4">
        <f t="shared" si="6"/>
        <v>0</v>
      </c>
      <c r="S38" s="4">
        <f t="shared" si="6"/>
        <v>0</v>
      </c>
      <c r="T38" s="4">
        <f t="shared" si="6"/>
        <v>0</v>
      </c>
      <c r="U38" s="4">
        <f t="shared" si="6"/>
        <v>0</v>
      </c>
      <c r="V38" s="4">
        <f t="shared" si="6"/>
        <v>0</v>
      </c>
      <c r="W38" s="4">
        <f t="shared" si="6"/>
        <v>0</v>
      </c>
      <c r="X38" s="4">
        <f t="shared" si="6"/>
        <v>0</v>
      </c>
      <c r="Y38" s="4">
        <f t="shared" si="6"/>
        <v>0</v>
      </c>
      <c r="Z38" s="4">
        <f t="shared" si="6"/>
        <v>0</v>
      </c>
      <c r="AA38" s="4">
        <f t="shared" si="6"/>
        <v>0</v>
      </c>
      <c r="AB38" s="4">
        <f t="shared" si="6"/>
        <v>0</v>
      </c>
      <c r="AC38" s="4">
        <f t="shared" si="6"/>
        <v>0</v>
      </c>
    </row>
    <row r="39" spans="1:29" x14ac:dyDescent="0.35">
      <c r="A39" s="1"/>
      <c r="B39" s="1"/>
      <c r="C39" s="2" t="s">
        <v>7</v>
      </c>
      <c r="D39" s="5">
        <f>D35</f>
        <v>0</v>
      </c>
      <c r="E39" s="4">
        <f t="shared" ref="E39:AC39" si="7">E37-E38</f>
        <v>0</v>
      </c>
      <c r="F39" s="4">
        <f t="shared" si="7"/>
        <v>0</v>
      </c>
      <c r="G39" s="4">
        <f t="shared" si="7"/>
        <v>0</v>
      </c>
      <c r="H39" s="4">
        <f t="shared" si="7"/>
        <v>0</v>
      </c>
      <c r="I39" s="4">
        <f t="shared" si="7"/>
        <v>0</v>
      </c>
      <c r="J39" s="4">
        <f t="shared" si="7"/>
        <v>0</v>
      </c>
      <c r="K39" s="4">
        <f t="shared" si="7"/>
        <v>0</v>
      </c>
      <c r="L39" s="4">
        <f t="shared" si="7"/>
        <v>0</v>
      </c>
      <c r="M39" s="4">
        <f t="shared" si="7"/>
        <v>0</v>
      </c>
      <c r="N39" s="4">
        <f t="shared" si="7"/>
        <v>0</v>
      </c>
      <c r="O39" s="4">
        <f t="shared" si="7"/>
        <v>0</v>
      </c>
      <c r="P39" s="4">
        <f t="shared" si="7"/>
        <v>0</v>
      </c>
      <c r="Q39" s="4">
        <f t="shared" si="7"/>
        <v>0</v>
      </c>
      <c r="R39" s="4">
        <f t="shared" si="7"/>
        <v>0</v>
      </c>
      <c r="S39" s="4">
        <f t="shared" si="7"/>
        <v>0</v>
      </c>
      <c r="T39" s="4">
        <f t="shared" si="7"/>
        <v>0</v>
      </c>
      <c r="U39" s="4">
        <f t="shared" si="7"/>
        <v>0</v>
      </c>
      <c r="V39" s="4">
        <f t="shared" si="7"/>
        <v>0</v>
      </c>
      <c r="W39" s="4">
        <f t="shared" si="7"/>
        <v>0</v>
      </c>
      <c r="X39" s="4">
        <f t="shared" si="7"/>
        <v>0</v>
      </c>
      <c r="Y39" s="4">
        <f t="shared" si="7"/>
        <v>0</v>
      </c>
      <c r="Z39" s="4">
        <f t="shared" si="7"/>
        <v>0</v>
      </c>
      <c r="AA39" s="4">
        <f t="shared" si="7"/>
        <v>0</v>
      </c>
      <c r="AB39" s="4">
        <f t="shared" si="7"/>
        <v>0</v>
      </c>
      <c r="AC39" s="4">
        <f t="shared" si="7"/>
        <v>0</v>
      </c>
    </row>
    <row r="40" spans="1:29" x14ac:dyDescent="0.35">
      <c r="A40" s="1"/>
      <c r="B40" s="1"/>
      <c r="C40" s="2" t="s">
        <v>8</v>
      </c>
      <c r="E40" s="4">
        <f>'Basic Case - NPV Analysis'!$D$9*E37</f>
        <v>0</v>
      </c>
      <c r="F40" s="4">
        <f>'Basic Case - NPV Analysis'!$D$9*F37</f>
        <v>0</v>
      </c>
      <c r="G40" s="4">
        <f>'Basic Case - NPV Analysis'!$D$9*G37</f>
        <v>0</v>
      </c>
      <c r="H40" s="4">
        <f>'Basic Case - NPV Analysis'!$D$9*H37</f>
        <v>0</v>
      </c>
      <c r="I40" s="4">
        <f>'Basic Case - NPV Analysis'!$D$9*I37</f>
        <v>0</v>
      </c>
      <c r="J40" s="4">
        <f>'Basic Case - NPV Analysis'!$D$9*J37</f>
        <v>0</v>
      </c>
      <c r="K40" s="4">
        <f>'Basic Case - NPV Analysis'!$D$9*K37</f>
        <v>0</v>
      </c>
      <c r="L40" s="4">
        <f>'Basic Case - NPV Analysis'!$D$9*L37</f>
        <v>0</v>
      </c>
      <c r="M40" s="4">
        <f>'Basic Case - NPV Analysis'!$D$9*M37</f>
        <v>0</v>
      </c>
      <c r="N40" s="4">
        <f>'Basic Case - NPV Analysis'!$D$9*N37</f>
        <v>0</v>
      </c>
      <c r="O40" s="4">
        <f>'Basic Case - NPV Analysis'!$D$9*O37</f>
        <v>0</v>
      </c>
      <c r="P40" s="4">
        <f>'Basic Case - NPV Analysis'!$D$9*P37</f>
        <v>0</v>
      </c>
      <c r="Q40" s="4">
        <f>'Basic Case - NPV Analysis'!$D$9*Q37</f>
        <v>0</v>
      </c>
      <c r="R40" s="4">
        <f>'Basic Case - NPV Analysis'!$D$9*R37</f>
        <v>0</v>
      </c>
      <c r="S40" s="4">
        <f>'Basic Case - NPV Analysis'!$D$9*S37</f>
        <v>0</v>
      </c>
      <c r="T40" s="4">
        <f>'Basic Case - NPV Analysis'!$D$9*T37</f>
        <v>0</v>
      </c>
      <c r="U40" s="4">
        <f>'Basic Case - NPV Analysis'!$D$9*U37</f>
        <v>0</v>
      </c>
      <c r="V40" s="4">
        <f>'Basic Case - NPV Analysis'!$D$9*V37</f>
        <v>0</v>
      </c>
      <c r="W40" s="4">
        <f>'Basic Case - NPV Analysis'!$D$9*W37</f>
        <v>0</v>
      </c>
      <c r="X40" s="4">
        <f>'Basic Case - NPV Analysis'!$D$9*X37</f>
        <v>0</v>
      </c>
      <c r="Y40" s="4">
        <f>'Basic Case - NPV Analysis'!$D$9*Y37</f>
        <v>0</v>
      </c>
      <c r="Z40" s="4">
        <f>'Basic Case - NPV Analysis'!$D$9*Z37</f>
        <v>0</v>
      </c>
      <c r="AA40" s="4">
        <f>'Basic Case - NPV Analysis'!$D$9*AA37</f>
        <v>0</v>
      </c>
      <c r="AB40" s="4">
        <f>'Basic Case - NPV Analysis'!$D$9*AB37</f>
        <v>0</v>
      </c>
      <c r="AC40" s="4">
        <f>'Basic Case - NPV Analysis'!$D$9*AC37</f>
        <v>0</v>
      </c>
    </row>
    <row r="41" spans="1:29" x14ac:dyDescent="0.35">
      <c r="A41" s="1"/>
      <c r="B41" s="1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</row>
    <row r="42" spans="1:29" x14ac:dyDescent="0.35">
      <c r="A42" s="1"/>
      <c r="B42" s="1"/>
      <c r="C42" s="2" t="s">
        <v>47</v>
      </c>
      <c r="D42" s="4">
        <f>LOOKUP('Basic Case - NPV Analysis'!D8,'Basic Case - NPV Analysis'!5:5,39:39)</f>
        <v>0</v>
      </c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</row>
    <row r="43" spans="1:29" x14ac:dyDescent="0.35">
      <c r="A43" s="1"/>
      <c r="B43" s="1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</row>
    <row r="44" spans="1:29" x14ac:dyDescent="0.35">
      <c r="A44" s="1"/>
      <c r="B44" s="1"/>
      <c r="C44" s="2" t="s">
        <v>438</v>
      </c>
      <c r="E44" s="61"/>
      <c r="F44" s="61"/>
      <c r="G44" s="61"/>
      <c r="H44" s="61"/>
      <c r="I44" s="61"/>
      <c r="J44" s="61"/>
      <c r="K44" s="61"/>
      <c r="L44" s="61"/>
      <c r="M44" s="61"/>
      <c r="N44" s="61"/>
      <c r="O44" s="61"/>
      <c r="P44" s="61"/>
      <c r="Q44" s="61"/>
      <c r="R44" s="61"/>
      <c r="S44" s="61"/>
      <c r="T44" s="61"/>
      <c r="U44" s="61"/>
      <c r="V44" s="61"/>
      <c r="W44" s="61"/>
      <c r="X44" s="61"/>
      <c r="Y44" s="61"/>
      <c r="Z44" s="61"/>
      <c r="AA44" s="61"/>
      <c r="AB44" s="61"/>
      <c r="AC44" s="61"/>
    </row>
    <row r="45" spans="1:29" x14ac:dyDescent="0.35">
      <c r="A45" s="1"/>
      <c r="B45" s="1"/>
      <c r="C45" s="2" t="s">
        <v>9</v>
      </c>
      <c r="E45" s="4" t="b">
        <f t="shared" ref="E45:AC45" si="8">IF(E44&gt;0.1,E29/E44)</f>
        <v>0</v>
      </c>
      <c r="F45" s="4" t="b">
        <f t="shared" si="8"/>
        <v>0</v>
      </c>
      <c r="G45" s="4" t="b">
        <f t="shared" si="8"/>
        <v>0</v>
      </c>
      <c r="H45" s="4" t="b">
        <f t="shared" si="8"/>
        <v>0</v>
      </c>
      <c r="I45" s="4" t="b">
        <f t="shared" si="8"/>
        <v>0</v>
      </c>
      <c r="J45" s="4" t="b">
        <f t="shared" si="8"/>
        <v>0</v>
      </c>
      <c r="K45" s="4" t="b">
        <f t="shared" si="8"/>
        <v>0</v>
      </c>
      <c r="L45" s="4" t="b">
        <f t="shared" si="8"/>
        <v>0</v>
      </c>
      <c r="M45" s="4" t="b">
        <f t="shared" si="8"/>
        <v>0</v>
      </c>
      <c r="N45" s="4" t="b">
        <f t="shared" si="8"/>
        <v>0</v>
      </c>
      <c r="O45" s="4" t="b">
        <f t="shared" si="8"/>
        <v>0</v>
      </c>
      <c r="P45" s="4" t="b">
        <f t="shared" si="8"/>
        <v>0</v>
      </c>
      <c r="Q45" s="4" t="b">
        <f t="shared" si="8"/>
        <v>0</v>
      </c>
      <c r="R45" s="4" t="b">
        <f t="shared" si="8"/>
        <v>0</v>
      </c>
      <c r="S45" s="4" t="b">
        <f t="shared" si="8"/>
        <v>0</v>
      </c>
      <c r="T45" s="4" t="b">
        <f t="shared" si="8"/>
        <v>0</v>
      </c>
      <c r="U45" s="4" t="b">
        <f t="shared" si="8"/>
        <v>0</v>
      </c>
      <c r="V45" s="4" t="b">
        <f t="shared" si="8"/>
        <v>0</v>
      </c>
      <c r="W45" s="4" t="b">
        <f t="shared" si="8"/>
        <v>0</v>
      </c>
      <c r="X45" s="4" t="b">
        <f t="shared" si="8"/>
        <v>0</v>
      </c>
      <c r="Y45" s="4" t="b">
        <f t="shared" si="8"/>
        <v>0</v>
      </c>
      <c r="Z45" s="4" t="b">
        <f t="shared" si="8"/>
        <v>0</v>
      </c>
      <c r="AA45" s="4" t="b">
        <f t="shared" si="8"/>
        <v>0</v>
      </c>
      <c r="AB45" s="4" t="b">
        <f t="shared" si="8"/>
        <v>0</v>
      </c>
      <c r="AC45" s="4" t="b">
        <f t="shared" si="8"/>
        <v>0</v>
      </c>
    </row>
    <row r="46" spans="1:29" x14ac:dyDescent="0.35">
      <c r="A46" s="1"/>
      <c r="B46" s="1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</row>
    <row r="47" spans="1:29" x14ac:dyDescent="0.35">
      <c r="A47" s="1"/>
      <c r="B47" s="1"/>
      <c r="C47" s="2" t="s">
        <v>63</v>
      </c>
      <c r="D47" s="5">
        <f>-D39-D13-D19</f>
        <v>-1200</v>
      </c>
      <c r="E47" s="4">
        <f t="shared" ref="E47:AC47" si="9">E44</f>
        <v>0</v>
      </c>
      <c r="F47" s="4">
        <f t="shared" si="9"/>
        <v>0</v>
      </c>
      <c r="G47" s="4">
        <f t="shared" si="9"/>
        <v>0</v>
      </c>
      <c r="H47" s="4">
        <f t="shared" si="9"/>
        <v>0</v>
      </c>
      <c r="I47" s="4">
        <f t="shared" si="9"/>
        <v>0</v>
      </c>
      <c r="J47" s="4">
        <f t="shared" si="9"/>
        <v>0</v>
      </c>
      <c r="K47" s="4">
        <f t="shared" si="9"/>
        <v>0</v>
      </c>
      <c r="L47" s="4">
        <f t="shared" si="9"/>
        <v>0</v>
      </c>
      <c r="M47" s="4">
        <f t="shared" si="9"/>
        <v>0</v>
      </c>
      <c r="N47" s="4">
        <f t="shared" si="9"/>
        <v>0</v>
      </c>
      <c r="O47" s="4">
        <f t="shared" si="9"/>
        <v>0</v>
      </c>
      <c r="P47" s="4">
        <f t="shared" si="9"/>
        <v>0</v>
      </c>
      <c r="Q47" s="4">
        <f t="shared" si="9"/>
        <v>0</v>
      </c>
      <c r="R47" s="4">
        <f t="shared" si="9"/>
        <v>0</v>
      </c>
      <c r="S47" s="4">
        <f t="shared" si="9"/>
        <v>0</v>
      </c>
      <c r="T47" s="4">
        <f t="shared" si="9"/>
        <v>0</v>
      </c>
      <c r="U47" s="4">
        <f t="shared" si="9"/>
        <v>0</v>
      </c>
      <c r="V47" s="4">
        <f t="shared" si="9"/>
        <v>0</v>
      </c>
      <c r="W47" s="4">
        <f t="shared" si="9"/>
        <v>0</v>
      </c>
      <c r="X47" s="4">
        <f t="shared" si="9"/>
        <v>0</v>
      </c>
      <c r="Y47" s="4">
        <f t="shared" si="9"/>
        <v>0</v>
      </c>
      <c r="Z47" s="4">
        <f t="shared" si="9"/>
        <v>0</v>
      </c>
      <c r="AA47" s="4">
        <f t="shared" si="9"/>
        <v>0</v>
      </c>
      <c r="AB47" s="4">
        <f t="shared" si="9"/>
        <v>0</v>
      </c>
      <c r="AC47" s="4">
        <f t="shared" si="9"/>
        <v>0</v>
      </c>
    </row>
    <row r="48" spans="1:29" x14ac:dyDescent="0.35">
      <c r="A48" s="1"/>
      <c r="B48" s="1"/>
      <c r="C48" s="2" t="s">
        <v>64</v>
      </c>
      <c r="D48" s="12" t="b">
        <f>IFERROR(IRR(47:47),FALSE)</f>
        <v>0</v>
      </c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</row>
    <row r="49" spans="1:4" x14ac:dyDescent="0.35">
      <c r="A49" s="1"/>
      <c r="B49" s="1"/>
    </row>
    <row r="50" spans="1:4" x14ac:dyDescent="0.35">
      <c r="A50" s="1"/>
      <c r="B50" s="1"/>
      <c r="C50" s="2" t="s">
        <v>10</v>
      </c>
      <c r="D50" s="80" t="b">
        <f>IFERROR(NPV(D48,E29:AC29*E30:AC30)/(D39+D19+D13),FALSE)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Spinner 1">
              <controlPr defaultSize="0" autoPict="0">
                <anchor moveWithCells="1" sizeWithCells="1">
                  <from>
                    <xdr:col>3</xdr:col>
                    <xdr:colOff>342900</xdr:colOff>
                    <xdr:row>27</xdr:row>
                    <xdr:rowOff>146050</xdr:rowOff>
                  </from>
                  <to>
                    <xdr:col>3</xdr:col>
                    <xdr:colOff>584200</xdr:colOff>
                    <xdr:row>28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"/>
  <dimension ref="A1:BL112"/>
  <sheetViews>
    <sheetView zoomScale="80" zoomScaleNormal="80"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C1" sqref="C1:C2"/>
    </sheetView>
  </sheetViews>
  <sheetFormatPr defaultColWidth="8.81640625" defaultRowHeight="14.5" x14ac:dyDescent="0.35"/>
  <cols>
    <col min="1" max="2" width="1.26953125" style="1" customWidth="1"/>
    <col min="3" max="3" width="49.453125" style="2" customWidth="1"/>
    <col min="4" max="4" width="12.7265625" style="2" bestFit="1" customWidth="1"/>
    <col min="5" max="64" width="10.81640625" style="2" customWidth="1"/>
    <col min="65" max="16384" width="8.81640625" style="2"/>
  </cols>
  <sheetData>
    <row r="1" spans="1:29" ht="26" x14ac:dyDescent="0.6">
      <c r="C1" s="48" t="s">
        <v>466</v>
      </c>
      <c r="O1" s="48" t="s">
        <v>47</v>
      </c>
      <c r="P1" s="136">
        <f>BL105</f>
        <v>2.7000623958883807E-13</v>
      </c>
    </row>
    <row r="2" spans="1:29" ht="26" x14ac:dyDescent="0.6">
      <c r="C2" s="48" t="s">
        <v>153</v>
      </c>
    </row>
    <row r="3" spans="1:29" ht="26" x14ac:dyDescent="0.6">
      <c r="C3" s="48" t="s">
        <v>421</v>
      </c>
    </row>
    <row r="5" spans="1:29" s="40" customFormat="1" x14ac:dyDescent="0.35">
      <c r="A5" s="40" t="s">
        <v>20</v>
      </c>
    </row>
    <row r="6" spans="1:29" x14ac:dyDescent="0.35">
      <c r="C6" s="2" t="s">
        <v>21</v>
      </c>
      <c r="E6" s="36">
        <v>1</v>
      </c>
      <c r="F6" s="36">
        <v>2</v>
      </c>
      <c r="G6" s="36">
        <v>3</v>
      </c>
      <c r="H6" s="36">
        <v>4</v>
      </c>
      <c r="I6" s="36">
        <v>5</v>
      </c>
      <c r="J6" s="10"/>
    </row>
    <row r="8" spans="1:29" x14ac:dyDescent="0.35">
      <c r="C8" s="2" t="s">
        <v>38</v>
      </c>
      <c r="D8" s="37">
        <v>0.06</v>
      </c>
    </row>
    <row r="9" spans="1:29" x14ac:dyDescent="0.35">
      <c r="C9" s="2" t="s">
        <v>22</v>
      </c>
      <c r="E9" s="38">
        <v>100</v>
      </c>
      <c r="F9" s="4">
        <f>E9*(1+$D$8)</f>
        <v>106</v>
      </c>
      <c r="G9" s="4">
        <f>F9*(1+$D$8)</f>
        <v>112.36</v>
      </c>
      <c r="H9" s="4">
        <f>G9*(1+$D$8)</f>
        <v>119.1016</v>
      </c>
      <c r="I9" s="4">
        <f>H9*(1+$D$8)</f>
        <v>126.247696</v>
      </c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</row>
    <row r="10" spans="1:29" x14ac:dyDescent="0.35">
      <c r="C10" s="2" t="s">
        <v>1</v>
      </c>
      <c r="E10" s="38">
        <v>1.1000000000000001</v>
      </c>
      <c r="F10" s="38">
        <v>1.2</v>
      </c>
      <c r="G10" s="38">
        <v>1.4</v>
      </c>
      <c r="H10" s="38">
        <v>1.5</v>
      </c>
      <c r="I10" s="38">
        <v>1.6</v>
      </c>
    </row>
    <row r="11" spans="1:29" x14ac:dyDescent="0.35">
      <c r="C11" s="2" t="s">
        <v>23</v>
      </c>
      <c r="E11" s="4">
        <f>E9/E10</f>
        <v>90.909090909090907</v>
      </c>
      <c r="F11" s="4">
        <f>F9/F10</f>
        <v>88.333333333333343</v>
      </c>
      <c r="G11" s="4">
        <f>G9/G10</f>
        <v>80.257142857142867</v>
      </c>
      <c r="H11" s="4">
        <f>H9/H10</f>
        <v>79.401066666666665</v>
      </c>
      <c r="I11" s="4">
        <f>I9/I10</f>
        <v>78.904809999999998</v>
      </c>
    </row>
    <row r="12" spans="1:29" x14ac:dyDescent="0.35">
      <c r="C12" s="2" t="s">
        <v>24</v>
      </c>
      <c r="E12" s="37">
        <v>0.05</v>
      </c>
      <c r="F12" s="37">
        <v>0.05</v>
      </c>
      <c r="G12" s="37">
        <v>0.05</v>
      </c>
      <c r="H12" s="37">
        <v>0.05</v>
      </c>
      <c r="I12" s="37">
        <v>0.05</v>
      </c>
    </row>
    <row r="13" spans="1:29" x14ac:dyDescent="0.35">
      <c r="C13" s="2" t="s">
        <v>25</v>
      </c>
      <c r="D13" s="39">
        <v>1</v>
      </c>
      <c r="E13" s="4">
        <f>D13*(1+E12)</f>
        <v>1.05</v>
      </c>
      <c r="F13" s="4">
        <f>E13*(1+F12)</f>
        <v>1.1025</v>
      </c>
      <c r="G13" s="4">
        <f>F13*(1+G12)</f>
        <v>1.1576250000000001</v>
      </c>
      <c r="H13" s="4">
        <f>G13*(1+H12)</f>
        <v>1.2155062500000002</v>
      </c>
      <c r="I13" s="4">
        <f>H13*(1+I12)</f>
        <v>1.2762815625000004</v>
      </c>
    </row>
    <row r="14" spans="1:29" x14ac:dyDescent="0.35">
      <c r="C14" s="27" t="s">
        <v>111</v>
      </c>
      <c r="D14" s="35">
        <f>SUMPRODUCT(E11:I11/E13:I13)</f>
        <v>363.17759873759684</v>
      </c>
      <c r="E14" s="4"/>
    </row>
    <row r="15" spans="1:29" x14ac:dyDescent="0.35">
      <c r="C15" s="2" t="s">
        <v>27</v>
      </c>
      <c r="D15" s="11"/>
      <c r="E15" s="11"/>
      <c r="F15" s="11"/>
      <c r="G15" s="11"/>
      <c r="H15" s="11"/>
      <c r="I15" s="11"/>
    </row>
    <row r="16" spans="1:29" x14ac:dyDescent="0.35">
      <c r="D16" s="11"/>
      <c r="E16" s="11"/>
      <c r="F16" s="11"/>
      <c r="G16" s="11"/>
      <c r="H16" s="11"/>
      <c r="I16" s="11"/>
    </row>
    <row r="17" spans="2:27" x14ac:dyDescent="0.35">
      <c r="B17" s="1" t="s">
        <v>467</v>
      </c>
      <c r="D17" s="11"/>
      <c r="E17" s="11"/>
      <c r="F17" s="11"/>
      <c r="G17" s="11"/>
      <c r="H17" s="11"/>
      <c r="I17" s="11"/>
      <c r="Q17" s="2" t="s">
        <v>440</v>
      </c>
    </row>
    <row r="18" spans="2:27" x14ac:dyDescent="0.35">
      <c r="C18" s="2" t="s">
        <v>5</v>
      </c>
      <c r="D18" s="11"/>
      <c r="E18" s="11">
        <f>D20</f>
        <v>363.17759873759684</v>
      </c>
      <c r="F18" s="11">
        <f>E20</f>
        <v>290.42738776538579</v>
      </c>
      <c r="G18" s="11">
        <f>F20</f>
        <v>216.61542382032172</v>
      </c>
      <c r="H18" s="11">
        <f>G20</f>
        <v>147.18905215419494</v>
      </c>
      <c r="I18" s="11">
        <f>H20</f>
        <v>75.147438095238016</v>
      </c>
      <c r="Q18" s="2" t="s">
        <v>441</v>
      </c>
    </row>
    <row r="19" spans="2:27" x14ac:dyDescent="0.35">
      <c r="C19" s="2" t="s">
        <v>28</v>
      </c>
      <c r="D19" s="11"/>
      <c r="E19" s="11">
        <f>E11-E21</f>
        <v>72.750210972211065</v>
      </c>
      <c r="F19" s="11">
        <f>F11-F21</f>
        <v>73.811963945064051</v>
      </c>
      <c r="G19" s="11">
        <f>G11-G21</f>
        <v>69.426371666126784</v>
      </c>
      <c r="H19" s="11">
        <f>H11-H21</f>
        <v>72.041614058956924</v>
      </c>
      <c r="I19" s="11">
        <f>I11-I21</f>
        <v>75.147438095238101</v>
      </c>
      <c r="Q19" s="2" t="s">
        <v>442</v>
      </c>
    </row>
    <row r="20" spans="2:27" x14ac:dyDescent="0.35">
      <c r="C20" s="2" t="s">
        <v>7</v>
      </c>
      <c r="D20" s="11">
        <f>D14</f>
        <v>363.17759873759684</v>
      </c>
      <c r="E20" s="11">
        <f>E18-E19</f>
        <v>290.42738776538579</v>
      </c>
      <c r="F20" s="11">
        <f>F18-F19</f>
        <v>216.61542382032172</v>
      </c>
      <c r="G20" s="11">
        <f>G18-G19</f>
        <v>147.18905215419494</v>
      </c>
      <c r="H20" s="11">
        <f>H18-H19</f>
        <v>75.147438095238016</v>
      </c>
      <c r="I20" s="114">
        <f>I18-I19</f>
        <v>0</v>
      </c>
      <c r="Q20" s="2" t="s">
        <v>298</v>
      </c>
    </row>
    <row r="21" spans="2:27" x14ac:dyDescent="0.35">
      <c r="C21" s="2" t="s">
        <v>8</v>
      </c>
      <c r="E21" s="11">
        <f>E18*E12</f>
        <v>18.158879936879842</v>
      </c>
      <c r="F21" s="11">
        <f>F18*F12</f>
        <v>14.52136938826929</v>
      </c>
      <c r="G21" s="11">
        <f>G18*G12</f>
        <v>10.830771191016087</v>
      </c>
      <c r="H21" s="11">
        <f>H18*H12</f>
        <v>7.3594526077097475</v>
      </c>
      <c r="I21" s="11">
        <f>I18*I12</f>
        <v>3.757371904761901</v>
      </c>
    </row>
    <row r="23" spans="2:27" x14ac:dyDescent="0.35">
      <c r="B23" s="1" t="s">
        <v>468</v>
      </c>
    </row>
    <row r="24" spans="2:27" x14ac:dyDescent="0.35">
      <c r="C24" s="2" t="s">
        <v>469</v>
      </c>
      <c r="E24" s="39">
        <v>1</v>
      </c>
      <c r="F24" s="39">
        <v>2</v>
      </c>
      <c r="G24" s="39">
        <v>3</v>
      </c>
      <c r="H24" s="39">
        <v>4</v>
      </c>
      <c r="I24" s="39">
        <v>5</v>
      </c>
      <c r="J24" s="39">
        <v>6</v>
      </c>
      <c r="K24" s="39">
        <v>7</v>
      </c>
      <c r="L24" s="39">
        <v>8</v>
      </c>
      <c r="M24" s="39">
        <v>9</v>
      </c>
      <c r="N24" s="39">
        <v>10</v>
      </c>
    </row>
    <row r="25" spans="2:27" x14ac:dyDescent="0.35">
      <c r="C25" s="2" t="s">
        <v>443</v>
      </c>
      <c r="D25" s="39">
        <v>2</v>
      </c>
      <c r="E25" s="2">
        <f t="shared" ref="E25:N25" si="0">period_of_year(E24,$D$25)</f>
        <v>1</v>
      </c>
      <c r="F25" s="2">
        <f t="shared" si="0"/>
        <v>2</v>
      </c>
      <c r="G25" s="2">
        <f t="shared" si="0"/>
        <v>1</v>
      </c>
      <c r="H25" s="2">
        <f t="shared" si="0"/>
        <v>2</v>
      </c>
      <c r="I25" s="2">
        <f t="shared" si="0"/>
        <v>1</v>
      </c>
      <c r="J25" s="2">
        <f t="shared" si="0"/>
        <v>2</v>
      </c>
      <c r="K25" s="2">
        <f t="shared" si="0"/>
        <v>1</v>
      </c>
      <c r="L25" s="2">
        <f t="shared" si="0"/>
        <v>2</v>
      </c>
      <c r="M25" s="2">
        <f t="shared" si="0"/>
        <v>1</v>
      </c>
      <c r="N25" s="2">
        <f t="shared" si="0"/>
        <v>2</v>
      </c>
    </row>
    <row r="26" spans="2:27" x14ac:dyDescent="0.35">
      <c r="C26" s="2" t="s">
        <v>444</v>
      </c>
      <c r="E26" s="2">
        <f t="shared" ref="E26:N26" si="1">ROUNDUP(E24/$D$25,0)</f>
        <v>1</v>
      </c>
      <c r="F26" s="2">
        <f t="shared" si="1"/>
        <v>1</v>
      </c>
      <c r="G26" s="2">
        <f t="shared" si="1"/>
        <v>2</v>
      </c>
      <c r="H26" s="2">
        <f t="shared" si="1"/>
        <v>2</v>
      </c>
      <c r="I26" s="2">
        <f t="shared" si="1"/>
        <v>3</v>
      </c>
      <c r="J26" s="2">
        <f t="shared" si="1"/>
        <v>3</v>
      </c>
      <c r="K26" s="2">
        <f t="shared" si="1"/>
        <v>4</v>
      </c>
      <c r="L26" s="2">
        <f t="shared" si="1"/>
        <v>4</v>
      </c>
      <c r="M26" s="2">
        <f t="shared" si="1"/>
        <v>5</v>
      </c>
      <c r="N26" s="2">
        <f t="shared" si="1"/>
        <v>5</v>
      </c>
    </row>
    <row r="27" spans="2:27" x14ac:dyDescent="0.35">
      <c r="C27" s="2" t="s">
        <v>445</v>
      </c>
      <c r="E27" s="4">
        <f t="shared" ref="E27:N27" si="2">LOOKUP(E26,6:6,9:9)/$D$25</f>
        <v>50</v>
      </c>
      <c r="F27" s="4">
        <f t="shared" si="2"/>
        <v>50</v>
      </c>
      <c r="G27" s="4">
        <f t="shared" si="2"/>
        <v>53</v>
      </c>
      <c r="H27" s="4">
        <f t="shared" si="2"/>
        <v>53</v>
      </c>
      <c r="I27" s="4">
        <f t="shared" si="2"/>
        <v>56.18</v>
      </c>
      <c r="J27" s="4">
        <f t="shared" si="2"/>
        <v>56.18</v>
      </c>
      <c r="K27" s="4">
        <f t="shared" si="2"/>
        <v>59.550800000000002</v>
      </c>
      <c r="L27" s="4">
        <f t="shared" si="2"/>
        <v>59.550800000000002</v>
      </c>
      <c r="M27" s="4">
        <f t="shared" si="2"/>
        <v>63.123848000000002</v>
      </c>
      <c r="N27" s="4">
        <f t="shared" si="2"/>
        <v>63.123848000000002</v>
      </c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</row>
    <row r="28" spans="2:27" x14ac:dyDescent="0.35">
      <c r="C28" s="2" t="s">
        <v>446</v>
      </c>
      <c r="E28" s="4">
        <f t="shared" ref="E28:N28" si="3">LOOKUP(E26,6:6,10:10)</f>
        <v>1.1000000000000001</v>
      </c>
      <c r="F28" s="4">
        <f t="shared" si="3"/>
        <v>1.1000000000000001</v>
      </c>
      <c r="G28" s="4">
        <f t="shared" si="3"/>
        <v>1.2</v>
      </c>
      <c r="H28" s="4">
        <f t="shared" si="3"/>
        <v>1.2</v>
      </c>
      <c r="I28" s="4">
        <f t="shared" si="3"/>
        <v>1.4</v>
      </c>
      <c r="J28" s="4">
        <f t="shared" si="3"/>
        <v>1.4</v>
      </c>
      <c r="K28" s="4">
        <f t="shared" si="3"/>
        <v>1.5</v>
      </c>
      <c r="L28" s="4">
        <f t="shared" si="3"/>
        <v>1.5</v>
      </c>
      <c r="M28" s="4">
        <f t="shared" si="3"/>
        <v>1.6</v>
      </c>
      <c r="N28" s="4">
        <f t="shared" si="3"/>
        <v>1.6</v>
      </c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</row>
    <row r="29" spans="2:27" x14ac:dyDescent="0.35">
      <c r="C29" s="2" t="s">
        <v>3</v>
      </c>
      <c r="E29" s="4">
        <f t="shared" ref="E29:N29" si="4">E27/E28</f>
        <v>45.454545454545453</v>
      </c>
      <c r="F29" s="4">
        <f t="shared" si="4"/>
        <v>45.454545454545453</v>
      </c>
      <c r="G29" s="4">
        <f t="shared" si="4"/>
        <v>44.166666666666671</v>
      </c>
      <c r="H29" s="4">
        <f t="shared" si="4"/>
        <v>44.166666666666671</v>
      </c>
      <c r="I29" s="4">
        <f t="shared" si="4"/>
        <v>40.128571428571433</v>
      </c>
      <c r="J29" s="4">
        <f t="shared" si="4"/>
        <v>40.128571428571433</v>
      </c>
      <c r="K29" s="4">
        <f t="shared" si="4"/>
        <v>39.700533333333333</v>
      </c>
      <c r="L29" s="4">
        <f t="shared" si="4"/>
        <v>39.700533333333333</v>
      </c>
      <c r="M29" s="4">
        <f t="shared" si="4"/>
        <v>39.452404999999999</v>
      </c>
      <c r="N29" s="4">
        <f t="shared" si="4"/>
        <v>39.452404999999999</v>
      </c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</row>
    <row r="30" spans="2:27" x14ac:dyDescent="0.35">
      <c r="C30" s="2" t="s">
        <v>447</v>
      </c>
      <c r="E30" s="12">
        <f>LOOKUP(E26,6:6,12:12)/$D$25</f>
        <v>2.5000000000000001E-2</v>
      </c>
      <c r="F30" s="12">
        <f t="shared" ref="F30:N30" si="5">LOOKUP(F26,6:6,12:12)/$D$25</f>
        <v>2.5000000000000001E-2</v>
      </c>
      <c r="G30" s="12">
        <f t="shared" si="5"/>
        <v>2.5000000000000001E-2</v>
      </c>
      <c r="H30" s="12">
        <f t="shared" si="5"/>
        <v>2.5000000000000001E-2</v>
      </c>
      <c r="I30" s="12">
        <f t="shared" si="5"/>
        <v>2.5000000000000001E-2</v>
      </c>
      <c r="J30" s="12">
        <f t="shared" si="5"/>
        <v>2.5000000000000001E-2</v>
      </c>
      <c r="K30" s="12">
        <f t="shared" si="5"/>
        <v>2.5000000000000001E-2</v>
      </c>
      <c r="L30" s="12">
        <f t="shared" si="5"/>
        <v>2.5000000000000001E-2</v>
      </c>
      <c r="M30" s="12">
        <f t="shared" si="5"/>
        <v>2.5000000000000001E-2</v>
      </c>
      <c r="N30" s="12">
        <f t="shared" si="5"/>
        <v>2.5000000000000001E-2</v>
      </c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</row>
    <row r="31" spans="2:27" x14ac:dyDescent="0.35">
      <c r="C31" s="2" t="s">
        <v>426</v>
      </c>
      <c r="D31" s="39">
        <v>1</v>
      </c>
      <c r="E31" s="4">
        <f t="shared" ref="E31:N31" si="6">D31*(1+E30)</f>
        <v>1.0249999999999999</v>
      </c>
      <c r="F31" s="4">
        <f t="shared" si="6"/>
        <v>1.0506249999999999</v>
      </c>
      <c r="G31" s="4">
        <f t="shared" si="6"/>
        <v>1.0768906249999999</v>
      </c>
      <c r="H31" s="4">
        <f t="shared" si="6"/>
        <v>1.1038128906249998</v>
      </c>
      <c r="I31" s="4">
        <f t="shared" si="6"/>
        <v>1.1314082128906247</v>
      </c>
      <c r="J31" s="4">
        <f t="shared" si="6"/>
        <v>1.1596934182128902</v>
      </c>
      <c r="K31" s="4">
        <f t="shared" si="6"/>
        <v>1.1886857536682123</v>
      </c>
      <c r="L31" s="4">
        <f t="shared" si="6"/>
        <v>1.2184028975099175</v>
      </c>
      <c r="M31" s="4">
        <f t="shared" si="6"/>
        <v>1.2488629699476652</v>
      </c>
      <c r="N31" s="4">
        <f t="shared" si="6"/>
        <v>1.2800845441963566</v>
      </c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</row>
    <row r="32" spans="2:27" x14ac:dyDescent="0.35">
      <c r="C32" s="27" t="s">
        <v>448</v>
      </c>
      <c r="D32" s="28">
        <f>SUMPRODUCT(E29:N29/E31:N31)</f>
        <v>367.10027127997949</v>
      </c>
    </row>
    <row r="33" spans="1:64" x14ac:dyDescent="0.35">
      <c r="C33" s="22"/>
      <c r="D33" s="105"/>
    </row>
    <row r="34" spans="1:64" x14ac:dyDescent="0.35">
      <c r="B34" s="2" t="s">
        <v>427</v>
      </c>
    </row>
    <row r="35" spans="1:64" x14ac:dyDescent="0.35">
      <c r="C35" s="2" t="s">
        <v>5</v>
      </c>
      <c r="E35" s="4">
        <f t="shared" ref="E35:N35" si="7">D37</f>
        <v>367.10027127997949</v>
      </c>
      <c r="F35" s="4">
        <f t="shared" si="7"/>
        <v>330.82323260743351</v>
      </c>
      <c r="G35" s="4">
        <f t="shared" si="7"/>
        <v>293.63926796807391</v>
      </c>
      <c r="H35" s="4">
        <f t="shared" si="7"/>
        <v>256.81358300060907</v>
      </c>
      <c r="I35" s="4">
        <f t="shared" si="7"/>
        <v>219.06725590895763</v>
      </c>
      <c r="J35" s="4">
        <f t="shared" si="7"/>
        <v>184.41536587811015</v>
      </c>
      <c r="K35" s="4">
        <f t="shared" si="7"/>
        <v>148.89717859649147</v>
      </c>
      <c r="L35" s="4">
        <f t="shared" si="7"/>
        <v>112.91907472807043</v>
      </c>
      <c r="M35" s="4">
        <f t="shared" si="7"/>
        <v>76.041518262938865</v>
      </c>
      <c r="N35" s="4">
        <f t="shared" si="7"/>
        <v>38.490151219512342</v>
      </c>
    </row>
    <row r="36" spans="1:64" x14ac:dyDescent="0.35">
      <c r="C36" s="2" t="s">
        <v>28</v>
      </c>
      <c r="E36" s="4">
        <f t="shared" ref="E36:N36" si="8">E29-E38</f>
        <v>36.277038672545963</v>
      </c>
      <c r="F36" s="4">
        <f t="shared" si="8"/>
        <v>37.183964639359615</v>
      </c>
      <c r="G36" s="4">
        <f t="shared" si="8"/>
        <v>36.825684967464824</v>
      </c>
      <c r="H36" s="4">
        <f t="shared" si="8"/>
        <v>37.746327091651445</v>
      </c>
      <c r="I36" s="4">
        <f t="shared" si="8"/>
        <v>34.65189003084749</v>
      </c>
      <c r="J36" s="4">
        <f t="shared" si="8"/>
        <v>35.51818728161868</v>
      </c>
      <c r="K36" s="4">
        <f t="shared" si="8"/>
        <v>35.978103868421044</v>
      </c>
      <c r="L36" s="4">
        <f t="shared" si="8"/>
        <v>36.877556465131569</v>
      </c>
      <c r="M36" s="4">
        <f t="shared" si="8"/>
        <v>37.551367043426524</v>
      </c>
      <c r="N36" s="4">
        <f t="shared" si="8"/>
        <v>38.490151219512192</v>
      </c>
    </row>
    <row r="37" spans="1:64" x14ac:dyDescent="0.35">
      <c r="C37" s="34" t="s">
        <v>7</v>
      </c>
      <c r="D37" s="133">
        <f>D32</f>
        <v>367.10027127997949</v>
      </c>
      <c r="E37" s="133">
        <f t="shared" ref="E37:N37" si="9">E35-E36</f>
        <v>330.82323260743351</v>
      </c>
      <c r="F37" s="133">
        <f t="shared" si="9"/>
        <v>293.63926796807391</v>
      </c>
      <c r="G37" s="133">
        <f t="shared" si="9"/>
        <v>256.81358300060907</v>
      </c>
      <c r="H37" s="133">
        <f t="shared" si="9"/>
        <v>219.06725590895763</v>
      </c>
      <c r="I37" s="133">
        <f t="shared" si="9"/>
        <v>184.41536587811015</v>
      </c>
      <c r="J37" s="133">
        <f t="shared" si="9"/>
        <v>148.89717859649147</v>
      </c>
      <c r="K37" s="133">
        <f t="shared" si="9"/>
        <v>112.91907472807043</v>
      </c>
      <c r="L37" s="133">
        <f t="shared" si="9"/>
        <v>76.041518262938865</v>
      </c>
      <c r="M37" s="133">
        <f t="shared" si="9"/>
        <v>38.490151219512342</v>
      </c>
      <c r="N37" s="47">
        <f t="shared" si="9"/>
        <v>1.4921397450962104E-13</v>
      </c>
    </row>
    <row r="38" spans="1:64" x14ac:dyDescent="0.35">
      <c r="C38" s="2" t="s">
        <v>8</v>
      </c>
      <c r="E38" s="4">
        <f t="shared" ref="E38:N38" si="10">E35*E30</f>
        <v>9.1775067819994884</v>
      </c>
      <c r="F38" s="4">
        <f t="shared" si="10"/>
        <v>8.2705808151858378</v>
      </c>
      <c r="G38" s="4">
        <f t="shared" si="10"/>
        <v>7.3409816992018477</v>
      </c>
      <c r="H38" s="4">
        <f t="shared" si="10"/>
        <v>6.4203395750152268</v>
      </c>
      <c r="I38" s="4">
        <f t="shared" si="10"/>
        <v>5.476681397723941</v>
      </c>
      <c r="J38" s="4">
        <f t="shared" si="10"/>
        <v>4.6103841469527538</v>
      </c>
      <c r="K38" s="4">
        <f t="shared" si="10"/>
        <v>3.7224294649122869</v>
      </c>
      <c r="L38" s="4">
        <f t="shared" si="10"/>
        <v>2.8229768682017609</v>
      </c>
      <c r="M38" s="4">
        <f t="shared" si="10"/>
        <v>1.9010379565734716</v>
      </c>
      <c r="N38" s="4">
        <f t="shared" si="10"/>
        <v>0.96225378048780863</v>
      </c>
    </row>
    <row r="40" spans="1:64" s="40" customFormat="1" x14ac:dyDescent="0.35">
      <c r="A40" s="40" t="s">
        <v>154</v>
      </c>
    </row>
    <row r="41" spans="1:64" x14ac:dyDescent="0.35">
      <c r="C41" s="2" t="s">
        <v>65</v>
      </c>
      <c r="D41" s="1"/>
      <c r="E41" s="39">
        <v>1</v>
      </c>
      <c r="F41" s="39">
        <v>2</v>
      </c>
      <c r="G41" s="39">
        <v>3</v>
      </c>
      <c r="H41" s="39">
        <v>4</v>
      </c>
      <c r="I41" s="39">
        <v>5</v>
      </c>
      <c r="J41" s="39">
        <v>6</v>
      </c>
      <c r="K41" s="39">
        <v>7</v>
      </c>
      <c r="L41" s="39">
        <v>8</v>
      </c>
      <c r="M41" s="39">
        <v>9</v>
      </c>
      <c r="N41" s="39">
        <v>10</v>
      </c>
      <c r="O41" s="39">
        <v>11</v>
      </c>
      <c r="P41" s="39">
        <v>12</v>
      </c>
      <c r="Q41" s="39">
        <v>13</v>
      </c>
      <c r="R41" s="39">
        <v>14</v>
      </c>
      <c r="S41" s="39">
        <v>15</v>
      </c>
      <c r="T41" s="39">
        <v>16</v>
      </c>
      <c r="U41" s="39">
        <v>17</v>
      </c>
      <c r="V41" s="39">
        <v>18</v>
      </c>
      <c r="W41" s="39">
        <v>19</v>
      </c>
      <c r="X41" s="39">
        <v>20</v>
      </c>
      <c r="Y41" s="39">
        <v>21</v>
      </c>
      <c r="Z41" s="39">
        <v>22</v>
      </c>
      <c r="AA41" s="39">
        <v>23</v>
      </c>
      <c r="AB41" s="39">
        <v>24</v>
      </c>
      <c r="AC41" s="39">
        <v>25</v>
      </c>
      <c r="AD41" s="39">
        <v>26</v>
      </c>
      <c r="AE41" s="39">
        <v>27</v>
      </c>
      <c r="AF41" s="39">
        <v>28</v>
      </c>
      <c r="AG41" s="39">
        <v>29</v>
      </c>
      <c r="AH41" s="39">
        <v>30</v>
      </c>
      <c r="AI41" s="39">
        <v>31</v>
      </c>
      <c r="AJ41" s="39">
        <v>32</v>
      </c>
      <c r="AK41" s="39">
        <v>33</v>
      </c>
      <c r="AL41" s="39">
        <v>34</v>
      </c>
      <c r="AM41" s="39">
        <v>35</v>
      </c>
      <c r="AN41" s="39">
        <v>36</v>
      </c>
      <c r="AO41" s="39">
        <v>37</v>
      </c>
      <c r="AP41" s="39">
        <v>38</v>
      </c>
      <c r="AQ41" s="39">
        <v>39</v>
      </c>
      <c r="AR41" s="39">
        <v>40</v>
      </c>
      <c r="AS41" s="39">
        <v>41</v>
      </c>
      <c r="AT41" s="39">
        <v>42</v>
      </c>
      <c r="AU41" s="39">
        <v>43</v>
      </c>
      <c r="AV41" s="39">
        <v>44</v>
      </c>
      <c r="AW41" s="39">
        <v>45</v>
      </c>
      <c r="AX41" s="39">
        <v>46</v>
      </c>
      <c r="AY41" s="39">
        <v>47</v>
      </c>
      <c r="AZ41" s="39">
        <v>48</v>
      </c>
      <c r="BA41" s="39">
        <v>49</v>
      </c>
      <c r="BB41" s="39">
        <v>50</v>
      </c>
      <c r="BC41" s="39">
        <v>51</v>
      </c>
      <c r="BD41" s="39">
        <v>52</v>
      </c>
      <c r="BE41" s="39">
        <v>53</v>
      </c>
      <c r="BF41" s="39">
        <v>54</v>
      </c>
      <c r="BG41" s="39">
        <v>55</v>
      </c>
      <c r="BH41" s="39">
        <v>56</v>
      </c>
      <c r="BI41" s="39">
        <v>57</v>
      </c>
      <c r="BJ41" s="39">
        <v>58</v>
      </c>
      <c r="BK41" s="39">
        <v>59</v>
      </c>
      <c r="BL41" s="39">
        <v>60</v>
      </c>
    </row>
    <row r="42" spans="1:64" x14ac:dyDescent="0.35">
      <c r="C42" s="2" t="s">
        <v>31</v>
      </c>
      <c r="D42" s="39">
        <v>12</v>
      </c>
      <c r="E42" s="2">
        <f t="shared" ref="E42:AJ42" si="11">period_of_year(E41,$D$42)</f>
        <v>1</v>
      </c>
      <c r="F42" s="2">
        <f t="shared" si="11"/>
        <v>2</v>
      </c>
      <c r="G42" s="2">
        <f t="shared" si="11"/>
        <v>3</v>
      </c>
      <c r="H42" s="2">
        <f t="shared" si="11"/>
        <v>4</v>
      </c>
      <c r="I42" s="2">
        <f t="shared" si="11"/>
        <v>5</v>
      </c>
      <c r="J42" s="2">
        <f t="shared" si="11"/>
        <v>6</v>
      </c>
      <c r="K42" s="2">
        <f t="shared" si="11"/>
        <v>7</v>
      </c>
      <c r="L42" s="2">
        <f t="shared" si="11"/>
        <v>8</v>
      </c>
      <c r="M42" s="2">
        <f t="shared" si="11"/>
        <v>9</v>
      </c>
      <c r="N42" s="2">
        <f t="shared" si="11"/>
        <v>10</v>
      </c>
      <c r="O42" s="2">
        <f t="shared" si="11"/>
        <v>11</v>
      </c>
      <c r="P42" s="2">
        <f t="shared" si="11"/>
        <v>12</v>
      </c>
      <c r="Q42" s="2">
        <f t="shared" si="11"/>
        <v>1</v>
      </c>
      <c r="R42" s="2">
        <f t="shared" si="11"/>
        <v>2</v>
      </c>
      <c r="S42" s="2">
        <f t="shared" si="11"/>
        <v>3</v>
      </c>
      <c r="T42" s="2">
        <f t="shared" si="11"/>
        <v>4</v>
      </c>
      <c r="U42" s="2">
        <f t="shared" si="11"/>
        <v>5</v>
      </c>
      <c r="V42" s="2">
        <f t="shared" si="11"/>
        <v>6</v>
      </c>
      <c r="W42" s="2">
        <f t="shared" si="11"/>
        <v>7</v>
      </c>
      <c r="X42" s="2">
        <f t="shared" si="11"/>
        <v>8</v>
      </c>
      <c r="Y42" s="2">
        <f t="shared" si="11"/>
        <v>9</v>
      </c>
      <c r="Z42" s="2">
        <f t="shared" si="11"/>
        <v>10</v>
      </c>
      <c r="AA42" s="2">
        <f t="shared" si="11"/>
        <v>11</v>
      </c>
      <c r="AB42" s="2">
        <f t="shared" si="11"/>
        <v>12</v>
      </c>
      <c r="AC42" s="2">
        <f t="shared" si="11"/>
        <v>1</v>
      </c>
      <c r="AD42" s="2">
        <f t="shared" si="11"/>
        <v>2</v>
      </c>
      <c r="AE42" s="2">
        <f t="shared" si="11"/>
        <v>3</v>
      </c>
      <c r="AF42" s="2">
        <f t="shared" si="11"/>
        <v>4</v>
      </c>
      <c r="AG42" s="2">
        <f t="shared" si="11"/>
        <v>5</v>
      </c>
      <c r="AH42" s="2">
        <f t="shared" si="11"/>
        <v>6</v>
      </c>
      <c r="AI42" s="2">
        <f t="shared" si="11"/>
        <v>7</v>
      </c>
      <c r="AJ42" s="2">
        <f t="shared" si="11"/>
        <v>8</v>
      </c>
      <c r="AK42" s="2">
        <f t="shared" ref="AK42:BL42" si="12">period_of_year(AK41,$D$42)</f>
        <v>9</v>
      </c>
      <c r="AL42" s="2">
        <f t="shared" si="12"/>
        <v>10</v>
      </c>
      <c r="AM42" s="2">
        <f t="shared" si="12"/>
        <v>11</v>
      </c>
      <c r="AN42" s="2">
        <f t="shared" si="12"/>
        <v>12</v>
      </c>
      <c r="AO42" s="2">
        <f t="shared" si="12"/>
        <v>1</v>
      </c>
      <c r="AP42" s="2">
        <f t="shared" si="12"/>
        <v>2</v>
      </c>
      <c r="AQ42" s="2">
        <f t="shared" si="12"/>
        <v>3</v>
      </c>
      <c r="AR42" s="2">
        <f t="shared" si="12"/>
        <v>4</v>
      </c>
      <c r="AS42" s="2">
        <f t="shared" si="12"/>
        <v>5</v>
      </c>
      <c r="AT42" s="2">
        <f t="shared" si="12"/>
        <v>6</v>
      </c>
      <c r="AU42" s="2">
        <f t="shared" si="12"/>
        <v>7</v>
      </c>
      <c r="AV42" s="2">
        <f t="shared" si="12"/>
        <v>8</v>
      </c>
      <c r="AW42" s="2">
        <f t="shared" si="12"/>
        <v>9</v>
      </c>
      <c r="AX42" s="2">
        <f t="shared" si="12"/>
        <v>10</v>
      </c>
      <c r="AY42" s="2">
        <f t="shared" si="12"/>
        <v>11</v>
      </c>
      <c r="AZ42" s="2">
        <f t="shared" si="12"/>
        <v>12</v>
      </c>
      <c r="BA42" s="2">
        <f t="shared" si="12"/>
        <v>1</v>
      </c>
      <c r="BB42" s="2">
        <f t="shared" si="12"/>
        <v>2</v>
      </c>
      <c r="BC42" s="2">
        <f t="shared" si="12"/>
        <v>3</v>
      </c>
      <c r="BD42" s="2">
        <f t="shared" si="12"/>
        <v>4</v>
      </c>
      <c r="BE42" s="2">
        <f t="shared" si="12"/>
        <v>5</v>
      </c>
      <c r="BF42" s="2">
        <f t="shared" si="12"/>
        <v>6</v>
      </c>
      <c r="BG42" s="2">
        <f t="shared" si="12"/>
        <v>7</v>
      </c>
      <c r="BH42" s="2">
        <f t="shared" si="12"/>
        <v>8</v>
      </c>
      <c r="BI42" s="2">
        <f t="shared" si="12"/>
        <v>9</v>
      </c>
      <c r="BJ42" s="2">
        <f t="shared" si="12"/>
        <v>10</v>
      </c>
      <c r="BK42" s="2">
        <f t="shared" si="12"/>
        <v>11</v>
      </c>
      <c r="BL42" s="2">
        <f t="shared" si="12"/>
        <v>12</v>
      </c>
    </row>
    <row r="43" spans="1:64" x14ac:dyDescent="0.35">
      <c r="C43" s="2" t="s">
        <v>30</v>
      </c>
      <c r="E43" s="2">
        <f t="shared" ref="E43:AJ43" si="13">ROUNDUP(E41/$D$42,0)</f>
        <v>1</v>
      </c>
      <c r="F43" s="2">
        <f t="shared" si="13"/>
        <v>1</v>
      </c>
      <c r="G43" s="2">
        <f t="shared" si="13"/>
        <v>1</v>
      </c>
      <c r="H43" s="2">
        <f t="shared" si="13"/>
        <v>1</v>
      </c>
      <c r="I43" s="2">
        <f t="shared" si="13"/>
        <v>1</v>
      </c>
      <c r="J43" s="2">
        <f t="shared" si="13"/>
        <v>1</v>
      </c>
      <c r="K43" s="2">
        <f t="shared" si="13"/>
        <v>1</v>
      </c>
      <c r="L43" s="2">
        <f t="shared" si="13"/>
        <v>1</v>
      </c>
      <c r="M43" s="2">
        <f t="shared" si="13"/>
        <v>1</v>
      </c>
      <c r="N43" s="2">
        <f t="shared" si="13"/>
        <v>1</v>
      </c>
      <c r="O43" s="2">
        <f t="shared" si="13"/>
        <v>1</v>
      </c>
      <c r="P43" s="2">
        <f t="shared" si="13"/>
        <v>1</v>
      </c>
      <c r="Q43" s="2">
        <f t="shared" si="13"/>
        <v>2</v>
      </c>
      <c r="R43" s="2">
        <f t="shared" si="13"/>
        <v>2</v>
      </c>
      <c r="S43" s="2">
        <f t="shared" si="13"/>
        <v>2</v>
      </c>
      <c r="T43" s="2">
        <f t="shared" si="13"/>
        <v>2</v>
      </c>
      <c r="U43" s="2">
        <f t="shared" si="13"/>
        <v>2</v>
      </c>
      <c r="V43" s="2">
        <f t="shared" si="13"/>
        <v>2</v>
      </c>
      <c r="W43" s="2">
        <f t="shared" si="13"/>
        <v>2</v>
      </c>
      <c r="X43" s="2">
        <f t="shared" si="13"/>
        <v>2</v>
      </c>
      <c r="Y43" s="2">
        <f t="shared" si="13"/>
        <v>2</v>
      </c>
      <c r="Z43" s="2">
        <f t="shared" si="13"/>
        <v>2</v>
      </c>
      <c r="AA43" s="2">
        <f t="shared" si="13"/>
        <v>2</v>
      </c>
      <c r="AB43" s="2">
        <f t="shared" si="13"/>
        <v>2</v>
      </c>
      <c r="AC43" s="2">
        <f t="shared" si="13"/>
        <v>3</v>
      </c>
      <c r="AD43" s="2">
        <f t="shared" si="13"/>
        <v>3</v>
      </c>
      <c r="AE43" s="2">
        <f t="shared" si="13"/>
        <v>3</v>
      </c>
      <c r="AF43" s="2">
        <f t="shared" si="13"/>
        <v>3</v>
      </c>
      <c r="AG43" s="2">
        <f t="shared" si="13"/>
        <v>3</v>
      </c>
      <c r="AH43" s="2">
        <f t="shared" si="13"/>
        <v>3</v>
      </c>
      <c r="AI43" s="2">
        <f t="shared" si="13"/>
        <v>3</v>
      </c>
      <c r="AJ43" s="2">
        <f t="shared" si="13"/>
        <v>3</v>
      </c>
      <c r="AK43" s="2">
        <f t="shared" ref="AK43:BL43" si="14">ROUNDUP(AK41/$D$42,0)</f>
        <v>3</v>
      </c>
      <c r="AL43" s="2">
        <f t="shared" si="14"/>
        <v>3</v>
      </c>
      <c r="AM43" s="2">
        <f t="shared" si="14"/>
        <v>3</v>
      </c>
      <c r="AN43" s="2">
        <f t="shared" si="14"/>
        <v>3</v>
      </c>
      <c r="AO43" s="2">
        <f t="shared" si="14"/>
        <v>4</v>
      </c>
      <c r="AP43" s="2">
        <f t="shared" si="14"/>
        <v>4</v>
      </c>
      <c r="AQ43" s="2">
        <f t="shared" si="14"/>
        <v>4</v>
      </c>
      <c r="AR43" s="2">
        <f t="shared" si="14"/>
        <v>4</v>
      </c>
      <c r="AS43" s="2">
        <f t="shared" si="14"/>
        <v>4</v>
      </c>
      <c r="AT43" s="2">
        <f t="shared" si="14"/>
        <v>4</v>
      </c>
      <c r="AU43" s="2">
        <f t="shared" si="14"/>
        <v>4</v>
      </c>
      <c r="AV43" s="2">
        <f t="shared" si="14"/>
        <v>4</v>
      </c>
      <c r="AW43" s="2">
        <f t="shared" si="14"/>
        <v>4</v>
      </c>
      <c r="AX43" s="2">
        <f t="shared" si="14"/>
        <v>4</v>
      </c>
      <c r="AY43" s="2">
        <f t="shared" si="14"/>
        <v>4</v>
      </c>
      <c r="AZ43" s="2">
        <f t="shared" si="14"/>
        <v>4</v>
      </c>
      <c r="BA43" s="2">
        <f t="shared" si="14"/>
        <v>5</v>
      </c>
      <c r="BB43" s="2">
        <f t="shared" si="14"/>
        <v>5</v>
      </c>
      <c r="BC43" s="2">
        <f t="shared" si="14"/>
        <v>5</v>
      </c>
      <c r="BD43" s="2">
        <f t="shared" si="14"/>
        <v>5</v>
      </c>
      <c r="BE43" s="2">
        <f t="shared" si="14"/>
        <v>5</v>
      </c>
      <c r="BF43" s="2">
        <f t="shared" si="14"/>
        <v>5</v>
      </c>
      <c r="BG43" s="2">
        <f t="shared" si="14"/>
        <v>5</v>
      </c>
      <c r="BH43" s="2">
        <f t="shared" si="14"/>
        <v>5</v>
      </c>
      <c r="BI43" s="2">
        <f t="shared" si="14"/>
        <v>5</v>
      </c>
      <c r="BJ43" s="2">
        <f t="shared" si="14"/>
        <v>5</v>
      </c>
      <c r="BK43" s="2">
        <f t="shared" si="14"/>
        <v>5</v>
      </c>
      <c r="BL43" s="2">
        <f t="shared" si="14"/>
        <v>5</v>
      </c>
    </row>
    <row r="45" spans="1:64" x14ac:dyDescent="0.35">
      <c r="C45" s="2" t="s">
        <v>470</v>
      </c>
      <c r="E45" s="4">
        <f t="shared" ref="E45:AJ45" si="15">LOOKUP(E43,6:6,9:9)/$D$42</f>
        <v>8.3333333333333339</v>
      </c>
      <c r="F45" s="4">
        <f t="shared" si="15"/>
        <v>8.3333333333333339</v>
      </c>
      <c r="G45" s="4">
        <f t="shared" si="15"/>
        <v>8.3333333333333339</v>
      </c>
      <c r="H45" s="4">
        <f t="shared" si="15"/>
        <v>8.3333333333333339</v>
      </c>
      <c r="I45" s="4">
        <f t="shared" si="15"/>
        <v>8.3333333333333339</v>
      </c>
      <c r="J45" s="4">
        <f t="shared" si="15"/>
        <v>8.3333333333333339</v>
      </c>
      <c r="K45" s="4">
        <f t="shared" si="15"/>
        <v>8.3333333333333339</v>
      </c>
      <c r="L45" s="4">
        <f t="shared" si="15"/>
        <v>8.3333333333333339</v>
      </c>
      <c r="M45" s="4">
        <f t="shared" si="15"/>
        <v>8.3333333333333339</v>
      </c>
      <c r="N45" s="4">
        <f t="shared" si="15"/>
        <v>8.3333333333333339</v>
      </c>
      <c r="O45" s="4">
        <f t="shared" si="15"/>
        <v>8.3333333333333339</v>
      </c>
      <c r="P45" s="4">
        <f t="shared" si="15"/>
        <v>8.3333333333333339</v>
      </c>
      <c r="Q45" s="4">
        <f t="shared" si="15"/>
        <v>8.8333333333333339</v>
      </c>
      <c r="R45" s="4">
        <f t="shared" si="15"/>
        <v>8.8333333333333339</v>
      </c>
      <c r="S45" s="4">
        <f t="shared" si="15"/>
        <v>8.8333333333333339</v>
      </c>
      <c r="T45" s="4">
        <f t="shared" si="15"/>
        <v>8.8333333333333339</v>
      </c>
      <c r="U45" s="4">
        <f t="shared" si="15"/>
        <v>8.8333333333333339</v>
      </c>
      <c r="V45" s="4">
        <f t="shared" si="15"/>
        <v>8.8333333333333339</v>
      </c>
      <c r="W45" s="4">
        <f t="shared" si="15"/>
        <v>8.8333333333333339</v>
      </c>
      <c r="X45" s="4">
        <f t="shared" si="15"/>
        <v>8.8333333333333339</v>
      </c>
      <c r="Y45" s="4">
        <f t="shared" si="15"/>
        <v>8.8333333333333339</v>
      </c>
      <c r="Z45" s="4">
        <f t="shared" si="15"/>
        <v>8.8333333333333339</v>
      </c>
      <c r="AA45" s="4">
        <f t="shared" si="15"/>
        <v>8.8333333333333339</v>
      </c>
      <c r="AB45" s="4">
        <f t="shared" si="15"/>
        <v>8.8333333333333339</v>
      </c>
      <c r="AC45" s="4">
        <f t="shared" si="15"/>
        <v>9.3633333333333333</v>
      </c>
      <c r="AD45" s="4">
        <f t="shared" si="15"/>
        <v>9.3633333333333333</v>
      </c>
      <c r="AE45" s="4">
        <f t="shared" si="15"/>
        <v>9.3633333333333333</v>
      </c>
      <c r="AF45" s="4">
        <f t="shared" si="15"/>
        <v>9.3633333333333333</v>
      </c>
      <c r="AG45" s="4">
        <f t="shared" si="15"/>
        <v>9.3633333333333333</v>
      </c>
      <c r="AH45" s="4">
        <f t="shared" si="15"/>
        <v>9.3633333333333333</v>
      </c>
      <c r="AI45" s="4">
        <f t="shared" si="15"/>
        <v>9.3633333333333333</v>
      </c>
      <c r="AJ45" s="4">
        <f t="shared" si="15"/>
        <v>9.3633333333333333</v>
      </c>
      <c r="AK45" s="4">
        <f t="shared" ref="AK45:BL45" si="16">LOOKUP(AK43,6:6,9:9)/$D$42</f>
        <v>9.3633333333333333</v>
      </c>
      <c r="AL45" s="4">
        <f t="shared" si="16"/>
        <v>9.3633333333333333</v>
      </c>
      <c r="AM45" s="4">
        <f t="shared" si="16"/>
        <v>9.3633333333333333</v>
      </c>
      <c r="AN45" s="4">
        <f t="shared" si="16"/>
        <v>9.3633333333333333</v>
      </c>
      <c r="AO45" s="4">
        <f t="shared" si="16"/>
        <v>9.9251333333333331</v>
      </c>
      <c r="AP45" s="4">
        <f t="shared" si="16"/>
        <v>9.9251333333333331</v>
      </c>
      <c r="AQ45" s="4">
        <f t="shared" si="16"/>
        <v>9.9251333333333331</v>
      </c>
      <c r="AR45" s="4">
        <f t="shared" si="16"/>
        <v>9.9251333333333331</v>
      </c>
      <c r="AS45" s="4">
        <f t="shared" si="16"/>
        <v>9.9251333333333331</v>
      </c>
      <c r="AT45" s="4">
        <f t="shared" si="16"/>
        <v>9.9251333333333331</v>
      </c>
      <c r="AU45" s="4">
        <f t="shared" si="16"/>
        <v>9.9251333333333331</v>
      </c>
      <c r="AV45" s="4">
        <f t="shared" si="16"/>
        <v>9.9251333333333331</v>
      </c>
      <c r="AW45" s="4">
        <f t="shared" si="16"/>
        <v>9.9251333333333331</v>
      </c>
      <c r="AX45" s="4">
        <f t="shared" si="16"/>
        <v>9.9251333333333331</v>
      </c>
      <c r="AY45" s="4">
        <f t="shared" si="16"/>
        <v>9.9251333333333331</v>
      </c>
      <c r="AZ45" s="4">
        <f t="shared" si="16"/>
        <v>9.9251333333333331</v>
      </c>
      <c r="BA45" s="4">
        <f t="shared" si="16"/>
        <v>10.520641333333334</v>
      </c>
      <c r="BB45" s="4">
        <f t="shared" si="16"/>
        <v>10.520641333333334</v>
      </c>
      <c r="BC45" s="4">
        <f t="shared" si="16"/>
        <v>10.520641333333334</v>
      </c>
      <c r="BD45" s="4">
        <f t="shared" si="16"/>
        <v>10.520641333333334</v>
      </c>
      <c r="BE45" s="4">
        <f t="shared" si="16"/>
        <v>10.520641333333334</v>
      </c>
      <c r="BF45" s="4">
        <f t="shared" si="16"/>
        <v>10.520641333333334</v>
      </c>
      <c r="BG45" s="4">
        <f t="shared" si="16"/>
        <v>10.520641333333334</v>
      </c>
      <c r="BH45" s="4">
        <f t="shared" si="16"/>
        <v>10.520641333333334</v>
      </c>
      <c r="BI45" s="4">
        <f t="shared" si="16"/>
        <v>10.520641333333334</v>
      </c>
      <c r="BJ45" s="4">
        <f t="shared" si="16"/>
        <v>10.520641333333334</v>
      </c>
      <c r="BK45" s="4">
        <f t="shared" si="16"/>
        <v>10.520641333333334</v>
      </c>
      <c r="BL45" s="4">
        <f t="shared" si="16"/>
        <v>10.520641333333334</v>
      </c>
    </row>
    <row r="46" spans="1:64" x14ac:dyDescent="0.35">
      <c r="C46" s="2" t="s">
        <v>471</v>
      </c>
      <c r="E46" s="4">
        <f t="shared" ref="E46:AJ46" si="17">LOOKUP(E43,6:6,10:10)</f>
        <v>1.1000000000000001</v>
      </c>
      <c r="F46" s="4">
        <f t="shared" si="17"/>
        <v>1.1000000000000001</v>
      </c>
      <c r="G46" s="4">
        <f t="shared" si="17"/>
        <v>1.1000000000000001</v>
      </c>
      <c r="H46" s="4">
        <f t="shared" si="17"/>
        <v>1.1000000000000001</v>
      </c>
      <c r="I46" s="4">
        <f t="shared" si="17"/>
        <v>1.1000000000000001</v>
      </c>
      <c r="J46" s="4">
        <f t="shared" si="17"/>
        <v>1.1000000000000001</v>
      </c>
      <c r="K46" s="4">
        <f t="shared" si="17"/>
        <v>1.1000000000000001</v>
      </c>
      <c r="L46" s="4">
        <f t="shared" si="17"/>
        <v>1.1000000000000001</v>
      </c>
      <c r="M46" s="4">
        <f t="shared" si="17"/>
        <v>1.1000000000000001</v>
      </c>
      <c r="N46" s="4">
        <f t="shared" si="17"/>
        <v>1.1000000000000001</v>
      </c>
      <c r="O46" s="4">
        <f t="shared" si="17"/>
        <v>1.1000000000000001</v>
      </c>
      <c r="P46" s="4">
        <f t="shared" si="17"/>
        <v>1.1000000000000001</v>
      </c>
      <c r="Q46" s="4">
        <f t="shared" si="17"/>
        <v>1.2</v>
      </c>
      <c r="R46" s="4">
        <f t="shared" si="17"/>
        <v>1.2</v>
      </c>
      <c r="S46" s="4">
        <f t="shared" si="17"/>
        <v>1.2</v>
      </c>
      <c r="T46" s="4">
        <f t="shared" si="17"/>
        <v>1.2</v>
      </c>
      <c r="U46" s="4">
        <f t="shared" si="17"/>
        <v>1.2</v>
      </c>
      <c r="V46" s="4">
        <f t="shared" si="17"/>
        <v>1.2</v>
      </c>
      <c r="W46" s="4">
        <f t="shared" si="17"/>
        <v>1.2</v>
      </c>
      <c r="X46" s="4">
        <f t="shared" si="17"/>
        <v>1.2</v>
      </c>
      <c r="Y46" s="4">
        <f t="shared" si="17"/>
        <v>1.2</v>
      </c>
      <c r="Z46" s="4">
        <f t="shared" si="17"/>
        <v>1.2</v>
      </c>
      <c r="AA46" s="4">
        <f t="shared" si="17"/>
        <v>1.2</v>
      </c>
      <c r="AB46" s="4">
        <f t="shared" si="17"/>
        <v>1.2</v>
      </c>
      <c r="AC46" s="4">
        <f t="shared" si="17"/>
        <v>1.4</v>
      </c>
      <c r="AD46" s="4">
        <f t="shared" si="17"/>
        <v>1.4</v>
      </c>
      <c r="AE46" s="4">
        <f t="shared" si="17"/>
        <v>1.4</v>
      </c>
      <c r="AF46" s="4">
        <f t="shared" si="17"/>
        <v>1.4</v>
      </c>
      <c r="AG46" s="4">
        <f t="shared" si="17"/>
        <v>1.4</v>
      </c>
      <c r="AH46" s="4">
        <f t="shared" si="17"/>
        <v>1.4</v>
      </c>
      <c r="AI46" s="4">
        <f t="shared" si="17"/>
        <v>1.4</v>
      </c>
      <c r="AJ46" s="4">
        <f t="shared" si="17"/>
        <v>1.4</v>
      </c>
      <c r="AK46" s="4">
        <f t="shared" ref="AK46:BL46" si="18">LOOKUP(AK43,6:6,10:10)</f>
        <v>1.4</v>
      </c>
      <c r="AL46" s="4">
        <f t="shared" si="18"/>
        <v>1.4</v>
      </c>
      <c r="AM46" s="4">
        <f t="shared" si="18"/>
        <v>1.4</v>
      </c>
      <c r="AN46" s="4">
        <f t="shared" si="18"/>
        <v>1.4</v>
      </c>
      <c r="AO46" s="4">
        <f t="shared" si="18"/>
        <v>1.5</v>
      </c>
      <c r="AP46" s="4">
        <f t="shared" si="18"/>
        <v>1.5</v>
      </c>
      <c r="AQ46" s="4">
        <f t="shared" si="18"/>
        <v>1.5</v>
      </c>
      <c r="AR46" s="4">
        <f t="shared" si="18"/>
        <v>1.5</v>
      </c>
      <c r="AS46" s="4">
        <f t="shared" si="18"/>
        <v>1.5</v>
      </c>
      <c r="AT46" s="4">
        <f t="shared" si="18"/>
        <v>1.5</v>
      </c>
      <c r="AU46" s="4">
        <f t="shared" si="18"/>
        <v>1.5</v>
      </c>
      <c r="AV46" s="4">
        <f t="shared" si="18"/>
        <v>1.5</v>
      </c>
      <c r="AW46" s="4">
        <f t="shared" si="18"/>
        <v>1.5</v>
      </c>
      <c r="AX46" s="4">
        <f t="shared" si="18"/>
        <v>1.5</v>
      </c>
      <c r="AY46" s="4">
        <f t="shared" si="18"/>
        <v>1.5</v>
      </c>
      <c r="AZ46" s="4">
        <f t="shared" si="18"/>
        <v>1.5</v>
      </c>
      <c r="BA46" s="4">
        <f t="shared" si="18"/>
        <v>1.6</v>
      </c>
      <c r="BB46" s="4">
        <f t="shared" si="18"/>
        <v>1.6</v>
      </c>
      <c r="BC46" s="4">
        <f t="shared" si="18"/>
        <v>1.6</v>
      </c>
      <c r="BD46" s="4">
        <f t="shared" si="18"/>
        <v>1.6</v>
      </c>
      <c r="BE46" s="4">
        <f t="shared" si="18"/>
        <v>1.6</v>
      </c>
      <c r="BF46" s="4">
        <f t="shared" si="18"/>
        <v>1.6</v>
      </c>
      <c r="BG46" s="4">
        <f t="shared" si="18"/>
        <v>1.6</v>
      </c>
      <c r="BH46" s="4">
        <f t="shared" si="18"/>
        <v>1.6</v>
      </c>
      <c r="BI46" s="4">
        <f t="shared" si="18"/>
        <v>1.6</v>
      </c>
      <c r="BJ46" s="4">
        <f t="shared" si="18"/>
        <v>1.6</v>
      </c>
      <c r="BK46" s="4">
        <f t="shared" si="18"/>
        <v>1.6</v>
      </c>
      <c r="BL46" s="4">
        <f t="shared" si="18"/>
        <v>1.6</v>
      </c>
    </row>
    <row r="47" spans="1:64" x14ac:dyDescent="0.35">
      <c r="C47" s="2" t="s">
        <v>23</v>
      </c>
      <c r="E47" s="4">
        <f t="shared" ref="E47:AJ47" si="19">E45/E46</f>
        <v>7.5757575757575752</v>
      </c>
      <c r="F47" s="4">
        <f t="shared" si="19"/>
        <v>7.5757575757575752</v>
      </c>
      <c r="G47" s="4">
        <f t="shared" si="19"/>
        <v>7.5757575757575752</v>
      </c>
      <c r="H47" s="4">
        <f t="shared" si="19"/>
        <v>7.5757575757575752</v>
      </c>
      <c r="I47" s="4">
        <f t="shared" si="19"/>
        <v>7.5757575757575752</v>
      </c>
      <c r="J47" s="4">
        <f t="shared" si="19"/>
        <v>7.5757575757575752</v>
      </c>
      <c r="K47" s="4">
        <f t="shared" si="19"/>
        <v>7.5757575757575752</v>
      </c>
      <c r="L47" s="4">
        <f t="shared" si="19"/>
        <v>7.5757575757575752</v>
      </c>
      <c r="M47" s="4">
        <f t="shared" si="19"/>
        <v>7.5757575757575752</v>
      </c>
      <c r="N47" s="4">
        <f t="shared" si="19"/>
        <v>7.5757575757575752</v>
      </c>
      <c r="O47" s="4">
        <f t="shared" si="19"/>
        <v>7.5757575757575752</v>
      </c>
      <c r="P47" s="4">
        <f t="shared" si="19"/>
        <v>7.5757575757575752</v>
      </c>
      <c r="Q47" s="4">
        <f t="shared" si="19"/>
        <v>7.3611111111111116</v>
      </c>
      <c r="R47" s="4">
        <f t="shared" si="19"/>
        <v>7.3611111111111116</v>
      </c>
      <c r="S47" s="4">
        <f t="shared" si="19"/>
        <v>7.3611111111111116</v>
      </c>
      <c r="T47" s="4">
        <f t="shared" si="19"/>
        <v>7.3611111111111116</v>
      </c>
      <c r="U47" s="4">
        <f t="shared" si="19"/>
        <v>7.3611111111111116</v>
      </c>
      <c r="V47" s="4">
        <f t="shared" si="19"/>
        <v>7.3611111111111116</v>
      </c>
      <c r="W47" s="4">
        <f t="shared" si="19"/>
        <v>7.3611111111111116</v>
      </c>
      <c r="X47" s="4">
        <f t="shared" si="19"/>
        <v>7.3611111111111116</v>
      </c>
      <c r="Y47" s="4">
        <f t="shared" si="19"/>
        <v>7.3611111111111116</v>
      </c>
      <c r="Z47" s="4">
        <f t="shared" si="19"/>
        <v>7.3611111111111116</v>
      </c>
      <c r="AA47" s="4">
        <f t="shared" si="19"/>
        <v>7.3611111111111116</v>
      </c>
      <c r="AB47" s="4">
        <f t="shared" si="19"/>
        <v>7.3611111111111116</v>
      </c>
      <c r="AC47" s="4">
        <f t="shared" si="19"/>
        <v>6.6880952380952383</v>
      </c>
      <c r="AD47" s="4">
        <f t="shared" si="19"/>
        <v>6.6880952380952383</v>
      </c>
      <c r="AE47" s="4">
        <f t="shared" si="19"/>
        <v>6.6880952380952383</v>
      </c>
      <c r="AF47" s="4">
        <f t="shared" si="19"/>
        <v>6.6880952380952383</v>
      </c>
      <c r="AG47" s="4">
        <f t="shared" si="19"/>
        <v>6.6880952380952383</v>
      </c>
      <c r="AH47" s="4">
        <f t="shared" si="19"/>
        <v>6.6880952380952383</v>
      </c>
      <c r="AI47" s="4">
        <f t="shared" si="19"/>
        <v>6.6880952380952383</v>
      </c>
      <c r="AJ47" s="4">
        <f t="shared" si="19"/>
        <v>6.6880952380952383</v>
      </c>
      <c r="AK47" s="4">
        <f t="shared" ref="AK47:BL47" si="20">AK45/AK46</f>
        <v>6.6880952380952383</v>
      </c>
      <c r="AL47" s="4">
        <f t="shared" si="20"/>
        <v>6.6880952380952383</v>
      </c>
      <c r="AM47" s="4">
        <f t="shared" si="20"/>
        <v>6.6880952380952383</v>
      </c>
      <c r="AN47" s="4">
        <f t="shared" si="20"/>
        <v>6.6880952380952383</v>
      </c>
      <c r="AO47" s="4">
        <f t="shared" si="20"/>
        <v>6.6167555555555557</v>
      </c>
      <c r="AP47" s="4">
        <f t="shared" si="20"/>
        <v>6.6167555555555557</v>
      </c>
      <c r="AQ47" s="4">
        <f t="shared" si="20"/>
        <v>6.6167555555555557</v>
      </c>
      <c r="AR47" s="4">
        <f t="shared" si="20"/>
        <v>6.6167555555555557</v>
      </c>
      <c r="AS47" s="4">
        <f t="shared" si="20"/>
        <v>6.6167555555555557</v>
      </c>
      <c r="AT47" s="4">
        <f t="shared" si="20"/>
        <v>6.6167555555555557</v>
      </c>
      <c r="AU47" s="4">
        <f t="shared" si="20"/>
        <v>6.6167555555555557</v>
      </c>
      <c r="AV47" s="4">
        <f t="shared" si="20"/>
        <v>6.6167555555555557</v>
      </c>
      <c r="AW47" s="4">
        <f t="shared" si="20"/>
        <v>6.6167555555555557</v>
      </c>
      <c r="AX47" s="4">
        <f t="shared" si="20"/>
        <v>6.6167555555555557</v>
      </c>
      <c r="AY47" s="4">
        <f t="shared" si="20"/>
        <v>6.6167555555555557</v>
      </c>
      <c r="AZ47" s="4">
        <f t="shared" si="20"/>
        <v>6.6167555555555557</v>
      </c>
      <c r="BA47" s="4">
        <f t="shared" si="20"/>
        <v>6.5754008333333331</v>
      </c>
      <c r="BB47" s="4">
        <f t="shared" si="20"/>
        <v>6.5754008333333331</v>
      </c>
      <c r="BC47" s="4">
        <f t="shared" si="20"/>
        <v>6.5754008333333331</v>
      </c>
      <c r="BD47" s="4">
        <f t="shared" si="20"/>
        <v>6.5754008333333331</v>
      </c>
      <c r="BE47" s="4">
        <f t="shared" si="20"/>
        <v>6.5754008333333331</v>
      </c>
      <c r="BF47" s="4">
        <f t="shared" si="20"/>
        <v>6.5754008333333331</v>
      </c>
      <c r="BG47" s="4">
        <f t="shared" si="20"/>
        <v>6.5754008333333331</v>
      </c>
      <c r="BH47" s="4">
        <f t="shared" si="20"/>
        <v>6.5754008333333331</v>
      </c>
      <c r="BI47" s="4">
        <f t="shared" si="20"/>
        <v>6.5754008333333331</v>
      </c>
      <c r="BJ47" s="4">
        <f t="shared" si="20"/>
        <v>6.5754008333333331</v>
      </c>
      <c r="BK47" s="4">
        <f t="shared" si="20"/>
        <v>6.5754008333333331</v>
      </c>
      <c r="BL47" s="4">
        <f t="shared" si="20"/>
        <v>6.5754008333333331</v>
      </c>
    </row>
    <row r="48" spans="1:64" x14ac:dyDescent="0.35">
      <c r="C48" s="2" t="s">
        <v>110</v>
      </c>
      <c r="E48" s="20">
        <f t="shared" ref="E48:AJ48" si="21">LOOKUP(E43,6:6,12:12)/$D$42</f>
        <v>4.1666666666666666E-3</v>
      </c>
      <c r="F48" s="20">
        <f t="shared" si="21"/>
        <v>4.1666666666666666E-3</v>
      </c>
      <c r="G48" s="20">
        <f t="shared" si="21"/>
        <v>4.1666666666666666E-3</v>
      </c>
      <c r="H48" s="20">
        <f t="shared" si="21"/>
        <v>4.1666666666666666E-3</v>
      </c>
      <c r="I48" s="20">
        <f t="shared" si="21"/>
        <v>4.1666666666666666E-3</v>
      </c>
      <c r="J48" s="20">
        <f t="shared" si="21"/>
        <v>4.1666666666666666E-3</v>
      </c>
      <c r="K48" s="20">
        <f t="shared" si="21"/>
        <v>4.1666666666666666E-3</v>
      </c>
      <c r="L48" s="20">
        <f t="shared" si="21"/>
        <v>4.1666666666666666E-3</v>
      </c>
      <c r="M48" s="20">
        <f t="shared" si="21"/>
        <v>4.1666666666666666E-3</v>
      </c>
      <c r="N48" s="20">
        <f t="shared" si="21"/>
        <v>4.1666666666666666E-3</v>
      </c>
      <c r="O48" s="20">
        <f t="shared" si="21"/>
        <v>4.1666666666666666E-3</v>
      </c>
      <c r="P48" s="20">
        <f t="shared" si="21"/>
        <v>4.1666666666666666E-3</v>
      </c>
      <c r="Q48" s="20">
        <f t="shared" si="21"/>
        <v>4.1666666666666666E-3</v>
      </c>
      <c r="R48" s="20">
        <f t="shared" si="21"/>
        <v>4.1666666666666666E-3</v>
      </c>
      <c r="S48" s="20">
        <f t="shared" si="21"/>
        <v>4.1666666666666666E-3</v>
      </c>
      <c r="T48" s="20">
        <f t="shared" si="21"/>
        <v>4.1666666666666666E-3</v>
      </c>
      <c r="U48" s="20">
        <f t="shared" si="21"/>
        <v>4.1666666666666666E-3</v>
      </c>
      <c r="V48" s="20">
        <f t="shared" si="21"/>
        <v>4.1666666666666666E-3</v>
      </c>
      <c r="W48" s="20">
        <f t="shared" si="21"/>
        <v>4.1666666666666666E-3</v>
      </c>
      <c r="X48" s="20">
        <f t="shared" si="21"/>
        <v>4.1666666666666666E-3</v>
      </c>
      <c r="Y48" s="20">
        <f t="shared" si="21"/>
        <v>4.1666666666666666E-3</v>
      </c>
      <c r="Z48" s="20">
        <f t="shared" si="21"/>
        <v>4.1666666666666666E-3</v>
      </c>
      <c r="AA48" s="20">
        <f t="shared" si="21"/>
        <v>4.1666666666666666E-3</v>
      </c>
      <c r="AB48" s="20">
        <f t="shared" si="21"/>
        <v>4.1666666666666666E-3</v>
      </c>
      <c r="AC48" s="20">
        <f t="shared" si="21"/>
        <v>4.1666666666666666E-3</v>
      </c>
      <c r="AD48" s="20">
        <f t="shared" si="21"/>
        <v>4.1666666666666666E-3</v>
      </c>
      <c r="AE48" s="20">
        <f t="shared" si="21"/>
        <v>4.1666666666666666E-3</v>
      </c>
      <c r="AF48" s="20">
        <f t="shared" si="21"/>
        <v>4.1666666666666666E-3</v>
      </c>
      <c r="AG48" s="20">
        <f t="shared" si="21"/>
        <v>4.1666666666666666E-3</v>
      </c>
      <c r="AH48" s="20">
        <f t="shared" si="21"/>
        <v>4.1666666666666666E-3</v>
      </c>
      <c r="AI48" s="20">
        <f t="shared" si="21"/>
        <v>4.1666666666666666E-3</v>
      </c>
      <c r="AJ48" s="20">
        <f t="shared" si="21"/>
        <v>4.1666666666666666E-3</v>
      </c>
      <c r="AK48" s="20">
        <f t="shared" ref="AK48:BL48" si="22">LOOKUP(AK43,6:6,12:12)/$D$42</f>
        <v>4.1666666666666666E-3</v>
      </c>
      <c r="AL48" s="20">
        <f t="shared" si="22"/>
        <v>4.1666666666666666E-3</v>
      </c>
      <c r="AM48" s="20">
        <f t="shared" si="22"/>
        <v>4.1666666666666666E-3</v>
      </c>
      <c r="AN48" s="20">
        <f t="shared" si="22"/>
        <v>4.1666666666666666E-3</v>
      </c>
      <c r="AO48" s="20">
        <f t="shared" si="22"/>
        <v>4.1666666666666666E-3</v>
      </c>
      <c r="AP48" s="20">
        <f t="shared" si="22"/>
        <v>4.1666666666666666E-3</v>
      </c>
      <c r="AQ48" s="20">
        <f t="shared" si="22"/>
        <v>4.1666666666666666E-3</v>
      </c>
      <c r="AR48" s="20">
        <f t="shared" si="22"/>
        <v>4.1666666666666666E-3</v>
      </c>
      <c r="AS48" s="20">
        <f t="shared" si="22"/>
        <v>4.1666666666666666E-3</v>
      </c>
      <c r="AT48" s="20">
        <f t="shared" si="22"/>
        <v>4.1666666666666666E-3</v>
      </c>
      <c r="AU48" s="20">
        <f t="shared" si="22"/>
        <v>4.1666666666666666E-3</v>
      </c>
      <c r="AV48" s="20">
        <f t="shared" si="22"/>
        <v>4.1666666666666666E-3</v>
      </c>
      <c r="AW48" s="20">
        <f t="shared" si="22"/>
        <v>4.1666666666666666E-3</v>
      </c>
      <c r="AX48" s="20">
        <f t="shared" si="22"/>
        <v>4.1666666666666666E-3</v>
      </c>
      <c r="AY48" s="20">
        <f t="shared" si="22"/>
        <v>4.1666666666666666E-3</v>
      </c>
      <c r="AZ48" s="20">
        <f t="shared" si="22"/>
        <v>4.1666666666666666E-3</v>
      </c>
      <c r="BA48" s="20">
        <f t="shared" si="22"/>
        <v>4.1666666666666666E-3</v>
      </c>
      <c r="BB48" s="20">
        <f t="shared" si="22"/>
        <v>4.1666666666666666E-3</v>
      </c>
      <c r="BC48" s="20">
        <f t="shared" si="22"/>
        <v>4.1666666666666666E-3</v>
      </c>
      <c r="BD48" s="20">
        <f t="shared" si="22"/>
        <v>4.1666666666666666E-3</v>
      </c>
      <c r="BE48" s="20">
        <f t="shared" si="22"/>
        <v>4.1666666666666666E-3</v>
      </c>
      <c r="BF48" s="20">
        <f t="shared" si="22"/>
        <v>4.1666666666666666E-3</v>
      </c>
      <c r="BG48" s="20">
        <f t="shared" si="22"/>
        <v>4.1666666666666666E-3</v>
      </c>
      <c r="BH48" s="20">
        <f t="shared" si="22"/>
        <v>4.1666666666666666E-3</v>
      </c>
      <c r="BI48" s="20">
        <f t="shared" si="22"/>
        <v>4.1666666666666666E-3</v>
      </c>
      <c r="BJ48" s="20">
        <f t="shared" si="22"/>
        <v>4.1666666666666666E-3</v>
      </c>
      <c r="BK48" s="20">
        <f t="shared" si="22"/>
        <v>4.1666666666666666E-3</v>
      </c>
      <c r="BL48" s="20">
        <f t="shared" si="22"/>
        <v>4.1666666666666666E-3</v>
      </c>
    </row>
    <row r="49" spans="1:64" x14ac:dyDescent="0.35">
      <c r="C49" s="2" t="s">
        <v>472</v>
      </c>
      <c r="D49" s="39">
        <v>1</v>
      </c>
      <c r="E49" s="4">
        <f t="shared" ref="E49:AJ49" si="23">D49*(1+E48)</f>
        <v>1.0041666666666667</v>
      </c>
      <c r="F49" s="4">
        <f t="shared" si="23"/>
        <v>1.0083506944444445</v>
      </c>
      <c r="G49" s="4">
        <f t="shared" si="23"/>
        <v>1.0125521556712964</v>
      </c>
      <c r="H49" s="4">
        <f t="shared" si="23"/>
        <v>1.0167711229865934</v>
      </c>
      <c r="I49" s="4">
        <f t="shared" si="23"/>
        <v>1.0210076693323709</v>
      </c>
      <c r="J49" s="4">
        <f t="shared" si="23"/>
        <v>1.0252618679545891</v>
      </c>
      <c r="K49" s="4">
        <f t="shared" si="23"/>
        <v>1.0295337924043999</v>
      </c>
      <c r="L49" s="4">
        <f t="shared" si="23"/>
        <v>1.0338235165394183</v>
      </c>
      <c r="M49" s="4">
        <f t="shared" si="23"/>
        <v>1.0381311145249992</v>
      </c>
      <c r="N49" s="4">
        <f t="shared" si="23"/>
        <v>1.0424566608355199</v>
      </c>
      <c r="O49" s="4">
        <f t="shared" si="23"/>
        <v>1.0468002302556678</v>
      </c>
      <c r="P49" s="4">
        <f t="shared" si="23"/>
        <v>1.051161897881733</v>
      </c>
      <c r="Q49" s="4">
        <f t="shared" si="23"/>
        <v>1.0555417391229069</v>
      </c>
      <c r="R49" s="4">
        <f t="shared" si="23"/>
        <v>1.0599398297025857</v>
      </c>
      <c r="S49" s="4">
        <f t="shared" si="23"/>
        <v>1.0643562456596798</v>
      </c>
      <c r="T49" s="4">
        <f t="shared" si="23"/>
        <v>1.0687910633499285</v>
      </c>
      <c r="U49" s="4">
        <f t="shared" si="23"/>
        <v>1.0732443594472199</v>
      </c>
      <c r="V49" s="4">
        <f t="shared" si="23"/>
        <v>1.0777162109449165</v>
      </c>
      <c r="W49" s="4">
        <f t="shared" si="23"/>
        <v>1.0822066951571869</v>
      </c>
      <c r="X49" s="4">
        <f t="shared" si="23"/>
        <v>1.0867158897203419</v>
      </c>
      <c r="Y49" s="4">
        <f t="shared" si="23"/>
        <v>1.0912438725941767</v>
      </c>
      <c r="Z49" s="4">
        <f t="shared" si="23"/>
        <v>1.095790722063319</v>
      </c>
      <c r="AA49" s="4">
        <f t="shared" si="23"/>
        <v>1.1003565167385827</v>
      </c>
      <c r="AB49" s="4">
        <f t="shared" si="23"/>
        <v>1.1049413355583269</v>
      </c>
      <c r="AC49" s="4">
        <f t="shared" si="23"/>
        <v>1.1095452577898199</v>
      </c>
      <c r="AD49" s="4">
        <f t="shared" si="23"/>
        <v>1.1141683630306107</v>
      </c>
      <c r="AE49" s="4">
        <f t="shared" si="23"/>
        <v>1.1188107312099049</v>
      </c>
      <c r="AF49" s="4">
        <f t="shared" si="23"/>
        <v>1.1234724425899463</v>
      </c>
      <c r="AG49" s="4">
        <f t="shared" si="23"/>
        <v>1.1281535777674043</v>
      </c>
      <c r="AH49" s="4">
        <f t="shared" si="23"/>
        <v>1.1328542176747685</v>
      </c>
      <c r="AI49" s="4">
        <f t="shared" si="23"/>
        <v>1.1375744435817468</v>
      </c>
      <c r="AJ49" s="4">
        <f t="shared" si="23"/>
        <v>1.1423143370966706</v>
      </c>
      <c r="AK49" s="4">
        <f t="shared" ref="AK49:BL49" si="24">AJ49*(1+AK48)</f>
        <v>1.1470739801679068</v>
      </c>
      <c r="AL49" s="4">
        <f t="shared" si="24"/>
        <v>1.151853455085273</v>
      </c>
      <c r="AM49" s="4">
        <f t="shared" si="24"/>
        <v>1.1566528444814617</v>
      </c>
      <c r="AN49" s="4">
        <f t="shared" si="24"/>
        <v>1.1614722313334678</v>
      </c>
      <c r="AO49" s="4">
        <f t="shared" si="24"/>
        <v>1.1663116989640239</v>
      </c>
      <c r="AP49" s="4">
        <f t="shared" si="24"/>
        <v>1.1711713310430407</v>
      </c>
      <c r="AQ49" s="4">
        <f t="shared" si="24"/>
        <v>1.1760512115890533</v>
      </c>
      <c r="AR49" s="4">
        <f t="shared" si="24"/>
        <v>1.1809514249706743</v>
      </c>
      <c r="AS49" s="4">
        <f t="shared" si="24"/>
        <v>1.185872055908052</v>
      </c>
      <c r="AT49" s="4">
        <f t="shared" si="24"/>
        <v>1.1908131894743355</v>
      </c>
      <c r="AU49" s="4">
        <f t="shared" si="24"/>
        <v>1.1957749110971452</v>
      </c>
      <c r="AV49" s="4">
        <f t="shared" si="24"/>
        <v>1.2007573065600499</v>
      </c>
      <c r="AW49" s="4">
        <f t="shared" si="24"/>
        <v>1.2057604620040501</v>
      </c>
      <c r="AX49" s="4">
        <f t="shared" si="24"/>
        <v>1.210784463929067</v>
      </c>
      <c r="AY49" s="4">
        <f t="shared" si="24"/>
        <v>1.2158293991954381</v>
      </c>
      <c r="AZ49" s="4">
        <f t="shared" si="24"/>
        <v>1.2208953550254191</v>
      </c>
      <c r="BA49" s="4">
        <f t="shared" si="24"/>
        <v>1.2259824190046917</v>
      </c>
      <c r="BB49" s="4">
        <f t="shared" si="24"/>
        <v>1.231090679083878</v>
      </c>
      <c r="BC49" s="4">
        <f t="shared" si="24"/>
        <v>1.2362202235800608</v>
      </c>
      <c r="BD49" s="4">
        <f t="shared" si="24"/>
        <v>1.241371141178311</v>
      </c>
      <c r="BE49" s="4">
        <f t="shared" si="24"/>
        <v>1.2465435209332207</v>
      </c>
      <c r="BF49" s="4">
        <f t="shared" si="24"/>
        <v>1.2517374522704425</v>
      </c>
      <c r="BG49" s="4">
        <f t="shared" si="24"/>
        <v>1.2569530249882359</v>
      </c>
      <c r="BH49" s="4">
        <f t="shared" si="24"/>
        <v>1.2621903292590202</v>
      </c>
      <c r="BI49" s="4">
        <f t="shared" si="24"/>
        <v>1.2674494556309328</v>
      </c>
      <c r="BJ49" s="4">
        <f t="shared" si="24"/>
        <v>1.2727304950293949</v>
      </c>
      <c r="BK49" s="4">
        <f t="shared" si="24"/>
        <v>1.2780335387586841</v>
      </c>
      <c r="BL49" s="4">
        <f t="shared" si="24"/>
        <v>1.2833586785035118</v>
      </c>
    </row>
    <row r="50" spans="1:64" x14ac:dyDescent="0.35">
      <c r="C50" s="2" t="s">
        <v>473</v>
      </c>
      <c r="D50" s="4">
        <f>SUMPRODUCT(E47:BL47/E49:BL49)</f>
        <v>370.45916577246743</v>
      </c>
    </row>
    <row r="52" spans="1:64" x14ac:dyDescent="0.35">
      <c r="B52" s="2" t="s">
        <v>428</v>
      </c>
    </row>
    <row r="53" spans="1:64" x14ac:dyDescent="0.35">
      <c r="C53" s="2" t="s">
        <v>5</v>
      </c>
      <c r="D53" s="4"/>
      <c r="E53" s="4">
        <f t="shared" ref="E53:AJ53" si="25">D55</f>
        <v>370.45916577246743</v>
      </c>
      <c r="F53" s="4">
        <f t="shared" si="25"/>
        <v>364.42698805409515</v>
      </c>
      <c r="G53" s="4">
        <f t="shared" si="25"/>
        <v>358.3696762618963</v>
      </c>
      <c r="H53" s="4">
        <f t="shared" si="25"/>
        <v>352.28712567056328</v>
      </c>
      <c r="I53" s="4">
        <f t="shared" si="25"/>
        <v>346.17923111843305</v>
      </c>
      <c r="J53" s="4">
        <f t="shared" si="25"/>
        <v>340.04588700566893</v>
      </c>
      <c r="K53" s="4">
        <f t="shared" si="25"/>
        <v>333.88698729243498</v>
      </c>
      <c r="L53" s="4">
        <f t="shared" si="25"/>
        <v>327.70242549706256</v>
      </c>
      <c r="M53" s="4">
        <f t="shared" si="25"/>
        <v>321.49209469420941</v>
      </c>
      <c r="N53" s="4">
        <f t="shared" si="25"/>
        <v>315.25588751301103</v>
      </c>
      <c r="O53" s="4">
        <f t="shared" si="25"/>
        <v>308.99369613522435</v>
      </c>
      <c r="P53" s="4">
        <f t="shared" si="25"/>
        <v>302.70541229336357</v>
      </c>
      <c r="Q53" s="4">
        <f t="shared" si="25"/>
        <v>296.39092726882836</v>
      </c>
      <c r="R53" s="4">
        <f t="shared" si="25"/>
        <v>290.26477835467068</v>
      </c>
      <c r="S53" s="4">
        <f t="shared" si="25"/>
        <v>284.11310382003734</v>
      </c>
      <c r="T53" s="4">
        <f t="shared" si="25"/>
        <v>277.9357973081764</v>
      </c>
      <c r="U53" s="4">
        <f t="shared" si="25"/>
        <v>271.73275201918267</v>
      </c>
      <c r="V53" s="4">
        <f t="shared" si="25"/>
        <v>265.50386070815148</v>
      </c>
      <c r="W53" s="4">
        <f t="shared" si="25"/>
        <v>259.24901568332433</v>
      </c>
      <c r="X53" s="4">
        <f t="shared" si="25"/>
        <v>252.96810880422706</v>
      </c>
      <c r="Y53" s="4">
        <f t="shared" si="25"/>
        <v>246.66103147980022</v>
      </c>
      <c r="Z53" s="4">
        <f t="shared" si="25"/>
        <v>240.3276746665216</v>
      </c>
      <c r="AA53" s="4">
        <f t="shared" si="25"/>
        <v>233.96792886652099</v>
      </c>
      <c r="AB53" s="4">
        <f t="shared" si="25"/>
        <v>227.58168412568705</v>
      </c>
      <c r="AC53" s="4">
        <f t="shared" si="25"/>
        <v>221.1688300317663</v>
      </c>
      <c r="AD53" s="4">
        <f t="shared" si="25"/>
        <v>215.40227158547009</v>
      </c>
      <c r="AE53" s="4">
        <f t="shared" si="25"/>
        <v>209.61168581231431</v>
      </c>
      <c r="AF53" s="4">
        <f t="shared" si="25"/>
        <v>203.79697259843704</v>
      </c>
      <c r="AG53" s="4">
        <f t="shared" si="25"/>
        <v>197.95803141283528</v>
      </c>
      <c r="AH53" s="4">
        <f t="shared" si="25"/>
        <v>192.09476130562686</v>
      </c>
      <c r="AI53" s="4">
        <f t="shared" si="25"/>
        <v>186.20706090630506</v>
      </c>
      <c r="AJ53" s="4">
        <f t="shared" si="25"/>
        <v>180.2948284219861</v>
      </c>
      <c r="AK53" s="4">
        <f t="shared" ref="AK53:BL53" si="26">AJ55</f>
        <v>174.35796163564913</v>
      </c>
      <c r="AL53" s="4">
        <f t="shared" si="26"/>
        <v>168.3963579043691</v>
      </c>
      <c r="AM53" s="4">
        <f t="shared" si="26"/>
        <v>162.40991415754206</v>
      </c>
      <c r="AN53" s="4">
        <f t="shared" si="26"/>
        <v>156.39852689510326</v>
      </c>
      <c r="AO53" s="4">
        <f t="shared" si="26"/>
        <v>150.36209218573762</v>
      </c>
      <c r="AP53" s="4">
        <f t="shared" si="26"/>
        <v>144.37184534762264</v>
      </c>
      <c r="AQ53" s="4">
        <f t="shared" si="26"/>
        <v>138.35663914768219</v>
      </c>
      <c r="AR53" s="4">
        <f t="shared" si="26"/>
        <v>132.3163695885753</v>
      </c>
      <c r="AS53" s="4">
        <f t="shared" si="26"/>
        <v>126.2509322396388</v>
      </c>
      <c r="AT53" s="4">
        <f t="shared" si="26"/>
        <v>120.16022223508173</v>
      </c>
      <c r="AU53" s="4">
        <f t="shared" si="26"/>
        <v>114.04413427217236</v>
      </c>
      <c r="AV53" s="4">
        <f t="shared" si="26"/>
        <v>107.90256260941752</v>
      </c>
      <c r="AW53" s="4">
        <f t="shared" si="26"/>
        <v>101.73540106473453</v>
      </c>
      <c r="AX53" s="4">
        <f t="shared" si="26"/>
        <v>95.542543013615372</v>
      </c>
      <c r="AY53" s="4">
        <f t="shared" si="26"/>
        <v>89.323881387283208</v>
      </c>
      <c r="AZ53" s="4">
        <f t="shared" si="26"/>
        <v>83.079308670841328</v>
      </c>
      <c r="BA53" s="4">
        <f t="shared" si="26"/>
        <v>76.808716901414272</v>
      </c>
      <c r="BB53" s="4">
        <f t="shared" si="26"/>
        <v>70.553352388503498</v>
      </c>
      <c r="BC53" s="4">
        <f t="shared" si="26"/>
        <v>64.271923856788931</v>
      </c>
      <c r="BD53" s="4">
        <f t="shared" si="26"/>
        <v>57.96432270619222</v>
      </c>
      <c r="BE53" s="4">
        <f t="shared" si="26"/>
        <v>51.630439884134688</v>
      </c>
      <c r="BF53" s="4">
        <f t="shared" si="26"/>
        <v>45.270165883651913</v>
      </c>
      <c r="BG53" s="4">
        <f t="shared" si="26"/>
        <v>38.883390741500463</v>
      </c>
      <c r="BH53" s="4">
        <f t="shared" si="26"/>
        <v>32.470004036256718</v>
      </c>
      <c r="BI53" s="4">
        <f t="shared" si="26"/>
        <v>26.029894886407789</v>
      </c>
      <c r="BJ53" s="4">
        <f t="shared" si="26"/>
        <v>19.562951948434488</v>
      </c>
      <c r="BK53" s="4">
        <f t="shared" si="26"/>
        <v>13.069063414886298</v>
      </c>
      <c r="BL53" s="4">
        <f t="shared" si="26"/>
        <v>6.5481170124483237</v>
      </c>
    </row>
    <row r="54" spans="1:64" x14ac:dyDescent="0.35">
      <c r="C54" s="2" t="s">
        <v>28</v>
      </c>
      <c r="D54" s="4"/>
      <c r="E54" s="4">
        <f t="shared" ref="E54:AJ54" si="27">E47-E56</f>
        <v>6.032177718372294</v>
      </c>
      <c r="F54" s="4">
        <f t="shared" si="27"/>
        <v>6.0573117921988455</v>
      </c>
      <c r="G54" s="4">
        <f t="shared" si="27"/>
        <v>6.0825505913330069</v>
      </c>
      <c r="H54" s="4">
        <f t="shared" si="27"/>
        <v>6.1078945521302277</v>
      </c>
      <c r="I54" s="4">
        <f t="shared" si="27"/>
        <v>6.133344112764104</v>
      </c>
      <c r="J54" s="4">
        <f t="shared" si="27"/>
        <v>6.1588997132339545</v>
      </c>
      <c r="K54" s="4">
        <f t="shared" si="27"/>
        <v>6.1845617953724297</v>
      </c>
      <c r="L54" s="4">
        <f t="shared" si="27"/>
        <v>6.2103308028531483</v>
      </c>
      <c r="M54" s="4">
        <f t="shared" si="27"/>
        <v>6.2362071811983695</v>
      </c>
      <c r="N54" s="4">
        <f t="shared" si="27"/>
        <v>6.2621913777866958</v>
      </c>
      <c r="O54" s="4">
        <f t="shared" si="27"/>
        <v>6.2882838418608067</v>
      </c>
      <c r="P54" s="4">
        <f t="shared" si="27"/>
        <v>6.3144850245352266</v>
      </c>
      <c r="Q54" s="4">
        <f t="shared" si="27"/>
        <v>6.1261489141576604</v>
      </c>
      <c r="R54" s="4">
        <f t="shared" si="27"/>
        <v>6.151674534633317</v>
      </c>
      <c r="S54" s="4">
        <f t="shared" si="27"/>
        <v>6.177306511860956</v>
      </c>
      <c r="T54" s="4">
        <f t="shared" si="27"/>
        <v>6.2030452889937102</v>
      </c>
      <c r="U54" s="4">
        <f t="shared" si="27"/>
        <v>6.2288913110311839</v>
      </c>
      <c r="V54" s="4">
        <f t="shared" si="27"/>
        <v>6.254845024827147</v>
      </c>
      <c r="W54" s="4">
        <f t="shared" si="27"/>
        <v>6.2809068790972606</v>
      </c>
      <c r="X54" s="4">
        <f t="shared" si="27"/>
        <v>6.3070773244268317</v>
      </c>
      <c r="Y54" s="4">
        <f t="shared" si="27"/>
        <v>6.3333568132786109</v>
      </c>
      <c r="Z54" s="4">
        <f t="shared" si="27"/>
        <v>6.3597458000006046</v>
      </c>
      <c r="AA54" s="4">
        <f t="shared" si="27"/>
        <v>6.3862447408339404</v>
      </c>
      <c r="AB54" s="4">
        <f t="shared" si="27"/>
        <v>6.4128540939207488</v>
      </c>
      <c r="AC54" s="4">
        <f t="shared" si="27"/>
        <v>5.7665584462962123</v>
      </c>
      <c r="AD54" s="4">
        <f t="shared" si="27"/>
        <v>5.7905857731557795</v>
      </c>
      <c r="AE54" s="4">
        <f t="shared" si="27"/>
        <v>5.8147132138772619</v>
      </c>
      <c r="AF54" s="4">
        <f t="shared" si="27"/>
        <v>5.838941185601751</v>
      </c>
      <c r="AG54" s="4">
        <f t="shared" si="27"/>
        <v>5.8632701072084243</v>
      </c>
      <c r="AH54" s="4">
        <f t="shared" si="27"/>
        <v>5.8877003993217931</v>
      </c>
      <c r="AI54" s="4">
        <f t="shared" si="27"/>
        <v>5.9122324843189675</v>
      </c>
      <c r="AJ54" s="4">
        <f t="shared" si="27"/>
        <v>5.9368667863369629</v>
      </c>
      <c r="AK54" s="4">
        <f t="shared" ref="AK54:BL54" si="28">AK47-AK56</f>
        <v>5.9616037312800341</v>
      </c>
      <c r="AL54" s="4">
        <f t="shared" si="28"/>
        <v>5.9864437468270335</v>
      </c>
      <c r="AM54" s="4">
        <f t="shared" si="28"/>
        <v>6.0113872624388129</v>
      </c>
      <c r="AN54" s="4">
        <f t="shared" si="28"/>
        <v>6.0364347093656416</v>
      </c>
      <c r="AO54" s="4">
        <f t="shared" si="28"/>
        <v>5.9902468381149827</v>
      </c>
      <c r="AP54" s="4">
        <f t="shared" si="28"/>
        <v>6.0152061999404616</v>
      </c>
      <c r="AQ54" s="4">
        <f t="shared" si="28"/>
        <v>6.0402695591068802</v>
      </c>
      <c r="AR54" s="4">
        <f t="shared" si="28"/>
        <v>6.0654373489364923</v>
      </c>
      <c r="AS54" s="4">
        <f t="shared" si="28"/>
        <v>6.090710004557061</v>
      </c>
      <c r="AT54" s="4">
        <f t="shared" si="28"/>
        <v>6.1160879629093818</v>
      </c>
      <c r="AU54" s="4">
        <f t="shared" si="28"/>
        <v>6.1415716627548376</v>
      </c>
      <c r="AV54" s="4">
        <f t="shared" si="28"/>
        <v>6.1671615446829824</v>
      </c>
      <c r="AW54" s="4">
        <f t="shared" si="28"/>
        <v>6.1928580511191615</v>
      </c>
      <c r="AX54" s="4">
        <f t="shared" si="28"/>
        <v>6.2186616263321586</v>
      </c>
      <c r="AY54" s="4">
        <f t="shared" si="28"/>
        <v>6.2445727164418754</v>
      </c>
      <c r="AZ54" s="4">
        <f t="shared" si="28"/>
        <v>6.2705917694270505</v>
      </c>
      <c r="BA54" s="4">
        <f t="shared" si="28"/>
        <v>6.2553645129107736</v>
      </c>
      <c r="BB54" s="4">
        <f t="shared" si="28"/>
        <v>6.2814285317145684</v>
      </c>
      <c r="BC54" s="4">
        <f t="shared" si="28"/>
        <v>6.3076011505967129</v>
      </c>
      <c r="BD54" s="4">
        <f t="shared" si="28"/>
        <v>6.3338828220575323</v>
      </c>
      <c r="BE54" s="4">
        <f t="shared" si="28"/>
        <v>6.3602740004827716</v>
      </c>
      <c r="BF54" s="4">
        <f t="shared" si="28"/>
        <v>6.3867751421514498</v>
      </c>
      <c r="BG54" s="4">
        <f t="shared" si="28"/>
        <v>6.4133867052437479</v>
      </c>
      <c r="BH54" s="4">
        <f t="shared" si="28"/>
        <v>6.4401091498489302</v>
      </c>
      <c r="BI54" s="4">
        <f t="shared" si="28"/>
        <v>6.4669429379733003</v>
      </c>
      <c r="BJ54" s="4">
        <f t="shared" si="28"/>
        <v>6.4938885335481897</v>
      </c>
      <c r="BK54" s="4">
        <f t="shared" si="28"/>
        <v>6.520946402437974</v>
      </c>
      <c r="BL54" s="4">
        <f t="shared" si="28"/>
        <v>6.5481170124481318</v>
      </c>
    </row>
    <row r="55" spans="1:64" x14ac:dyDescent="0.35">
      <c r="C55" s="34" t="s">
        <v>7</v>
      </c>
      <c r="D55" s="133">
        <f>D50</f>
        <v>370.45916577246743</v>
      </c>
      <c r="E55" s="133">
        <f t="shared" ref="E55:AJ55" si="29">E53-E54</f>
        <v>364.42698805409515</v>
      </c>
      <c r="F55" s="133">
        <f t="shared" si="29"/>
        <v>358.3696762618963</v>
      </c>
      <c r="G55" s="133">
        <f t="shared" si="29"/>
        <v>352.28712567056328</v>
      </c>
      <c r="H55" s="133">
        <f t="shared" si="29"/>
        <v>346.17923111843305</v>
      </c>
      <c r="I55" s="133">
        <f t="shared" si="29"/>
        <v>340.04588700566893</v>
      </c>
      <c r="J55" s="133">
        <f t="shared" si="29"/>
        <v>333.88698729243498</v>
      </c>
      <c r="K55" s="133">
        <f t="shared" si="29"/>
        <v>327.70242549706256</v>
      </c>
      <c r="L55" s="133">
        <f t="shared" si="29"/>
        <v>321.49209469420941</v>
      </c>
      <c r="M55" s="133">
        <f t="shared" si="29"/>
        <v>315.25588751301103</v>
      </c>
      <c r="N55" s="133">
        <f t="shared" si="29"/>
        <v>308.99369613522435</v>
      </c>
      <c r="O55" s="133">
        <f t="shared" si="29"/>
        <v>302.70541229336357</v>
      </c>
      <c r="P55" s="133">
        <f t="shared" si="29"/>
        <v>296.39092726882836</v>
      </c>
      <c r="Q55" s="133">
        <f t="shared" si="29"/>
        <v>290.26477835467068</v>
      </c>
      <c r="R55" s="133">
        <f t="shared" si="29"/>
        <v>284.11310382003734</v>
      </c>
      <c r="S55" s="133">
        <f t="shared" si="29"/>
        <v>277.9357973081764</v>
      </c>
      <c r="T55" s="133">
        <f t="shared" si="29"/>
        <v>271.73275201918267</v>
      </c>
      <c r="U55" s="133">
        <f t="shared" si="29"/>
        <v>265.50386070815148</v>
      </c>
      <c r="V55" s="133">
        <f t="shared" si="29"/>
        <v>259.24901568332433</v>
      </c>
      <c r="W55" s="133">
        <f t="shared" si="29"/>
        <v>252.96810880422706</v>
      </c>
      <c r="X55" s="133">
        <f t="shared" si="29"/>
        <v>246.66103147980022</v>
      </c>
      <c r="Y55" s="133">
        <f t="shared" si="29"/>
        <v>240.3276746665216</v>
      </c>
      <c r="Z55" s="133">
        <f t="shared" si="29"/>
        <v>233.96792886652099</v>
      </c>
      <c r="AA55" s="133">
        <f t="shared" si="29"/>
        <v>227.58168412568705</v>
      </c>
      <c r="AB55" s="133">
        <f t="shared" si="29"/>
        <v>221.1688300317663</v>
      </c>
      <c r="AC55" s="133">
        <f t="shared" si="29"/>
        <v>215.40227158547009</v>
      </c>
      <c r="AD55" s="133">
        <f t="shared" si="29"/>
        <v>209.61168581231431</v>
      </c>
      <c r="AE55" s="133">
        <f t="shared" si="29"/>
        <v>203.79697259843704</v>
      </c>
      <c r="AF55" s="133">
        <f t="shared" si="29"/>
        <v>197.95803141283528</v>
      </c>
      <c r="AG55" s="133">
        <f t="shared" si="29"/>
        <v>192.09476130562686</v>
      </c>
      <c r="AH55" s="133">
        <f t="shared" si="29"/>
        <v>186.20706090630506</v>
      </c>
      <c r="AI55" s="133">
        <f t="shared" si="29"/>
        <v>180.2948284219861</v>
      </c>
      <c r="AJ55" s="133">
        <f t="shared" si="29"/>
        <v>174.35796163564913</v>
      </c>
      <c r="AK55" s="133">
        <f t="shared" ref="AK55:BL55" si="30">AK53-AK54</f>
        <v>168.3963579043691</v>
      </c>
      <c r="AL55" s="133">
        <f t="shared" si="30"/>
        <v>162.40991415754206</v>
      </c>
      <c r="AM55" s="133">
        <f t="shared" si="30"/>
        <v>156.39852689510326</v>
      </c>
      <c r="AN55" s="133">
        <f t="shared" si="30"/>
        <v>150.36209218573762</v>
      </c>
      <c r="AO55" s="133">
        <f t="shared" si="30"/>
        <v>144.37184534762264</v>
      </c>
      <c r="AP55" s="133">
        <f t="shared" si="30"/>
        <v>138.35663914768219</v>
      </c>
      <c r="AQ55" s="133">
        <f t="shared" si="30"/>
        <v>132.3163695885753</v>
      </c>
      <c r="AR55" s="133">
        <f t="shared" si="30"/>
        <v>126.2509322396388</v>
      </c>
      <c r="AS55" s="133">
        <f t="shared" si="30"/>
        <v>120.16022223508173</v>
      </c>
      <c r="AT55" s="133">
        <f t="shared" si="30"/>
        <v>114.04413427217236</v>
      </c>
      <c r="AU55" s="133">
        <f t="shared" si="30"/>
        <v>107.90256260941752</v>
      </c>
      <c r="AV55" s="133">
        <f t="shared" si="30"/>
        <v>101.73540106473453</v>
      </c>
      <c r="AW55" s="133">
        <f t="shared" si="30"/>
        <v>95.542543013615372</v>
      </c>
      <c r="AX55" s="133">
        <f t="shared" si="30"/>
        <v>89.323881387283208</v>
      </c>
      <c r="AY55" s="133">
        <f t="shared" si="30"/>
        <v>83.079308670841328</v>
      </c>
      <c r="AZ55" s="133">
        <f t="shared" si="30"/>
        <v>76.808716901414272</v>
      </c>
      <c r="BA55" s="133">
        <f t="shared" si="30"/>
        <v>70.553352388503498</v>
      </c>
      <c r="BB55" s="133">
        <f t="shared" si="30"/>
        <v>64.271923856788931</v>
      </c>
      <c r="BC55" s="133">
        <f t="shared" si="30"/>
        <v>57.96432270619222</v>
      </c>
      <c r="BD55" s="133">
        <f t="shared" si="30"/>
        <v>51.630439884134688</v>
      </c>
      <c r="BE55" s="133">
        <f t="shared" si="30"/>
        <v>45.270165883651913</v>
      </c>
      <c r="BF55" s="133">
        <f t="shared" si="30"/>
        <v>38.883390741500463</v>
      </c>
      <c r="BG55" s="133">
        <f t="shared" si="30"/>
        <v>32.470004036256718</v>
      </c>
      <c r="BH55" s="133">
        <f t="shared" si="30"/>
        <v>26.029894886407789</v>
      </c>
      <c r="BI55" s="133">
        <f t="shared" si="30"/>
        <v>19.562951948434488</v>
      </c>
      <c r="BJ55" s="133">
        <f t="shared" si="30"/>
        <v>13.069063414886298</v>
      </c>
      <c r="BK55" s="133">
        <f t="shared" si="30"/>
        <v>6.5481170124483237</v>
      </c>
      <c r="BL55" s="47">
        <f t="shared" si="30"/>
        <v>1.9184653865522705E-13</v>
      </c>
    </row>
    <row r="56" spans="1:64" x14ac:dyDescent="0.35">
      <c r="C56" s="2" t="s">
        <v>8</v>
      </c>
      <c r="D56" s="4"/>
      <c r="E56" s="4">
        <f t="shared" ref="E56:AJ56" si="31">E48*E53</f>
        <v>1.543579857385281</v>
      </c>
      <c r="F56" s="4">
        <f t="shared" si="31"/>
        <v>1.5184457835587297</v>
      </c>
      <c r="G56" s="4">
        <f t="shared" si="31"/>
        <v>1.4932069844245679</v>
      </c>
      <c r="H56" s="4">
        <f t="shared" si="31"/>
        <v>1.4678630236273471</v>
      </c>
      <c r="I56" s="4">
        <f t="shared" si="31"/>
        <v>1.4424134629934711</v>
      </c>
      <c r="J56" s="4">
        <f t="shared" si="31"/>
        <v>1.4168578625236206</v>
      </c>
      <c r="K56" s="4">
        <f t="shared" si="31"/>
        <v>1.3911957803851458</v>
      </c>
      <c r="L56" s="4">
        <f t="shared" si="31"/>
        <v>1.3654267729044274</v>
      </c>
      <c r="M56" s="4">
        <f t="shared" si="31"/>
        <v>1.3395503945592058</v>
      </c>
      <c r="N56" s="4">
        <f t="shared" si="31"/>
        <v>1.3135661979708793</v>
      </c>
      <c r="O56" s="4">
        <f t="shared" si="31"/>
        <v>1.2874737338967681</v>
      </c>
      <c r="P56" s="4">
        <f t="shared" si="31"/>
        <v>1.2612725512223482</v>
      </c>
      <c r="Q56" s="4">
        <f t="shared" si="31"/>
        <v>1.2349621969534514</v>
      </c>
      <c r="R56" s="4">
        <f t="shared" si="31"/>
        <v>1.2094365764777946</v>
      </c>
      <c r="S56" s="4">
        <f t="shared" si="31"/>
        <v>1.1838045992501556</v>
      </c>
      <c r="T56" s="4">
        <f t="shared" si="31"/>
        <v>1.1580658221174016</v>
      </c>
      <c r="U56" s="4">
        <f t="shared" si="31"/>
        <v>1.1322198000799277</v>
      </c>
      <c r="V56" s="4">
        <f t="shared" si="31"/>
        <v>1.1062660862839644</v>
      </c>
      <c r="W56" s="4">
        <f t="shared" si="31"/>
        <v>1.0802042320138514</v>
      </c>
      <c r="X56" s="4">
        <f t="shared" si="31"/>
        <v>1.0540337866842795</v>
      </c>
      <c r="Y56" s="4">
        <f t="shared" si="31"/>
        <v>1.0277542978325009</v>
      </c>
      <c r="Z56" s="4">
        <f t="shared" si="31"/>
        <v>1.0013653111105068</v>
      </c>
      <c r="AA56" s="4">
        <f t="shared" si="31"/>
        <v>0.97486637027717082</v>
      </c>
      <c r="AB56" s="4">
        <f t="shared" si="31"/>
        <v>0.94825701719036271</v>
      </c>
      <c r="AC56" s="4">
        <f t="shared" si="31"/>
        <v>0.92153679179902626</v>
      </c>
      <c r="AD56" s="4">
        <f t="shared" si="31"/>
        <v>0.89750946493945871</v>
      </c>
      <c r="AE56" s="4">
        <f t="shared" si="31"/>
        <v>0.87338202421797628</v>
      </c>
      <c r="AF56" s="4">
        <f t="shared" si="31"/>
        <v>0.84915405249348763</v>
      </c>
      <c r="AG56" s="4">
        <f t="shared" si="31"/>
        <v>0.82482513088681364</v>
      </c>
      <c r="AH56" s="4">
        <f t="shared" si="31"/>
        <v>0.80039483877344519</v>
      </c>
      <c r="AI56" s="4">
        <f t="shared" si="31"/>
        <v>0.77586275377627112</v>
      </c>
      <c r="AJ56" s="4">
        <f t="shared" si="31"/>
        <v>0.75122845175827535</v>
      </c>
      <c r="AK56" s="4">
        <f t="shared" ref="AK56:BL56" si="32">AK48*AK53</f>
        <v>0.72649150681520469</v>
      </c>
      <c r="AL56" s="4">
        <f t="shared" si="32"/>
        <v>0.70165149126820459</v>
      </c>
      <c r="AM56" s="4">
        <f t="shared" si="32"/>
        <v>0.67670797565642526</v>
      </c>
      <c r="AN56" s="4">
        <f t="shared" si="32"/>
        <v>0.6516605287295969</v>
      </c>
      <c r="AO56" s="4">
        <f t="shared" si="32"/>
        <v>0.62650871744057346</v>
      </c>
      <c r="AP56" s="4">
        <f t="shared" si="32"/>
        <v>0.60154935561509437</v>
      </c>
      <c r="AQ56" s="4">
        <f t="shared" si="32"/>
        <v>0.57648599644867582</v>
      </c>
      <c r="AR56" s="4">
        <f t="shared" si="32"/>
        <v>0.55131820661906372</v>
      </c>
      <c r="AS56" s="4">
        <f t="shared" si="32"/>
        <v>0.52604555099849504</v>
      </c>
      <c r="AT56" s="4">
        <f t="shared" si="32"/>
        <v>0.50066759264617389</v>
      </c>
      <c r="AU56" s="4">
        <f t="shared" si="32"/>
        <v>0.47518389280071816</v>
      </c>
      <c r="AV56" s="4">
        <f t="shared" si="32"/>
        <v>0.44959401087257295</v>
      </c>
      <c r="AW56" s="4">
        <f t="shared" si="32"/>
        <v>0.4238975044363939</v>
      </c>
      <c r="AX56" s="4">
        <f t="shared" si="32"/>
        <v>0.39809392922339737</v>
      </c>
      <c r="AY56" s="4">
        <f t="shared" si="32"/>
        <v>0.37218283911368005</v>
      </c>
      <c r="AZ56" s="4">
        <f t="shared" si="32"/>
        <v>0.34616378612850551</v>
      </c>
      <c r="BA56" s="4">
        <f t="shared" si="32"/>
        <v>0.32003632042255947</v>
      </c>
      <c r="BB56" s="4">
        <f t="shared" si="32"/>
        <v>0.29397230161876459</v>
      </c>
      <c r="BC56" s="4">
        <f t="shared" si="32"/>
        <v>0.26779968273662053</v>
      </c>
      <c r="BD56" s="4">
        <f t="shared" si="32"/>
        <v>0.24151801127580091</v>
      </c>
      <c r="BE56" s="4">
        <f t="shared" si="32"/>
        <v>0.21512683285056119</v>
      </c>
      <c r="BF56" s="4">
        <f t="shared" si="32"/>
        <v>0.18862569118188297</v>
      </c>
      <c r="BG56" s="4">
        <f t="shared" si="32"/>
        <v>0.16201412808958526</v>
      </c>
      <c r="BH56" s="4">
        <f t="shared" si="32"/>
        <v>0.13529168348440299</v>
      </c>
      <c r="BI56" s="4">
        <f t="shared" si="32"/>
        <v>0.10845789536003245</v>
      </c>
      <c r="BJ56" s="4">
        <f t="shared" si="32"/>
        <v>8.1512299785143696E-2</v>
      </c>
      <c r="BK56" s="4">
        <f t="shared" si="32"/>
        <v>5.4454430895359569E-2</v>
      </c>
      <c r="BL56" s="4">
        <f t="shared" si="32"/>
        <v>2.7283820885201347E-2</v>
      </c>
    </row>
    <row r="58" spans="1:64" s="40" customFormat="1" x14ac:dyDescent="0.35">
      <c r="A58" s="40" t="s">
        <v>422</v>
      </c>
      <c r="D58" s="41"/>
    </row>
    <row r="59" spans="1:64" x14ac:dyDescent="0.35">
      <c r="C59" s="1"/>
      <c r="D59" s="20"/>
      <c r="E59" s="1"/>
    </row>
    <row r="60" spans="1:64" x14ac:dyDescent="0.35">
      <c r="C60" s="2" t="s">
        <v>69</v>
      </c>
      <c r="D60" s="38">
        <v>12</v>
      </c>
      <c r="E60" s="1"/>
      <c r="G60" s="2" t="s">
        <v>155</v>
      </c>
    </row>
    <row r="61" spans="1:64" x14ac:dyDescent="0.35">
      <c r="C61" s="34" t="s">
        <v>70</v>
      </c>
      <c r="D61" s="43">
        <v>6</v>
      </c>
      <c r="E61" s="44" t="str">
        <f>CHOOSE(D61,"Monthly","Every Other Month","Quarterly",,,"Semi Annual",,,,,,"Annual")</f>
        <v>Semi Annual</v>
      </c>
      <c r="G61" s="2" t="s">
        <v>114</v>
      </c>
    </row>
    <row r="62" spans="1:64" x14ac:dyDescent="0.35">
      <c r="C62" s="2" t="s">
        <v>71</v>
      </c>
      <c r="D62" s="4">
        <f>12/D61</f>
        <v>2</v>
      </c>
      <c r="E62" s="1"/>
    </row>
    <row r="63" spans="1:64" x14ac:dyDescent="0.35">
      <c r="D63" s="8"/>
      <c r="E63" s="1"/>
    </row>
    <row r="64" spans="1:64" x14ac:dyDescent="0.35">
      <c r="C64" s="2" t="s">
        <v>474</v>
      </c>
      <c r="D64" s="20"/>
      <c r="E64" s="39">
        <v>1</v>
      </c>
      <c r="F64" s="39">
        <v>2</v>
      </c>
      <c r="G64" s="39">
        <v>3</v>
      </c>
      <c r="H64" s="39">
        <v>4</v>
      </c>
      <c r="I64" s="39">
        <v>5</v>
      </c>
      <c r="J64" s="39">
        <v>6</v>
      </c>
      <c r="K64" s="39">
        <v>7</v>
      </c>
      <c r="L64" s="39">
        <v>8</v>
      </c>
      <c r="M64" s="39">
        <v>9</v>
      </c>
      <c r="N64" s="39">
        <v>10</v>
      </c>
      <c r="O64" s="39">
        <v>11</v>
      </c>
      <c r="P64" s="39">
        <v>12</v>
      </c>
      <c r="Q64" s="39">
        <v>13</v>
      </c>
      <c r="R64" s="39">
        <v>14</v>
      </c>
      <c r="S64" s="39">
        <v>15</v>
      </c>
      <c r="T64" s="39">
        <v>16</v>
      </c>
      <c r="U64" s="39">
        <v>17</v>
      </c>
      <c r="V64" s="39">
        <v>18</v>
      </c>
      <c r="W64" s="39">
        <v>19</v>
      </c>
      <c r="X64" s="39">
        <v>20</v>
      </c>
      <c r="Y64" s="39">
        <v>21</v>
      </c>
      <c r="Z64" s="39">
        <v>22</v>
      </c>
      <c r="AA64" s="39">
        <v>23</v>
      </c>
      <c r="AB64" s="39">
        <v>24</v>
      </c>
      <c r="AC64" s="39">
        <v>25</v>
      </c>
      <c r="AD64" s="39">
        <v>26</v>
      </c>
      <c r="AE64" s="39">
        <v>27</v>
      </c>
      <c r="AF64" s="39">
        <v>28</v>
      </c>
      <c r="AG64" s="39">
        <v>29</v>
      </c>
      <c r="AH64" s="39">
        <v>30</v>
      </c>
      <c r="AI64" s="39">
        <v>31</v>
      </c>
      <c r="AJ64" s="39">
        <v>32</v>
      </c>
      <c r="AK64" s="39">
        <v>33</v>
      </c>
      <c r="AL64" s="39">
        <v>34</v>
      </c>
      <c r="AM64" s="39">
        <v>35</v>
      </c>
      <c r="AN64" s="39">
        <v>36</v>
      </c>
      <c r="AO64" s="39">
        <v>37</v>
      </c>
      <c r="AP64" s="39">
        <v>38</v>
      </c>
      <c r="AQ64" s="39">
        <v>39</v>
      </c>
      <c r="AR64" s="39">
        <v>40</v>
      </c>
      <c r="AS64" s="39">
        <v>41</v>
      </c>
      <c r="AT64" s="39">
        <v>42</v>
      </c>
      <c r="AU64" s="39">
        <v>43</v>
      </c>
      <c r="AV64" s="39">
        <v>44</v>
      </c>
      <c r="AW64" s="39">
        <v>45</v>
      </c>
      <c r="AX64" s="39">
        <v>46</v>
      </c>
      <c r="AY64" s="39">
        <v>47</v>
      </c>
      <c r="AZ64" s="39">
        <v>48</v>
      </c>
      <c r="BA64" s="39">
        <v>49</v>
      </c>
      <c r="BB64" s="39">
        <v>50</v>
      </c>
      <c r="BC64" s="39">
        <v>51</v>
      </c>
      <c r="BD64" s="39">
        <v>52</v>
      </c>
      <c r="BE64" s="39">
        <v>53</v>
      </c>
      <c r="BF64" s="39">
        <v>54</v>
      </c>
      <c r="BG64" s="39">
        <v>55</v>
      </c>
      <c r="BH64" s="39">
        <v>56</v>
      </c>
      <c r="BI64" s="39">
        <v>57</v>
      </c>
      <c r="BJ64" s="39">
        <v>58</v>
      </c>
      <c r="BK64" s="39">
        <v>59</v>
      </c>
      <c r="BL64" s="39">
        <v>60</v>
      </c>
    </row>
    <row r="65" spans="2:64" x14ac:dyDescent="0.35">
      <c r="C65" s="2" t="s">
        <v>429</v>
      </c>
      <c r="E65" s="2" t="b">
        <f t="shared" ref="E65:AJ65" si="33">MOD(E64,$D$61)=0</f>
        <v>0</v>
      </c>
      <c r="F65" s="2" t="b">
        <f t="shared" si="33"/>
        <v>0</v>
      </c>
      <c r="G65" s="2" t="b">
        <f t="shared" si="33"/>
        <v>0</v>
      </c>
      <c r="H65" s="2" t="b">
        <f t="shared" si="33"/>
        <v>0</v>
      </c>
      <c r="I65" s="2" t="b">
        <f t="shared" si="33"/>
        <v>0</v>
      </c>
      <c r="J65" s="2" t="b">
        <f t="shared" si="33"/>
        <v>1</v>
      </c>
      <c r="K65" s="2" t="b">
        <f t="shared" si="33"/>
        <v>0</v>
      </c>
      <c r="L65" s="2" t="b">
        <f t="shared" si="33"/>
        <v>0</v>
      </c>
      <c r="M65" s="2" t="b">
        <f t="shared" si="33"/>
        <v>0</v>
      </c>
      <c r="N65" s="2" t="b">
        <f t="shared" si="33"/>
        <v>0</v>
      </c>
      <c r="O65" s="2" t="b">
        <f t="shared" si="33"/>
        <v>0</v>
      </c>
      <c r="P65" s="2" t="b">
        <f t="shared" si="33"/>
        <v>1</v>
      </c>
      <c r="Q65" s="2" t="b">
        <f t="shared" si="33"/>
        <v>0</v>
      </c>
      <c r="R65" s="2" t="b">
        <f t="shared" si="33"/>
        <v>0</v>
      </c>
      <c r="S65" s="2" t="b">
        <f t="shared" si="33"/>
        <v>0</v>
      </c>
      <c r="T65" s="2" t="b">
        <f t="shared" si="33"/>
        <v>0</v>
      </c>
      <c r="U65" s="2" t="b">
        <f t="shared" si="33"/>
        <v>0</v>
      </c>
      <c r="V65" s="2" t="b">
        <f t="shared" si="33"/>
        <v>1</v>
      </c>
      <c r="W65" s="2" t="b">
        <f t="shared" si="33"/>
        <v>0</v>
      </c>
      <c r="X65" s="2" t="b">
        <f t="shared" si="33"/>
        <v>0</v>
      </c>
      <c r="Y65" s="2" t="b">
        <f t="shared" si="33"/>
        <v>0</v>
      </c>
      <c r="Z65" s="2" t="b">
        <f t="shared" si="33"/>
        <v>0</v>
      </c>
      <c r="AA65" s="2" t="b">
        <f t="shared" si="33"/>
        <v>0</v>
      </c>
      <c r="AB65" s="2" t="b">
        <f t="shared" si="33"/>
        <v>1</v>
      </c>
      <c r="AC65" s="2" t="b">
        <f t="shared" si="33"/>
        <v>0</v>
      </c>
      <c r="AD65" s="2" t="b">
        <f t="shared" si="33"/>
        <v>0</v>
      </c>
      <c r="AE65" s="2" t="b">
        <f t="shared" si="33"/>
        <v>0</v>
      </c>
      <c r="AF65" s="2" t="b">
        <f t="shared" si="33"/>
        <v>0</v>
      </c>
      <c r="AG65" s="2" t="b">
        <f t="shared" si="33"/>
        <v>0</v>
      </c>
      <c r="AH65" s="2" t="b">
        <f t="shared" si="33"/>
        <v>1</v>
      </c>
      <c r="AI65" s="2" t="b">
        <f t="shared" si="33"/>
        <v>0</v>
      </c>
      <c r="AJ65" s="2" t="b">
        <f t="shared" si="33"/>
        <v>0</v>
      </c>
      <c r="AK65" s="2" t="b">
        <f t="shared" ref="AK65:BL65" si="34">MOD(AK64,$D$61)=0</f>
        <v>0</v>
      </c>
      <c r="AL65" s="2" t="b">
        <f t="shared" si="34"/>
        <v>0</v>
      </c>
      <c r="AM65" s="2" t="b">
        <f t="shared" si="34"/>
        <v>0</v>
      </c>
      <c r="AN65" s="2" t="b">
        <f t="shared" si="34"/>
        <v>1</v>
      </c>
      <c r="AO65" s="2" t="b">
        <f t="shared" si="34"/>
        <v>0</v>
      </c>
      <c r="AP65" s="2" t="b">
        <f t="shared" si="34"/>
        <v>0</v>
      </c>
      <c r="AQ65" s="2" t="b">
        <f t="shared" si="34"/>
        <v>0</v>
      </c>
      <c r="AR65" s="2" t="b">
        <f t="shared" si="34"/>
        <v>0</v>
      </c>
      <c r="AS65" s="2" t="b">
        <f t="shared" si="34"/>
        <v>0</v>
      </c>
      <c r="AT65" s="2" t="b">
        <f t="shared" si="34"/>
        <v>1</v>
      </c>
      <c r="AU65" s="2" t="b">
        <f t="shared" si="34"/>
        <v>0</v>
      </c>
      <c r="AV65" s="2" t="b">
        <f t="shared" si="34"/>
        <v>0</v>
      </c>
      <c r="AW65" s="2" t="b">
        <f t="shared" si="34"/>
        <v>0</v>
      </c>
      <c r="AX65" s="2" t="b">
        <f t="shared" si="34"/>
        <v>0</v>
      </c>
      <c r="AY65" s="2" t="b">
        <f t="shared" si="34"/>
        <v>0</v>
      </c>
      <c r="AZ65" s="2" t="b">
        <f t="shared" si="34"/>
        <v>1</v>
      </c>
      <c r="BA65" s="2" t="b">
        <f t="shared" si="34"/>
        <v>0</v>
      </c>
      <c r="BB65" s="2" t="b">
        <f t="shared" si="34"/>
        <v>0</v>
      </c>
      <c r="BC65" s="2" t="b">
        <f t="shared" si="34"/>
        <v>0</v>
      </c>
      <c r="BD65" s="2" t="b">
        <f t="shared" si="34"/>
        <v>0</v>
      </c>
      <c r="BE65" s="2" t="b">
        <f t="shared" si="34"/>
        <v>0</v>
      </c>
      <c r="BF65" s="2" t="b">
        <f t="shared" si="34"/>
        <v>1</v>
      </c>
      <c r="BG65" s="2" t="b">
        <f t="shared" si="34"/>
        <v>0</v>
      </c>
      <c r="BH65" s="2" t="b">
        <f t="shared" si="34"/>
        <v>0</v>
      </c>
      <c r="BI65" s="2" t="b">
        <f t="shared" si="34"/>
        <v>0</v>
      </c>
      <c r="BJ65" s="2" t="b">
        <f t="shared" si="34"/>
        <v>0</v>
      </c>
      <c r="BK65" s="2" t="b">
        <f t="shared" si="34"/>
        <v>0</v>
      </c>
      <c r="BL65" s="2" t="b">
        <f t="shared" si="34"/>
        <v>1</v>
      </c>
    </row>
    <row r="66" spans="2:64" x14ac:dyDescent="0.35">
      <c r="C66" s="2" t="s">
        <v>29</v>
      </c>
      <c r="D66" s="8">
        <f>D60</f>
        <v>12</v>
      </c>
      <c r="E66" s="2">
        <f>period_of_year(E64,$D$66)</f>
        <v>1</v>
      </c>
      <c r="F66" s="2">
        <f t="shared" ref="F66:BL66" si="35">period_of_year(F64,$D$66)</f>
        <v>2</v>
      </c>
      <c r="G66" s="2">
        <f t="shared" si="35"/>
        <v>3</v>
      </c>
      <c r="H66" s="2">
        <f t="shared" si="35"/>
        <v>4</v>
      </c>
      <c r="I66" s="2">
        <f t="shared" si="35"/>
        <v>5</v>
      </c>
      <c r="J66" s="2">
        <f t="shared" si="35"/>
        <v>6</v>
      </c>
      <c r="K66" s="2">
        <f t="shared" si="35"/>
        <v>7</v>
      </c>
      <c r="L66" s="2">
        <f t="shared" si="35"/>
        <v>8</v>
      </c>
      <c r="M66" s="2">
        <f t="shared" si="35"/>
        <v>9</v>
      </c>
      <c r="N66" s="2">
        <f t="shared" si="35"/>
        <v>10</v>
      </c>
      <c r="O66" s="2">
        <f t="shared" si="35"/>
        <v>11</v>
      </c>
      <c r="P66" s="2">
        <f t="shared" si="35"/>
        <v>12</v>
      </c>
      <c r="Q66" s="2">
        <f t="shared" si="35"/>
        <v>1</v>
      </c>
      <c r="R66" s="2">
        <f t="shared" si="35"/>
        <v>2</v>
      </c>
      <c r="S66" s="2">
        <f t="shared" si="35"/>
        <v>3</v>
      </c>
      <c r="T66" s="2">
        <f t="shared" si="35"/>
        <v>4</v>
      </c>
      <c r="U66" s="2">
        <f t="shared" si="35"/>
        <v>5</v>
      </c>
      <c r="V66" s="2">
        <f t="shared" si="35"/>
        <v>6</v>
      </c>
      <c r="W66" s="2">
        <f t="shared" si="35"/>
        <v>7</v>
      </c>
      <c r="X66" s="2">
        <f t="shared" si="35"/>
        <v>8</v>
      </c>
      <c r="Y66" s="2">
        <f t="shared" si="35"/>
        <v>9</v>
      </c>
      <c r="Z66" s="2">
        <f t="shared" si="35"/>
        <v>10</v>
      </c>
      <c r="AA66" s="2">
        <f t="shared" si="35"/>
        <v>11</v>
      </c>
      <c r="AB66" s="2">
        <f t="shared" si="35"/>
        <v>12</v>
      </c>
      <c r="AC66" s="2">
        <f t="shared" si="35"/>
        <v>1</v>
      </c>
      <c r="AD66" s="2">
        <f t="shared" si="35"/>
        <v>2</v>
      </c>
      <c r="AE66" s="2">
        <f t="shared" si="35"/>
        <v>3</v>
      </c>
      <c r="AF66" s="2">
        <f t="shared" si="35"/>
        <v>4</v>
      </c>
      <c r="AG66" s="2">
        <f t="shared" si="35"/>
        <v>5</v>
      </c>
      <c r="AH66" s="2">
        <f t="shared" si="35"/>
        <v>6</v>
      </c>
      <c r="AI66" s="2">
        <f t="shared" si="35"/>
        <v>7</v>
      </c>
      <c r="AJ66" s="2">
        <f t="shared" si="35"/>
        <v>8</v>
      </c>
      <c r="AK66" s="2">
        <f t="shared" si="35"/>
        <v>9</v>
      </c>
      <c r="AL66" s="2">
        <f t="shared" si="35"/>
        <v>10</v>
      </c>
      <c r="AM66" s="2">
        <f t="shared" si="35"/>
        <v>11</v>
      </c>
      <c r="AN66" s="2">
        <f t="shared" si="35"/>
        <v>12</v>
      </c>
      <c r="AO66" s="2">
        <f t="shared" si="35"/>
        <v>1</v>
      </c>
      <c r="AP66" s="2">
        <f t="shared" si="35"/>
        <v>2</v>
      </c>
      <c r="AQ66" s="2">
        <f t="shared" si="35"/>
        <v>3</v>
      </c>
      <c r="AR66" s="2">
        <f t="shared" si="35"/>
        <v>4</v>
      </c>
      <c r="AS66" s="2">
        <f t="shared" si="35"/>
        <v>5</v>
      </c>
      <c r="AT66" s="2">
        <f t="shared" si="35"/>
        <v>6</v>
      </c>
      <c r="AU66" s="2">
        <f t="shared" si="35"/>
        <v>7</v>
      </c>
      <c r="AV66" s="2">
        <f t="shared" si="35"/>
        <v>8</v>
      </c>
      <c r="AW66" s="2">
        <f t="shared" si="35"/>
        <v>9</v>
      </c>
      <c r="AX66" s="2">
        <f t="shared" si="35"/>
        <v>10</v>
      </c>
      <c r="AY66" s="2">
        <f t="shared" si="35"/>
        <v>11</v>
      </c>
      <c r="AZ66" s="2">
        <f t="shared" si="35"/>
        <v>12</v>
      </c>
      <c r="BA66" s="2">
        <f t="shared" si="35"/>
        <v>1</v>
      </c>
      <c r="BB66" s="2">
        <f t="shared" si="35"/>
        <v>2</v>
      </c>
      <c r="BC66" s="2">
        <f t="shared" si="35"/>
        <v>3</v>
      </c>
      <c r="BD66" s="2">
        <f t="shared" si="35"/>
        <v>4</v>
      </c>
      <c r="BE66" s="2">
        <f t="shared" si="35"/>
        <v>5</v>
      </c>
      <c r="BF66" s="2">
        <f t="shared" si="35"/>
        <v>6</v>
      </c>
      <c r="BG66" s="2">
        <f t="shared" si="35"/>
        <v>7</v>
      </c>
      <c r="BH66" s="2">
        <f t="shared" si="35"/>
        <v>8</v>
      </c>
      <c r="BI66" s="2">
        <f t="shared" si="35"/>
        <v>9</v>
      </c>
      <c r="BJ66" s="2">
        <f t="shared" si="35"/>
        <v>10</v>
      </c>
      <c r="BK66" s="2">
        <f t="shared" si="35"/>
        <v>11</v>
      </c>
      <c r="BL66" s="2">
        <f t="shared" si="35"/>
        <v>12</v>
      </c>
    </row>
    <row r="67" spans="2:64" x14ac:dyDescent="0.35">
      <c r="C67" s="2" t="s">
        <v>430</v>
      </c>
      <c r="D67" s="20"/>
      <c r="E67" s="2">
        <f t="shared" ref="E67:AJ67" si="36">ROUNDUP(E64/$D$60,0)</f>
        <v>1</v>
      </c>
      <c r="F67" s="2">
        <f t="shared" si="36"/>
        <v>1</v>
      </c>
      <c r="G67" s="2">
        <f t="shared" si="36"/>
        <v>1</v>
      </c>
      <c r="H67" s="2">
        <f t="shared" si="36"/>
        <v>1</v>
      </c>
      <c r="I67" s="2">
        <f t="shared" si="36"/>
        <v>1</v>
      </c>
      <c r="J67" s="2">
        <f t="shared" si="36"/>
        <v>1</v>
      </c>
      <c r="K67" s="2">
        <f t="shared" si="36"/>
        <v>1</v>
      </c>
      <c r="L67" s="2">
        <f t="shared" si="36"/>
        <v>1</v>
      </c>
      <c r="M67" s="2">
        <f t="shared" si="36"/>
        <v>1</v>
      </c>
      <c r="N67" s="2">
        <f t="shared" si="36"/>
        <v>1</v>
      </c>
      <c r="O67" s="2">
        <f t="shared" si="36"/>
        <v>1</v>
      </c>
      <c r="P67" s="2">
        <f t="shared" si="36"/>
        <v>1</v>
      </c>
      <c r="Q67" s="2">
        <f t="shared" si="36"/>
        <v>2</v>
      </c>
      <c r="R67" s="2">
        <f t="shared" si="36"/>
        <v>2</v>
      </c>
      <c r="S67" s="2">
        <f t="shared" si="36"/>
        <v>2</v>
      </c>
      <c r="T67" s="2">
        <f t="shared" si="36"/>
        <v>2</v>
      </c>
      <c r="U67" s="2">
        <f t="shared" si="36"/>
        <v>2</v>
      </c>
      <c r="V67" s="2">
        <f t="shared" si="36"/>
        <v>2</v>
      </c>
      <c r="W67" s="2">
        <f t="shared" si="36"/>
        <v>2</v>
      </c>
      <c r="X67" s="2">
        <f t="shared" si="36"/>
        <v>2</v>
      </c>
      <c r="Y67" s="2">
        <f t="shared" si="36"/>
        <v>2</v>
      </c>
      <c r="Z67" s="2">
        <f t="shared" si="36"/>
        <v>2</v>
      </c>
      <c r="AA67" s="2">
        <f t="shared" si="36"/>
        <v>2</v>
      </c>
      <c r="AB67" s="2">
        <f t="shared" si="36"/>
        <v>2</v>
      </c>
      <c r="AC67" s="2">
        <f t="shared" si="36"/>
        <v>3</v>
      </c>
      <c r="AD67" s="2">
        <f t="shared" si="36"/>
        <v>3</v>
      </c>
      <c r="AE67" s="2">
        <f t="shared" si="36"/>
        <v>3</v>
      </c>
      <c r="AF67" s="2">
        <f t="shared" si="36"/>
        <v>3</v>
      </c>
      <c r="AG67" s="2">
        <f t="shared" si="36"/>
        <v>3</v>
      </c>
      <c r="AH67" s="2">
        <f t="shared" si="36"/>
        <v>3</v>
      </c>
      <c r="AI67" s="2">
        <f t="shared" si="36"/>
        <v>3</v>
      </c>
      <c r="AJ67" s="2">
        <f t="shared" si="36"/>
        <v>3</v>
      </c>
      <c r="AK67" s="2">
        <f t="shared" ref="AK67:BL67" si="37">ROUNDUP(AK64/$D$60,0)</f>
        <v>3</v>
      </c>
      <c r="AL67" s="2">
        <f t="shared" si="37"/>
        <v>3</v>
      </c>
      <c r="AM67" s="2">
        <f t="shared" si="37"/>
        <v>3</v>
      </c>
      <c r="AN67" s="2">
        <f t="shared" si="37"/>
        <v>3</v>
      </c>
      <c r="AO67" s="2">
        <f t="shared" si="37"/>
        <v>4</v>
      </c>
      <c r="AP67" s="2">
        <f t="shared" si="37"/>
        <v>4</v>
      </c>
      <c r="AQ67" s="2">
        <f t="shared" si="37"/>
        <v>4</v>
      </c>
      <c r="AR67" s="2">
        <f t="shared" si="37"/>
        <v>4</v>
      </c>
      <c r="AS67" s="2">
        <f t="shared" si="37"/>
        <v>4</v>
      </c>
      <c r="AT67" s="2">
        <f t="shared" si="37"/>
        <v>4</v>
      </c>
      <c r="AU67" s="2">
        <f t="shared" si="37"/>
        <v>4</v>
      </c>
      <c r="AV67" s="2">
        <f t="shared" si="37"/>
        <v>4</v>
      </c>
      <c r="AW67" s="2">
        <f t="shared" si="37"/>
        <v>4</v>
      </c>
      <c r="AX67" s="2">
        <f t="shared" si="37"/>
        <v>4</v>
      </c>
      <c r="AY67" s="2">
        <f t="shared" si="37"/>
        <v>4</v>
      </c>
      <c r="AZ67" s="2">
        <f t="shared" si="37"/>
        <v>4</v>
      </c>
      <c r="BA67" s="2">
        <f t="shared" si="37"/>
        <v>5</v>
      </c>
      <c r="BB67" s="2">
        <f t="shared" si="37"/>
        <v>5</v>
      </c>
      <c r="BC67" s="2">
        <f t="shared" si="37"/>
        <v>5</v>
      </c>
      <c r="BD67" s="2">
        <f t="shared" si="37"/>
        <v>5</v>
      </c>
      <c r="BE67" s="2">
        <f t="shared" si="37"/>
        <v>5</v>
      </c>
      <c r="BF67" s="2">
        <f t="shared" si="37"/>
        <v>5</v>
      </c>
      <c r="BG67" s="2">
        <f t="shared" si="37"/>
        <v>5</v>
      </c>
      <c r="BH67" s="2">
        <f t="shared" si="37"/>
        <v>5</v>
      </c>
      <c r="BI67" s="2">
        <f t="shared" si="37"/>
        <v>5</v>
      </c>
      <c r="BJ67" s="2">
        <f t="shared" si="37"/>
        <v>5</v>
      </c>
      <c r="BK67" s="2">
        <f t="shared" si="37"/>
        <v>5</v>
      </c>
      <c r="BL67" s="2">
        <f t="shared" si="37"/>
        <v>5</v>
      </c>
    </row>
    <row r="69" spans="2:64" x14ac:dyDescent="0.35">
      <c r="B69" s="1" t="s">
        <v>461</v>
      </c>
    </row>
    <row r="70" spans="2:64" x14ac:dyDescent="0.35">
      <c r="C70" s="2" t="s">
        <v>462</v>
      </c>
      <c r="E70" s="12">
        <f>LOOKUP(E67,6:6,12:12)</f>
        <v>0.05</v>
      </c>
      <c r="F70" s="12">
        <f t="shared" ref="F70:BL70" si="38">LOOKUP(F67,6:6,12:12)</f>
        <v>0.05</v>
      </c>
      <c r="G70" s="12">
        <f t="shared" si="38"/>
        <v>0.05</v>
      </c>
      <c r="H70" s="12">
        <f t="shared" si="38"/>
        <v>0.05</v>
      </c>
      <c r="I70" s="12">
        <f t="shared" si="38"/>
        <v>0.05</v>
      </c>
      <c r="J70" s="12">
        <f t="shared" si="38"/>
        <v>0.05</v>
      </c>
      <c r="K70" s="12">
        <f t="shared" si="38"/>
        <v>0.05</v>
      </c>
      <c r="L70" s="12">
        <f t="shared" si="38"/>
        <v>0.05</v>
      </c>
      <c r="M70" s="12">
        <f t="shared" si="38"/>
        <v>0.05</v>
      </c>
      <c r="N70" s="12">
        <f t="shared" si="38"/>
        <v>0.05</v>
      </c>
      <c r="O70" s="12">
        <f t="shared" si="38"/>
        <v>0.05</v>
      </c>
      <c r="P70" s="12">
        <f t="shared" si="38"/>
        <v>0.05</v>
      </c>
      <c r="Q70" s="12">
        <f t="shared" si="38"/>
        <v>0.05</v>
      </c>
      <c r="R70" s="12">
        <f t="shared" si="38"/>
        <v>0.05</v>
      </c>
      <c r="S70" s="12">
        <f t="shared" si="38"/>
        <v>0.05</v>
      </c>
      <c r="T70" s="12">
        <f t="shared" si="38"/>
        <v>0.05</v>
      </c>
      <c r="U70" s="12">
        <f t="shared" si="38"/>
        <v>0.05</v>
      </c>
      <c r="V70" s="12">
        <f t="shared" si="38"/>
        <v>0.05</v>
      </c>
      <c r="W70" s="12">
        <f t="shared" si="38"/>
        <v>0.05</v>
      </c>
      <c r="X70" s="12">
        <f t="shared" si="38"/>
        <v>0.05</v>
      </c>
      <c r="Y70" s="12">
        <f t="shared" si="38"/>
        <v>0.05</v>
      </c>
      <c r="Z70" s="12">
        <f t="shared" si="38"/>
        <v>0.05</v>
      </c>
      <c r="AA70" s="12">
        <f t="shared" si="38"/>
        <v>0.05</v>
      </c>
      <c r="AB70" s="12">
        <f t="shared" si="38"/>
        <v>0.05</v>
      </c>
      <c r="AC70" s="12">
        <f t="shared" si="38"/>
        <v>0.05</v>
      </c>
      <c r="AD70" s="12">
        <f t="shared" si="38"/>
        <v>0.05</v>
      </c>
      <c r="AE70" s="12">
        <f t="shared" si="38"/>
        <v>0.05</v>
      </c>
      <c r="AF70" s="12">
        <f t="shared" si="38"/>
        <v>0.05</v>
      </c>
      <c r="AG70" s="12">
        <f t="shared" si="38"/>
        <v>0.05</v>
      </c>
      <c r="AH70" s="12">
        <f t="shared" si="38"/>
        <v>0.05</v>
      </c>
      <c r="AI70" s="12">
        <f t="shared" si="38"/>
        <v>0.05</v>
      </c>
      <c r="AJ70" s="12">
        <f t="shared" si="38"/>
        <v>0.05</v>
      </c>
      <c r="AK70" s="12">
        <f t="shared" si="38"/>
        <v>0.05</v>
      </c>
      <c r="AL70" s="12">
        <f t="shared" si="38"/>
        <v>0.05</v>
      </c>
      <c r="AM70" s="12">
        <f t="shared" si="38"/>
        <v>0.05</v>
      </c>
      <c r="AN70" s="12">
        <f t="shared" si="38"/>
        <v>0.05</v>
      </c>
      <c r="AO70" s="12">
        <f t="shared" si="38"/>
        <v>0.05</v>
      </c>
      <c r="AP70" s="12">
        <f t="shared" si="38"/>
        <v>0.05</v>
      </c>
      <c r="AQ70" s="12">
        <f t="shared" si="38"/>
        <v>0.05</v>
      </c>
      <c r="AR70" s="12">
        <f t="shared" si="38"/>
        <v>0.05</v>
      </c>
      <c r="AS70" s="12">
        <f t="shared" si="38"/>
        <v>0.05</v>
      </c>
      <c r="AT70" s="12">
        <f t="shared" si="38"/>
        <v>0.05</v>
      </c>
      <c r="AU70" s="12">
        <f t="shared" si="38"/>
        <v>0.05</v>
      </c>
      <c r="AV70" s="12">
        <f t="shared" si="38"/>
        <v>0.05</v>
      </c>
      <c r="AW70" s="12">
        <f t="shared" si="38"/>
        <v>0.05</v>
      </c>
      <c r="AX70" s="12">
        <f t="shared" si="38"/>
        <v>0.05</v>
      </c>
      <c r="AY70" s="12">
        <f t="shared" si="38"/>
        <v>0.05</v>
      </c>
      <c r="AZ70" s="12">
        <f t="shared" si="38"/>
        <v>0.05</v>
      </c>
      <c r="BA70" s="12">
        <f t="shared" si="38"/>
        <v>0.05</v>
      </c>
      <c r="BB70" s="12">
        <f t="shared" si="38"/>
        <v>0.05</v>
      </c>
      <c r="BC70" s="12">
        <f t="shared" si="38"/>
        <v>0.05</v>
      </c>
      <c r="BD70" s="12">
        <f t="shared" si="38"/>
        <v>0.05</v>
      </c>
      <c r="BE70" s="12">
        <f t="shared" si="38"/>
        <v>0.05</v>
      </c>
      <c r="BF70" s="12">
        <f t="shared" si="38"/>
        <v>0.05</v>
      </c>
      <c r="BG70" s="12">
        <f t="shared" si="38"/>
        <v>0.05</v>
      </c>
      <c r="BH70" s="12">
        <f t="shared" si="38"/>
        <v>0.05</v>
      </c>
      <c r="BI70" s="12">
        <f t="shared" si="38"/>
        <v>0.05</v>
      </c>
      <c r="BJ70" s="12">
        <f t="shared" si="38"/>
        <v>0.05</v>
      </c>
      <c r="BK70" s="12">
        <f t="shared" si="38"/>
        <v>0.05</v>
      </c>
      <c r="BL70" s="12">
        <f t="shared" si="38"/>
        <v>0.05</v>
      </c>
    </row>
    <row r="71" spans="2:64" x14ac:dyDescent="0.35">
      <c r="C71" s="2" t="s">
        <v>463</v>
      </c>
      <c r="D71" s="4">
        <f>D62</f>
        <v>2</v>
      </c>
      <c r="E71" s="4">
        <f>$D$71</f>
        <v>2</v>
      </c>
      <c r="F71" s="4">
        <f t="shared" ref="F71:BL71" si="39">$D$71</f>
        <v>2</v>
      </c>
      <c r="G71" s="4">
        <f t="shared" si="39"/>
        <v>2</v>
      </c>
      <c r="H71" s="4">
        <f t="shared" si="39"/>
        <v>2</v>
      </c>
      <c r="I71" s="4">
        <f t="shared" si="39"/>
        <v>2</v>
      </c>
      <c r="J71" s="4">
        <f t="shared" si="39"/>
        <v>2</v>
      </c>
      <c r="K71" s="4">
        <f t="shared" si="39"/>
        <v>2</v>
      </c>
      <c r="L71" s="4">
        <f t="shared" si="39"/>
        <v>2</v>
      </c>
      <c r="M71" s="4">
        <f t="shared" si="39"/>
        <v>2</v>
      </c>
      <c r="N71" s="4">
        <f t="shared" si="39"/>
        <v>2</v>
      </c>
      <c r="O71" s="4">
        <f t="shared" si="39"/>
        <v>2</v>
      </c>
      <c r="P71" s="4">
        <f t="shared" si="39"/>
        <v>2</v>
      </c>
      <c r="Q71" s="4">
        <f t="shared" si="39"/>
        <v>2</v>
      </c>
      <c r="R71" s="4">
        <f t="shared" si="39"/>
        <v>2</v>
      </c>
      <c r="S71" s="4">
        <f t="shared" si="39"/>
        <v>2</v>
      </c>
      <c r="T71" s="4">
        <f t="shared" si="39"/>
        <v>2</v>
      </c>
      <c r="U71" s="4">
        <f t="shared" si="39"/>
        <v>2</v>
      </c>
      <c r="V71" s="4">
        <f t="shared" si="39"/>
        <v>2</v>
      </c>
      <c r="W71" s="4">
        <f t="shared" si="39"/>
        <v>2</v>
      </c>
      <c r="X71" s="4">
        <f t="shared" si="39"/>
        <v>2</v>
      </c>
      <c r="Y71" s="4">
        <f t="shared" si="39"/>
        <v>2</v>
      </c>
      <c r="Z71" s="4">
        <f t="shared" si="39"/>
        <v>2</v>
      </c>
      <c r="AA71" s="4">
        <f t="shared" si="39"/>
        <v>2</v>
      </c>
      <c r="AB71" s="4">
        <f t="shared" si="39"/>
        <v>2</v>
      </c>
      <c r="AC71" s="4">
        <f t="shared" si="39"/>
        <v>2</v>
      </c>
      <c r="AD71" s="4">
        <f t="shared" si="39"/>
        <v>2</v>
      </c>
      <c r="AE71" s="4">
        <f t="shared" si="39"/>
        <v>2</v>
      </c>
      <c r="AF71" s="4">
        <f t="shared" si="39"/>
        <v>2</v>
      </c>
      <c r="AG71" s="4">
        <f t="shared" si="39"/>
        <v>2</v>
      </c>
      <c r="AH71" s="4">
        <f t="shared" si="39"/>
        <v>2</v>
      </c>
      <c r="AI71" s="4">
        <f t="shared" si="39"/>
        <v>2</v>
      </c>
      <c r="AJ71" s="4">
        <f t="shared" si="39"/>
        <v>2</v>
      </c>
      <c r="AK71" s="4">
        <f t="shared" si="39"/>
        <v>2</v>
      </c>
      <c r="AL71" s="4">
        <f t="shared" si="39"/>
        <v>2</v>
      </c>
      <c r="AM71" s="4">
        <f t="shared" si="39"/>
        <v>2</v>
      </c>
      <c r="AN71" s="4">
        <f t="shared" si="39"/>
        <v>2</v>
      </c>
      <c r="AO71" s="4">
        <f t="shared" si="39"/>
        <v>2</v>
      </c>
      <c r="AP71" s="4">
        <f t="shared" si="39"/>
        <v>2</v>
      </c>
      <c r="AQ71" s="4">
        <f t="shared" si="39"/>
        <v>2</v>
      </c>
      <c r="AR71" s="4">
        <f t="shared" si="39"/>
        <v>2</v>
      </c>
      <c r="AS71" s="4">
        <f t="shared" si="39"/>
        <v>2</v>
      </c>
      <c r="AT71" s="4">
        <f t="shared" si="39"/>
        <v>2</v>
      </c>
      <c r="AU71" s="4">
        <f t="shared" si="39"/>
        <v>2</v>
      </c>
      <c r="AV71" s="4">
        <f t="shared" si="39"/>
        <v>2</v>
      </c>
      <c r="AW71" s="4">
        <f t="shared" si="39"/>
        <v>2</v>
      </c>
      <c r="AX71" s="4">
        <f t="shared" si="39"/>
        <v>2</v>
      </c>
      <c r="AY71" s="4">
        <f t="shared" si="39"/>
        <v>2</v>
      </c>
      <c r="AZ71" s="4">
        <f t="shared" si="39"/>
        <v>2</v>
      </c>
      <c r="BA71" s="4">
        <f t="shared" si="39"/>
        <v>2</v>
      </c>
      <c r="BB71" s="4">
        <f t="shared" si="39"/>
        <v>2</v>
      </c>
      <c r="BC71" s="4">
        <f t="shared" si="39"/>
        <v>2</v>
      </c>
      <c r="BD71" s="4">
        <f t="shared" si="39"/>
        <v>2</v>
      </c>
      <c r="BE71" s="4">
        <f t="shared" si="39"/>
        <v>2</v>
      </c>
      <c r="BF71" s="4">
        <f t="shared" si="39"/>
        <v>2</v>
      </c>
      <c r="BG71" s="4">
        <f t="shared" si="39"/>
        <v>2</v>
      </c>
      <c r="BH71" s="4">
        <f t="shared" si="39"/>
        <v>2</v>
      </c>
      <c r="BI71" s="4">
        <f t="shared" si="39"/>
        <v>2</v>
      </c>
      <c r="BJ71" s="4">
        <f t="shared" si="39"/>
        <v>2</v>
      </c>
      <c r="BK71" s="4">
        <f t="shared" si="39"/>
        <v>2</v>
      </c>
      <c r="BL71" s="4">
        <f t="shared" si="39"/>
        <v>2</v>
      </c>
    </row>
    <row r="72" spans="2:64" x14ac:dyDescent="0.35">
      <c r="C72" s="2" t="s">
        <v>464</v>
      </c>
      <c r="E72" s="12">
        <f>E70/E71</f>
        <v>2.5000000000000001E-2</v>
      </c>
      <c r="F72" s="12">
        <f t="shared" ref="F72:BL72" si="40">F70/F71</f>
        <v>2.5000000000000001E-2</v>
      </c>
      <c r="G72" s="12">
        <f t="shared" si="40"/>
        <v>2.5000000000000001E-2</v>
      </c>
      <c r="H72" s="12">
        <f t="shared" si="40"/>
        <v>2.5000000000000001E-2</v>
      </c>
      <c r="I72" s="12">
        <f t="shared" si="40"/>
        <v>2.5000000000000001E-2</v>
      </c>
      <c r="J72" s="12">
        <f t="shared" si="40"/>
        <v>2.5000000000000001E-2</v>
      </c>
      <c r="K72" s="12">
        <f t="shared" si="40"/>
        <v>2.5000000000000001E-2</v>
      </c>
      <c r="L72" s="12">
        <f t="shared" si="40"/>
        <v>2.5000000000000001E-2</v>
      </c>
      <c r="M72" s="12">
        <f t="shared" si="40"/>
        <v>2.5000000000000001E-2</v>
      </c>
      <c r="N72" s="12">
        <f t="shared" si="40"/>
        <v>2.5000000000000001E-2</v>
      </c>
      <c r="O72" s="12">
        <f t="shared" si="40"/>
        <v>2.5000000000000001E-2</v>
      </c>
      <c r="P72" s="12">
        <f t="shared" si="40"/>
        <v>2.5000000000000001E-2</v>
      </c>
      <c r="Q72" s="12">
        <f t="shared" si="40"/>
        <v>2.5000000000000001E-2</v>
      </c>
      <c r="R72" s="12">
        <f t="shared" si="40"/>
        <v>2.5000000000000001E-2</v>
      </c>
      <c r="S72" s="12">
        <f t="shared" si="40"/>
        <v>2.5000000000000001E-2</v>
      </c>
      <c r="T72" s="12">
        <f t="shared" si="40"/>
        <v>2.5000000000000001E-2</v>
      </c>
      <c r="U72" s="12">
        <f t="shared" si="40"/>
        <v>2.5000000000000001E-2</v>
      </c>
      <c r="V72" s="12">
        <f t="shared" si="40"/>
        <v>2.5000000000000001E-2</v>
      </c>
      <c r="W72" s="12">
        <f t="shared" si="40"/>
        <v>2.5000000000000001E-2</v>
      </c>
      <c r="X72" s="12">
        <f t="shared" si="40"/>
        <v>2.5000000000000001E-2</v>
      </c>
      <c r="Y72" s="12">
        <f t="shared" si="40"/>
        <v>2.5000000000000001E-2</v>
      </c>
      <c r="Z72" s="12">
        <f t="shared" si="40"/>
        <v>2.5000000000000001E-2</v>
      </c>
      <c r="AA72" s="12">
        <f t="shared" si="40"/>
        <v>2.5000000000000001E-2</v>
      </c>
      <c r="AB72" s="12">
        <f t="shared" si="40"/>
        <v>2.5000000000000001E-2</v>
      </c>
      <c r="AC72" s="12">
        <f t="shared" si="40"/>
        <v>2.5000000000000001E-2</v>
      </c>
      <c r="AD72" s="12">
        <f t="shared" si="40"/>
        <v>2.5000000000000001E-2</v>
      </c>
      <c r="AE72" s="12">
        <f t="shared" si="40"/>
        <v>2.5000000000000001E-2</v>
      </c>
      <c r="AF72" s="12">
        <f t="shared" si="40"/>
        <v>2.5000000000000001E-2</v>
      </c>
      <c r="AG72" s="12">
        <f t="shared" si="40"/>
        <v>2.5000000000000001E-2</v>
      </c>
      <c r="AH72" s="12">
        <f t="shared" si="40"/>
        <v>2.5000000000000001E-2</v>
      </c>
      <c r="AI72" s="12">
        <f t="shared" si="40"/>
        <v>2.5000000000000001E-2</v>
      </c>
      <c r="AJ72" s="12">
        <f t="shared" si="40"/>
        <v>2.5000000000000001E-2</v>
      </c>
      <c r="AK72" s="12">
        <f t="shared" si="40"/>
        <v>2.5000000000000001E-2</v>
      </c>
      <c r="AL72" s="12">
        <f t="shared" si="40"/>
        <v>2.5000000000000001E-2</v>
      </c>
      <c r="AM72" s="12">
        <f t="shared" si="40"/>
        <v>2.5000000000000001E-2</v>
      </c>
      <c r="AN72" s="12">
        <f t="shared" si="40"/>
        <v>2.5000000000000001E-2</v>
      </c>
      <c r="AO72" s="12">
        <f t="shared" si="40"/>
        <v>2.5000000000000001E-2</v>
      </c>
      <c r="AP72" s="12">
        <f t="shared" si="40"/>
        <v>2.5000000000000001E-2</v>
      </c>
      <c r="AQ72" s="12">
        <f t="shared" si="40"/>
        <v>2.5000000000000001E-2</v>
      </c>
      <c r="AR72" s="12">
        <f t="shared" si="40"/>
        <v>2.5000000000000001E-2</v>
      </c>
      <c r="AS72" s="12">
        <f t="shared" si="40"/>
        <v>2.5000000000000001E-2</v>
      </c>
      <c r="AT72" s="12">
        <f t="shared" si="40"/>
        <v>2.5000000000000001E-2</v>
      </c>
      <c r="AU72" s="12">
        <f t="shared" si="40"/>
        <v>2.5000000000000001E-2</v>
      </c>
      <c r="AV72" s="12">
        <f t="shared" si="40"/>
        <v>2.5000000000000001E-2</v>
      </c>
      <c r="AW72" s="12">
        <f t="shared" si="40"/>
        <v>2.5000000000000001E-2</v>
      </c>
      <c r="AX72" s="12">
        <f t="shared" si="40"/>
        <v>2.5000000000000001E-2</v>
      </c>
      <c r="AY72" s="12">
        <f t="shared" si="40"/>
        <v>2.5000000000000001E-2</v>
      </c>
      <c r="AZ72" s="12">
        <f t="shared" si="40"/>
        <v>2.5000000000000001E-2</v>
      </c>
      <c r="BA72" s="12">
        <f t="shared" si="40"/>
        <v>2.5000000000000001E-2</v>
      </c>
      <c r="BB72" s="12">
        <f t="shared" si="40"/>
        <v>2.5000000000000001E-2</v>
      </c>
      <c r="BC72" s="12">
        <f t="shared" si="40"/>
        <v>2.5000000000000001E-2</v>
      </c>
      <c r="BD72" s="12">
        <f t="shared" si="40"/>
        <v>2.5000000000000001E-2</v>
      </c>
      <c r="BE72" s="12">
        <f t="shared" si="40"/>
        <v>2.5000000000000001E-2</v>
      </c>
      <c r="BF72" s="12">
        <f t="shared" si="40"/>
        <v>2.5000000000000001E-2</v>
      </c>
      <c r="BG72" s="12">
        <f t="shared" si="40"/>
        <v>2.5000000000000001E-2</v>
      </c>
      <c r="BH72" s="12">
        <f t="shared" si="40"/>
        <v>2.5000000000000001E-2</v>
      </c>
      <c r="BI72" s="12">
        <f t="shared" si="40"/>
        <v>2.5000000000000001E-2</v>
      </c>
      <c r="BJ72" s="12">
        <f t="shared" si="40"/>
        <v>2.5000000000000001E-2</v>
      </c>
      <c r="BK72" s="12">
        <f t="shared" si="40"/>
        <v>2.5000000000000001E-2</v>
      </c>
      <c r="BL72" s="12">
        <f t="shared" si="40"/>
        <v>2.5000000000000001E-2</v>
      </c>
    </row>
    <row r="73" spans="2:64" x14ac:dyDescent="0.35">
      <c r="C73" s="2" t="s">
        <v>465</v>
      </c>
      <c r="D73" s="4">
        <f>D61</f>
        <v>6</v>
      </c>
      <c r="E73" s="4">
        <f>$D$73</f>
        <v>6</v>
      </c>
      <c r="F73" s="4">
        <f t="shared" ref="F73:BL73" si="41">$D$73</f>
        <v>6</v>
      </c>
      <c r="G73" s="4">
        <f t="shared" si="41"/>
        <v>6</v>
      </c>
      <c r="H73" s="4">
        <f t="shared" si="41"/>
        <v>6</v>
      </c>
      <c r="I73" s="4">
        <f t="shared" si="41"/>
        <v>6</v>
      </c>
      <c r="J73" s="4">
        <f t="shared" si="41"/>
        <v>6</v>
      </c>
      <c r="K73" s="4">
        <f t="shared" si="41"/>
        <v>6</v>
      </c>
      <c r="L73" s="4">
        <f t="shared" si="41"/>
        <v>6</v>
      </c>
      <c r="M73" s="4">
        <f t="shared" si="41"/>
        <v>6</v>
      </c>
      <c r="N73" s="4">
        <f t="shared" si="41"/>
        <v>6</v>
      </c>
      <c r="O73" s="4">
        <f t="shared" si="41"/>
        <v>6</v>
      </c>
      <c r="P73" s="4">
        <f t="shared" si="41"/>
        <v>6</v>
      </c>
      <c r="Q73" s="4">
        <f t="shared" si="41"/>
        <v>6</v>
      </c>
      <c r="R73" s="4">
        <f t="shared" si="41"/>
        <v>6</v>
      </c>
      <c r="S73" s="4">
        <f t="shared" si="41"/>
        <v>6</v>
      </c>
      <c r="T73" s="4">
        <f t="shared" si="41"/>
        <v>6</v>
      </c>
      <c r="U73" s="4">
        <f t="shared" si="41"/>
        <v>6</v>
      </c>
      <c r="V73" s="4">
        <f t="shared" si="41"/>
        <v>6</v>
      </c>
      <c r="W73" s="4">
        <f t="shared" si="41"/>
        <v>6</v>
      </c>
      <c r="X73" s="4">
        <f t="shared" si="41"/>
        <v>6</v>
      </c>
      <c r="Y73" s="4">
        <f t="shared" si="41"/>
        <v>6</v>
      </c>
      <c r="Z73" s="4">
        <f t="shared" si="41"/>
        <v>6</v>
      </c>
      <c r="AA73" s="4">
        <f t="shared" si="41"/>
        <v>6</v>
      </c>
      <c r="AB73" s="4">
        <f t="shared" si="41"/>
        <v>6</v>
      </c>
      <c r="AC73" s="4">
        <f t="shared" si="41"/>
        <v>6</v>
      </c>
      <c r="AD73" s="4">
        <f t="shared" si="41"/>
        <v>6</v>
      </c>
      <c r="AE73" s="4">
        <f t="shared" si="41"/>
        <v>6</v>
      </c>
      <c r="AF73" s="4">
        <f t="shared" si="41"/>
        <v>6</v>
      </c>
      <c r="AG73" s="4">
        <f t="shared" si="41"/>
        <v>6</v>
      </c>
      <c r="AH73" s="4">
        <f t="shared" si="41"/>
        <v>6</v>
      </c>
      <c r="AI73" s="4">
        <f t="shared" si="41"/>
        <v>6</v>
      </c>
      <c r="AJ73" s="4">
        <f t="shared" si="41"/>
        <v>6</v>
      </c>
      <c r="AK73" s="4">
        <f t="shared" si="41"/>
        <v>6</v>
      </c>
      <c r="AL73" s="4">
        <f t="shared" si="41"/>
        <v>6</v>
      </c>
      <c r="AM73" s="4">
        <f t="shared" si="41"/>
        <v>6</v>
      </c>
      <c r="AN73" s="4">
        <f t="shared" si="41"/>
        <v>6</v>
      </c>
      <c r="AO73" s="4">
        <f t="shared" si="41"/>
        <v>6</v>
      </c>
      <c r="AP73" s="4">
        <f t="shared" si="41"/>
        <v>6</v>
      </c>
      <c r="AQ73" s="4">
        <f t="shared" si="41"/>
        <v>6</v>
      </c>
      <c r="AR73" s="4">
        <f t="shared" si="41"/>
        <v>6</v>
      </c>
      <c r="AS73" s="4">
        <f t="shared" si="41"/>
        <v>6</v>
      </c>
      <c r="AT73" s="4">
        <f t="shared" si="41"/>
        <v>6</v>
      </c>
      <c r="AU73" s="4">
        <f t="shared" si="41"/>
        <v>6</v>
      </c>
      <c r="AV73" s="4">
        <f t="shared" si="41"/>
        <v>6</v>
      </c>
      <c r="AW73" s="4">
        <f t="shared" si="41"/>
        <v>6</v>
      </c>
      <c r="AX73" s="4">
        <f t="shared" si="41"/>
        <v>6</v>
      </c>
      <c r="AY73" s="4">
        <f t="shared" si="41"/>
        <v>6</v>
      </c>
      <c r="AZ73" s="4">
        <f t="shared" si="41"/>
        <v>6</v>
      </c>
      <c r="BA73" s="4">
        <f t="shared" si="41"/>
        <v>6</v>
      </c>
      <c r="BB73" s="4">
        <f t="shared" si="41"/>
        <v>6</v>
      </c>
      <c r="BC73" s="4">
        <f t="shared" si="41"/>
        <v>6</v>
      </c>
      <c r="BD73" s="4">
        <f t="shared" si="41"/>
        <v>6</v>
      </c>
      <c r="BE73" s="4">
        <f t="shared" si="41"/>
        <v>6</v>
      </c>
      <c r="BF73" s="4">
        <f t="shared" si="41"/>
        <v>6</v>
      </c>
      <c r="BG73" s="4">
        <f t="shared" si="41"/>
        <v>6</v>
      </c>
      <c r="BH73" s="4">
        <f t="shared" si="41"/>
        <v>6</v>
      </c>
      <c r="BI73" s="4">
        <f t="shared" si="41"/>
        <v>6</v>
      </c>
      <c r="BJ73" s="4">
        <f t="shared" si="41"/>
        <v>6</v>
      </c>
      <c r="BK73" s="4">
        <f t="shared" si="41"/>
        <v>6</v>
      </c>
      <c r="BL73" s="4">
        <f t="shared" si="41"/>
        <v>6</v>
      </c>
    </row>
    <row r="74" spans="2:64" x14ac:dyDescent="0.35">
      <c r="C74" s="2" t="s">
        <v>113</v>
      </c>
      <c r="E74" s="21">
        <f>(1+E72)^(1/E73)-1</f>
        <v>4.1239154651442345E-3</v>
      </c>
      <c r="F74" s="21">
        <f t="shared" ref="F74:BL74" si="42">(1+F72)^(1/F73)-1</f>
        <v>4.1239154651442345E-3</v>
      </c>
      <c r="G74" s="21">
        <f t="shared" si="42"/>
        <v>4.1239154651442345E-3</v>
      </c>
      <c r="H74" s="21">
        <f t="shared" si="42"/>
        <v>4.1239154651442345E-3</v>
      </c>
      <c r="I74" s="21">
        <f t="shared" si="42"/>
        <v>4.1239154651442345E-3</v>
      </c>
      <c r="J74" s="21">
        <f t="shared" si="42"/>
        <v>4.1239154651442345E-3</v>
      </c>
      <c r="K74" s="21">
        <f t="shared" si="42"/>
        <v>4.1239154651442345E-3</v>
      </c>
      <c r="L74" s="21">
        <f t="shared" si="42"/>
        <v>4.1239154651442345E-3</v>
      </c>
      <c r="M74" s="21">
        <f t="shared" si="42"/>
        <v>4.1239154651442345E-3</v>
      </c>
      <c r="N74" s="21">
        <f t="shared" si="42"/>
        <v>4.1239154651442345E-3</v>
      </c>
      <c r="O74" s="21">
        <f t="shared" si="42"/>
        <v>4.1239154651442345E-3</v>
      </c>
      <c r="P74" s="21">
        <f t="shared" si="42"/>
        <v>4.1239154651442345E-3</v>
      </c>
      <c r="Q74" s="21">
        <f t="shared" si="42"/>
        <v>4.1239154651442345E-3</v>
      </c>
      <c r="R74" s="21">
        <f t="shared" si="42"/>
        <v>4.1239154651442345E-3</v>
      </c>
      <c r="S74" s="21">
        <f t="shared" si="42"/>
        <v>4.1239154651442345E-3</v>
      </c>
      <c r="T74" s="21">
        <f t="shared" si="42"/>
        <v>4.1239154651442345E-3</v>
      </c>
      <c r="U74" s="21">
        <f t="shared" si="42"/>
        <v>4.1239154651442345E-3</v>
      </c>
      <c r="V74" s="21">
        <f t="shared" si="42"/>
        <v>4.1239154651442345E-3</v>
      </c>
      <c r="W74" s="21">
        <f t="shared" si="42"/>
        <v>4.1239154651442345E-3</v>
      </c>
      <c r="X74" s="21">
        <f t="shared" si="42"/>
        <v>4.1239154651442345E-3</v>
      </c>
      <c r="Y74" s="21">
        <f t="shared" si="42"/>
        <v>4.1239154651442345E-3</v>
      </c>
      <c r="Z74" s="21">
        <f t="shared" si="42"/>
        <v>4.1239154651442345E-3</v>
      </c>
      <c r="AA74" s="21">
        <f t="shared" si="42"/>
        <v>4.1239154651442345E-3</v>
      </c>
      <c r="AB74" s="21">
        <f t="shared" si="42"/>
        <v>4.1239154651442345E-3</v>
      </c>
      <c r="AC74" s="21">
        <f t="shared" si="42"/>
        <v>4.1239154651442345E-3</v>
      </c>
      <c r="AD74" s="21">
        <f t="shared" si="42"/>
        <v>4.1239154651442345E-3</v>
      </c>
      <c r="AE74" s="21">
        <f t="shared" si="42"/>
        <v>4.1239154651442345E-3</v>
      </c>
      <c r="AF74" s="21">
        <f t="shared" si="42"/>
        <v>4.1239154651442345E-3</v>
      </c>
      <c r="AG74" s="21">
        <f t="shared" si="42"/>
        <v>4.1239154651442345E-3</v>
      </c>
      <c r="AH74" s="21">
        <f t="shared" si="42"/>
        <v>4.1239154651442345E-3</v>
      </c>
      <c r="AI74" s="21">
        <f t="shared" si="42"/>
        <v>4.1239154651442345E-3</v>
      </c>
      <c r="AJ74" s="21">
        <f t="shared" si="42"/>
        <v>4.1239154651442345E-3</v>
      </c>
      <c r="AK74" s="21">
        <f t="shared" si="42"/>
        <v>4.1239154651442345E-3</v>
      </c>
      <c r="AL74" s="21">
        <f t="shared" si="42"/>
        <v>4.1239154651442345E-3</v>
      </c>
      <c r="AM74" s="21">
        <f t="shared" si="42"/>
        <v>4.1239154651442345E-3</v>
      </c>
      <c r="AN74" s="21">
        <f t="shared" si="42"/>
        <v>4.1239154651442345E-3</v>
      </c>
      <c r="AO74" s="21">
        <f t="shared" si="42"/>
        <v>4.1239154651442345E-3</v>
      </c>
      <c r="AP74" s="21">
        <f t="shared" si="42"/>
        <v>4.1239154651442345E-3</v>
      </c>
      <c r="AQ74" s="21">
        <f t="shared" si="42"/>
        <v>4.1239154651442345E-3</v>
      </c>
      <c r="AR74" s="21">
        <f t="shared" si="42"/>
        <v>4.1239154651442345E-3</v>
      </c>
      <c r="AS74" s="21">
        <f t="shared" si="42"/>
        <v>4.1239154651442345E-3</v>
      </c>
      <c r="AT74" s="21">
        <f t="shared" si="42"/>
        <v>4.1239154651442345E-3</v>
      </c>
      <c r="AU74" s="21">
        <f t="shared" si="42"/>
        <v>4.1239154651442345E-3</v>
      </c>
      <c r="AV74" s="21">
        <f t="shared" si="42"/>
        <v>4.1239154651442345E-3</v>
      </c>
      <c r="AW74" s="21">
        <f t="shared" si="42"/>
        <v>4.1239154651442345E-3</v>
      </c>
      <c r="AX74" s="21">
        <f t="shared" si="42"/>
        <v>4.1239154651442345E-3</v>
      </c>
      <c r="AY74" s="21">
        <f t="shared" si="42"/>
        <v>4.1239154651442345E-3</v>
      </c>
      <c r="AZ74" s="21">
        <f t="shared" si="42"/>
        <v>4.1239154651442345E-3</v>
      </c>
      <c r="BA74" s="21">
        <f t="shared" si="42"/>
        <v>4.1239154651442345E-3</v>
      </c>
      <c r="BB74" s="21">
        <f t="shared" si="42"/>
        <v>4.1239154651442345E-3</v>
      </c>
      <c r="BC74" s="21">
        <f t="shared" si="42"/>
        <v>4.1239154651442345E-3</v>
      </c>
      <c r="BD74" s="21">
        <f t="shared" si="42"/>
        <v>4.1239154651442345E-3</v>
      </c>
      <c r="BE74" s="21">
        <f t="shared" si="42"/>
        <v>4.1239154651442345E-3</v>
      </c>
      <c r="BF74" s="21">
        <f t="shared" si="42"/>
        <v>4.1239154651442345E-3</v>
      </c>
      <c r="BG74" s="21">
        <f t="shared" si="42"/>
        <v>4.1239154651442345E-3</v>
      </c>
      <c r="BH74" s="21">
        <f t="shared" si="42"/>
        <v>4.1239154651442345E-3</v>
      </c>
      <c r="BI74" s="21">
        <f t="shared" si="42"/>
        <v>4.1239154651442345E-3</v>
      </c>
      <c r="BJ74" s="21">
        <f t="shared" si="42"/>
        <v>4.1239154651442345E-3</v>
      </c>
      <c r="BK74" s="21">
        <f t="shared" si="42"/>
        <v>4.1239154651442345E-3</v>
      </c>
      <c r="BL74" s="21">
        <f t="shared" si="42"/>
        <v>4.1239154651442345E-3</v>
      </c>
    </row>
    <row r="75" spans="2:64" x14ac:dyDescent="0.35">
      <c r="E75" s="21"/>
      <c r="F75" s="21"/>
      <c r="G75" s="21"/>
      <c r="H75" s="21"/>
      <c r="I75" s="21"/>
      <c r="J75" s="21"/>
      <c r="K75" s="21"/>
      <c r="L75" s="21"/>
      <c r="M75" s="21"/>
      <c r="N75" s="21"/>
      <c r="O75" s="21"/>
      <c r="P75" s="21"/>
      <c r="Q75" s="21"/>
      <c r="R75" s="21"/>
      <c r="S75" s="21"/>
      <c r="T75" s="21"/>
      <c r="U75" s="21"/>
      <c r="V75" s="21"/>
      <c r="W75" s="21"/>
      <c r="X75" s="21"/>
      <c r="Y75" s="21"/>
      <c r="Z75" s="21"/>
      <c r="AA75" s="21"/>
      <c r="AB75" s="21"/>
      <c r="AC75" s="21"/>
      <c r="AD75" s="21"/>
      <c r="AE75" s="21"/>
      <c r="AF75" s="21"/>
      <c r="AG75" s="21"/>
      <c r="AH75" s="21"/>
      <c r="AI75" s="21"/>
      <c r="AJ75" s="21"/>
      <c r="AK75" s="21"/>
      <c r="AL75" s="21"/>
      <c r="AM75" s="21"/>
      <c r="AN75" s="21"/>
      <c r="AO75" s="21"/>
      <c r="AP75" s="21"/>
      <c r="AQ75" s="21"/>
      <c r="AR75" s="21"/>
      <c r="AS75" s="21"/>
      <c r="AT75" s="21"/>
      <c r="AU75" s="21"/>
      <c r="AV75" s="21"/>
      <c r="AW75" s="21"/>
      <c r="AX75" s="21"/>
      <c r="AY75" s="21"/>
      <c r="AZ75" s="21"/>
      <c r="BA75" s="21"/>
      <c r="BB75" s="21"/>
      <c r="BC75" s="21"/>
      <c r="BD75" s="21"/>
      <c r="BE75" s="21"/>
      <c r="BF75" s="21"/>
      <c r="BG75" s="21"/>
      <c r="BH75" s="21"/>
      <c r="BI75" s="21"/>
      <c r="BJ75" s="21"/>
      <c r="BK75" s="21"/>
      <c r="BL75" s="21"/>
    </row>
    <row r="76" spans="2:64" x14ac:dyDescent="0.35">
      <c r="C76" s="34" t="s">
        <v>113</v>
      </c>
      <c r="D76" s="57"/>
      <c r="E76" s="134">
        <f t="shared" ref="E76:AJ76" si="43">(1+LOOKUP(E67,6:6,12:12)/$D$62)^(1/$D$61)-1</f>
        <v>4.1239154651442345E-3</v>
      </c>
      <c r="F76" s="134">
        <f t="shared" si="43"/>
        <v>4.1239154651442345E-3</v>
      </c>
      <c r="G76" s="134">
        <f t="shared" si="43"/>
        <v>4.1239154651442345E-3</v>
      </c>
      <c r="H76" s="134">
        <f t="shared" si="43"/>
        <v>4.1239154651442345E-3</v>
      </c>
      <c r="I76" s="134">
        <f t="shared" si="43"/>
        <v>4.1239154651442345E-3</v>
      </c>
      <c r="J76" s="134">
        <f t="shared" si="43"/>
        <v>4.1239154651442345E-3</v>
      </c>
      <c r="K76" s="134">
        <f t="shared" si="43"/>
        <v>4.1239154651442345E-3</v>
      </c>
      <c r="L76" s="134">
        <f t="shared" si="43"/>
        <v>4.1239154651442345E-3</v>
      </c>
      <c r="M76" s="134">
        <f t="shared" si="43"/>
        <v>4.1239154651442345E-3</v>
      </c>
      <c r="N76" s="134">
        <f t="shared" si="43"/>
        <v>4.1239154651442345E-3</v>
      </c>
      <c r="O76" s="134">
        <f t="shared" si="43"/>
        <v>4.1239154651442345E-3</v>
      </c>
      <c r="P76" s="134">
        <f t="shared" si="43"/>
        <v>4.1239154651442345E-3</v>
      </c>
      <c r="Q76" s="134">
        <f t="shared" si="43"/>
        <v>4.1239154651442345E-3</v>
      </c>
      <c r="R76" s="134">
        <f t="shared" si="43"/>
        <v>4.1239154651442345E-3</v>
      </c>
      <c r="S76" s="134">
        <f t="shared" si="43"/>
        <v>4.1239154651442345E-3</v>
      </c>
      <c r="T76" s="134">
        <f t="shared" si="43"/>
        <v>4.1239154651442345E-3</v>
      </c>
      <c r="U76" s="134">
        <f t="shared" si="43"/>
        <v>4.1239154651442345E-3</v>
      </c>
      <c r="V76" s="134">
        <f t="shared" si="43"/>
        <v>4.1239154651442345E-3</v>
      </c>
      <c r="W76" s="134">
        <f t="shared" si="43"/>
        <v>4.1239154651442345E-3</v>
      </c>
      <c r="X76" s="134">
        <f t="shared" si="43"/>
        <v>4.1239154651442345E-3</v>
      </c>
      <c r="Y76" s="134">
        <f t="shared" si="43"/>
        <v>4.1239154651442345E-3</v>
      </c>
      <c r="Z76" s="134">
        <f t="shared" si="43"/>
        <v>4.1239154651442345E-3</v>
      </c>
      <c r="AA76" s="134">
        <f t="shared" si="43"/>
        <v>4.1239154651442345E-3</v>
      </c>
      <c r="AB76" s="134">
        <f t="shared" si="43"/>
        <v>4.1239154651442345E-3</v>
      </c>
      <c r="AC76" s="134">
        <f t="shared" si="43"/>
        <v>4.1239154651442345E-3</v>
      </c>
      <c r="AD76" s="134">
        <f t="shared" si="43"/>
        <v>4.1239154651442345E-3</v>
      </c>
      <c r="AE76" s="134">
        <f t="shared" si="43"/>
        <v>4.1239154651442345E-3</v>
      </c>
      <c r="AF76" s="134">
        <f t="shared" si="43"/>
        <v>4.1239154651442345E-3</v>
      </c>
      <c r="AG76" s="134">
        <f t="shared" si="43"/>
        <v>4.1239154651442345E-3</v>
      </c>
      <c r="AH76" s="134">
        <f t="shared" si="43"/>
        <v>4.1239154651442345E-3</v>
      </c>
      <c r="AI76" s="134">
        <f t="shared" si="43"/>
        <v>4.1239154651442345E-3</v>
      </c>
      <c r="AJ76" s="134">
        <f t="shared" si="43"/>
        <v>4.1239154651442345E-3</v>
      </c>
      <c r="AK76" s="134">
        <f t="shared" ref="AK76:BL76" si="44">(1+LOOKUP(AK67,6:6,12:12)/$D$62)^(1/$D$61)-1</f>
        <v>4.1239154651442345E-3</v>
      </c>
      <c r="AL76" s="134">
        <f t="shared" si="44"/>
        <v>4.1239154651442345E-3</v>
      </c>
      <c r="AM76" s="134">
        <f t="shared" si="44"/>
        <v>4.1239154651442345E-3</v>
      </c>
      <c r="AN76" s="134">
        <f t="shared" si="44"/>
        <v>4.1239154651442345E-3</v>
      </c>
      <c r="AO76" s="134">
        <f t="shared" si="44"/>
        <v>4.1239154651442345E-3</v>
      </c>
      <c r="AP76" s="134">
        <f t="shared" si="44"/>
        <v>4.1239154651442345E-3</v>
      </c>
      <c r="AQ76" s="134">
        <f t="shared" si="44"/>
        <v>4.1239154651442345E-3</v>
      </c>
      <c r="AR76" s="134">
        <f t="shared" si="44"/>
        <v>4.1239154651442345E-3</v>
      </c>
      <c r="AS76" s="134">
        <f t="shared" si="44"/>
        <v>4.1239154651442345E-3</v>
      </c>
      <c r="AT76" s="134">
        <f t="shared" si="44"/>
        <v>4.1239154651442345E-3</v>
      </c>
      <c r="AU76" s="134">
        <f t="shared" si="44"/>
        <v>4.1239154651442345E-3</v>
      </c>
      <c r="AV76" s="134">
        <f t="shared" si="44"/>
        <v>4.1239154651442345E-3</v>
      </c>
      <c r="AW76" s="134">
        <f t="shared" si="44"/>
        <v>4.1239154651442345E-3</v>
      </c>
      <c r="AX76" s="134">
        <f t="shared" si="44"/>
        <v>4.1239154651442345E-3</v>
      </c>
      <c r="AY76" s="134">
        <f t="shared" si="44"/>
        <v>4.1239154651442345E-3</v>
      </c>
      <c r="AZ76" s="134">
        <f t="shared" si="44"/>
        <v>4.1239154651442345E-3</v>
      </c>
      <c r="BA76" s="134">
        <f t="shared" si="44"/>
        <v>4.1239154651442345E-3</v>
      </c>
      <c r="BB76" s="134">
        <f t="shared" si="44"/>
        <v>4.1239154651442345E-3</v>
      </c>
      <c r="BC76" s="134">
        <f t="shared" si="44"/>
        <v>4.1239154651442345E-3</v>
      </c>
      <c r="BD76" s="134">
        <f t="shared" si="44"/>
        <v>4.1239154651442345E-3</v>
      </c>
      <c r="BE76" s="134">
        <f t="shared" si="44"/>
        <v>4.1239154651442345E-3</v>
      </c>
      <c r="BF76" s="134">
        <f t="shared" si="44"/>
        <v>4.1239154651442345E-3</v>
      </c>
      <c r="BG76" s="134">
        <f t="shared" si="44"/>
        <v>4.1239154651442345E-3</v>
      </c>
      <c r="BH76" s="134">
        <f t="shared" si="44"/>
        <v>4.1239154651442345E-3</v>
      </c>
      <c r="BI76" s="134">
        <f t="shared" si="44"/>
        <v>4.1239154651442345E-3</v>
      </c>
      <c r="BJ76" s="134">
        <f t="shared" si="44"/>
        <v>4.1239154651442345E-3</v>
      </c>
      <c r="BK76" s="134">
        <f t="shared" si="44"/>
        <v>4.1239154651442345E-3</v>
      </c>
      <c r="BL76" s="135">
        <f t="shared" si="44"/>
        <v>4.1239154651442345E-3</v>
      </c>
    </row>
    <row r="77" spans="2:64" x14ac:dyDescent="0.35">
      <c r="E77" s="21"/>
      <c r="F77" s="21"/>
      <c r="G77" s="21"/>
      <c r="H77" s="21"/>
      <c r="I77" s="21"/>
      <c r="J77" s="21"/>
      <c r="K77" s="21"/>
      <c r="L77" s="21"/>
      <c r="M77" s="21"/>
      <c r="N77" s="21"/>
      <c r="O77" s="21"/>
      <c r="P77" s="21"/>
      <c r="Q77" s="21"/>
      <c r="R77" s="21"/>
      <c r="S77" s="21"/>
      <c r="T77" s="21"/>
      <c r="U77" s="21"/>
      <c r="V77" s="21"/>
      <c r="W77" s="21"/>
      <c r="X77" s="21"/>
      <c r="Y77" s="21"/>
      <c r="Z77" s="21"/>
      <c r="AA77" s="21"/>
      <c r="AB77" s="21"/>
      <c r="AC77" s="21"/>
      <c r="AD77" s="21"/>
      <c r="AE77" s="21"/>
      <c r="AF77" s="21"/>
      <c r="AG77" s="21"/>
      <c r="AH77" s="21"/>
      <c r="AI77" s="21"/>
      <c r="AJ77" s="21"/>
      <c r="AK77" s="21"/>
      <c r="AL77" s="21"/>
      <c r="AM77" s="21"/>
      <c r="AN77" s="21"/>
      <c r="AO77" s="21"/>
      <c r="AP77" s="21"/>
      <c r="AQ77" s="21"/>
      <c r="AR77" s="21"/>
      <c r="AS77" s="21"/>
      <c r="AT77" s="21"/>
      <c r="AU77" s="21"/>
      <c r="AV77" s="21"/>
      <c r="AW77" s="21"/>
      <c r="AX77" s="21"/>
      <c r="AY77" s="21"/>
      <c r="AZ77" s="21"/>
      <c r="BA77" s="21"/>
      <c r="BB77" s="21"/>
      <c r="BC77" s="21"/>
      <c r="BD77" s="21"/>
      <c r="BE77" s="21"/>
      <c r="BF77" s="21"/>
      <c r="BG77" s="21"/>
      <c r="BH77" s="21"/>
      <c r="BI77" s="21"/>
      <c r="BJ77" s="21"/>
      <c r="BK77" s="21"/>
      <c r="BL77" s="21"/>
    </row>
    <row r="78" spans="2:64" x14ac:dyDescent="0.35">
      <c r="C78" s="2" t="s">
        <v>459</v>
      </c>
      <c r="E78" s="21">
        <f t="shared" ref="E78:AJ78" si="45">LOOKUP(E67,6:6,12:12)/$D$60</f>
        <v>4.1666666666666666E-3</v>
      </c>
      <c r="F78" s="21">
        <f t="shared" si="45"/>
        <v>4.1666666666666666E-3</v>
      </c>
      <c r="G78" s="21">
        <f t="shared" si="45"/>
        <v>4.1666666666666666E-3</v>
      </c>
      <c r="H78" s="21">
        <f t="shared" si="45"/>
        <v>4.1666666666666666E-3</v>
      </c>
      <c r="I78" s="21">
        <f t="shared" si="45"/>
        <v>4.1666666666666666E-3</v>
      </c>
      <c r="J78" s="21">
        <f t="shared" si="45"/>
        <v>4.1666666666666666E-3</v>
      </c>
      <c r="K78" s="21">
        <f t="shared" si="45"/>
        <v>4.1666666666666666E-3</v>
      </c>
      <c r="L78" s="21">
        <f t="shared" si="45"/>
        <v>4.1666666666666666E-3</v>
      </c>
      <c r="M78" s="21">
        <f t="shared" si="45"/>
        <v>4.1666666666666666E-3</v>
      </c>
      <c r="N78" s="21">
        <f t="shared" si="45"/>
        <v>4.1666666666666666E-3</v>
      </c>
      <c r="O78" s="21">
        <f t="shared" si="45"/>
        <v>4.1666666666666666E-3</v>
      </c>
      <c r="P78" s="21">
        <f t="shared" si="45"/>
        <v>4.1666666666666666E-3</v>
      </c>
      <c r="Q78" s="21">
        <f t="shared" si="45"/>
        <v>4.1666666666666666E-3</v>
      </c>
      <c r="R78" s="21">
        <f t="shared" si="45"/>
        <v>4.1666666666666666E-3</v>
      </c>
      <c r="S78" s="21">
        <f t="shared" si="45"/>
        <v>4.1666666666666666E-3</v>
      </c>
      <c r="T78" s="21">
        <f t="shared" si="45"/>
        <v>4.1666666666666666E-3</v>
      </c>
      <c r="U78" s="21">
        <f t="shared" si="45"/>
        <v>4.1666666666666666E-3</v>
      </c>
      <c r="V78" s="21">
        <f t="shared" si="45"/>
        <v>4.1666666666666666E-3</v>
      </c>
      <c r="W78" s="21">
        <f t="shared" si="45"/>
        <v>4.1666666666666666E-3</v>
      </c>
      <c r="X78" s="21">
        <f t="shared" si="45"/>
        <v>4.1666666666666666E-3</v>
      </c>
      <c r="Y78" s="21">
        <f t="shared" si="45"/>
        <v>4.1666666666666666E-3</v>
      </c>
      <c r="Z78" s="21">
        <f t="shared" si="45"/>
        <v>4.1666666666666666E-3</v>
      </c>
      <c r="AA78" s="21">
        <f t="shared" si="45"/>
        <v>4.1666666666666666E-3</v>
      </c>
      <c r="AB78" s="21">
        <f t="shared" si="45"/>
        <v>4.1666666666666666E-3</v>
      </c>
      <c r="AC78" s="21">
        <f t="shared" si="45"/>
        <v>4.1666666666666666E-3</v>
      </c>
      <c r="AD78" s="21">
        <f t="shared" si="45"/>
        <v>4.1666666666666666E-3</v>
      </c>
      <c r="AE78" s="21">
        <f t="shared" si="45"/>
        <v>4.1666666666666666E-3</v>
      </c>
      <c r="AF78" s="21">
        <f t="shared" si="45"/>
        <v>4.1666666666666666E-3</v>
      </c>
      <c r="AG78" s="21">
        <f t="shared" si="45"/>
        <v>4.1666666666666666E-3</v>
      </c>
      <c r="AH78" s="21">
        <f t="shared" si="45"/>
        <v>4.1666666666666666E-3</v>
      </c>
      <c r="AI78" s="21">
        <f t="shared" si="45"/>
        <v>4.1666666666666666E-3</v>
      </c>
      <c r="AJ78" s="21">
        <f t="shared" si="45"/>
        <v>4.1666666666666666E-3</v>
      </c>
      <c r="AK78" s="21">
        <f t="shared" ref="AK78:BL78" si="46">LOOKUP(AK67,6:6,12:12)/$D$60</f>
        <v>4.1666666666666666E-3</v>
      </c>
      <c r="AL78" s="21">
        <f t="shared" si="46"/>
        <v>4.1666666666666666E-3</v>
      </c>
      <c r="AM78" s="21">
        <f t="shared" si="46"/>
        <v>4.1666666666666666E-3</v>
      </c>
      <c r="AN78" s="21">
        <f t="shared" si="46"/>
        <v>4.1666666666666666E-3</v>
      </c>
      <c r="AO78" s="21">
        <f t="shared" si="46"/>
        <v>4.1666666666666666E-3</v>
      </c>
      <c r="AP78" s="21">
        <f t="shared" si="46"/>
        <v>4.1666666666666666E-3</v>
      </c>
      <c r="AQ78" s="21">
        <f t="shared" si="46"/>
        <v>4.1666666666666666E-3</v>
      </c>
      <c r="AR78" s="21">
        <f t="shared" si="46"/>
        <v>4.1666666666666666E-3</v>
      </c>
      <c r="AS78" s="21">
        <f t="shared" si="46"/>
        <v>4.1666666666666666E-3</v>
      </c>
      <c r="AT78" s="21">
        <f t="shared" si="46"/>
        <v>4.1666666666666666E-3</v>
      </c>
      <c r="AU78" s="21">
        <f t="shared" si="46"/>
        <v>4.1666666666666666E-3</v>
      </c>
      <c r="AV78" s="21">
        <f t="shared" si="46"/>
        <v>4.1666666666666666E-3</v>
      </c>
      <c r="AW78" s="21">
        <f t="shared" si="46"/>
        <v>4.1666666666666666E-3</v>
      </c>
      <c r="AX78" s="21">
        <f t="shared" si="46"/>
        <v>4.1666666666666666E-3</v>
      </c>
      <c r="AY78" s="21">
        <f t="shared" si="46"/>
        <v>4.1666666666666666E-3</v>
      </c>
      <c r="AZ78" s="21">
        <f t="shared" si="46"/>
        <v>4.1666666666666666E-3</v>
      </c>
      <c r="BA78" s="21">
        <f t="shared" si="46"/>
        <v>4.1666666666666666E-3</v>
      </c>
      <c r="BB78" s="21">
        <f t="shared" si="46"/>
        <v>4.1666666666666666E-3</v>
      </c>
      <c r="BC78" s="21">
        <f t="shared" si="46"/>
        <v>4.1666666666666666E-3</v>
      </c>
      <c r="BD78" s="21">
        <f t="shared" si="46"/>
        <v>4.1666666666666666E-3</v>
      </c>
      <c r="BE78" s="21">
        <f t="shared" si="46"/>
        <v>4.1666666666666666E-3</v>
      </c>
      <c r="BF78" s="21">
        <f t="shared" si="46"/>
        <v>4.1666666666666666E-3</v>
      </c>
      <c r="BG78" s="21">
        <f t="shared" si="46"/>
        <v>4.1666666666666666E-3</v>
      </c>
      <c r="BH78" s="21">
        <f t="shared" si="46"/>
        <v>4.1666666666666666E-3</v>
      </c>
      <c r="BI78" s="21">
        <f t="shared" si="46"/>
        <v>4.1666666666666666E-3</v>
      </c>
      <c r="BJ78" s="21">
        <f t="shared" si="46"/>
        <v>4.1666666666666666E-3</v>
      </c>
      <c r="BK78" s="21">
        <f t="shared" si="46"/>
        <v>4.1666666666666666E-3</v>
      </c>
      <c r="BL78" s="21">
        <f t="shared" si="46"/>
        <v>4.1666666666666666E-3</v>
      </c>
    </row>
    <row r="80" spans="2:64" x14ac:dyDescent="0.35">
      <c r="C80" s="27" t="s">
        <v>431</v>
      </c>
      <c r="D80" s="42">
        <f>(1+$E$12/D62)^(1/D61)-1</f>
        <v>4.1239154651442345E-3</v>
      </c>
      <c r="F80" s="2" t="str">
        <f ca="1">_xlfn.FORMULATEXT(D80)</f>
        <v>=(1+$E$12/D62)^(1/D61)-1</v>
      </c>
      <c r="J80" s="1" t="s">
        <v>112</v>
      </c>
    </row>
    <row r="81" spans="2:64" x14ac:dyDescent="0.35">
      <c r="D81" s="12"/>
    </row>
    <row r="82" spans="2:64" x14ac:dyDescent="0.35">
      <c r="C82" s="2" t="s">
        <v>66</v>
      </c>
      <c r="D82" s="12"/>
      <c r="E82" s="4">
        <f t="shared" ref="E82:AJ82" si="47">LOOKUP(E67,6:6,9:9)/$D$60</f>
        <v>8.3333333333333339</v>
      </c>
      <c r="F82" s="4">
        <f t="shared" si="47"/>
        <v>8.3333333333333339</v>
      </c>
      <c r="G82" s="4">
        <f t="shared" si="47"/>
        <v>8.3333333333333339</v>
      </c>
      <c r="H82" s="4">
        <f t="shared" si="47"/>
        <v>8.3333333333333339</v>
      </c>
      <c r="I82" s="4">
        <f t="shared" si="47"/>
        <v>8.3333333333333339</v>
      </c>
      <c r="J82" s="4">
        <f t="shared" si="47"/>
        <v>8.3333333333333339</v>
      </c>
      <c r="K82" s="4">
        <f t="shared" si="47"/>
        <v>8.3333333333333339</v>
      </c>
      <c r="L82" s="4">
        <f t="shared" si="47"/>
        <v>8.3333333333333339</v>
      </c>
      <c r="M82" s="4">
        <f t="shared" si="47"/>
        <v>8.3333333333333339</v>
      </c>
      <c r="N82" s="4">
        <f t="shared" si="47"/>
        <v>8.3333333333333339</v>
      </c>
      <c r="O82" s="4">
        <f t="shared" si="47"/>
        <v>8.3333333333333339</v>
      </c>
      <c r="P82" s="4">
        <f t="shared" si="47"/>
        <v>8.3333333333333339</v>
      </c>
      <c r="Q82" s="4">
        <f t="shared" si="47"/>
        <v>8.8333333333333339</v>
      </c>
      <c r="R82" s="4">
        <f t="shared" si="47"/>
        <v>8.8333333333333339</v>
      </c>
      <c r="S82" s="4">
        <f t="shared" si="47"/>
        <v>8.8333333333333339</v>
      </c>
      <c r="T82" s="4">
        <f t="shared" si="47"/>
        <v>8.8333333333333339</v>
      </c>
      <c r="U82" s="4">
        <f t="shared" si="47"/>
        <v>8.8333333333333339</v>
      </c>
      <c r="V82" s="4">
        <f t="shared" si="47"/>
        <v>8.8333333333333339</v>
      </c>
      <c r="W82" s="4">
        <f t="shared" si="47"/>
        <v>8.8333333333333339</v>
      </c>
      <c r="X82" s="4">
        <f t="shared" si="47"/>
        <v>8.8333333333333339</v>
      </c>
      <c r="Y82" s="4">
        <f t="shared" si="47"/>
        <v>8.8333333333333339</v>
      </c>
      <c r="Z82" s="4">
        <f t="shared" si="47"/>
        <v>8.8333333333333339</v>
      </c>
      <c r="AA82" s="4">
        <f t="shared" si="47"/>
        <v>8.8333333333333339</v>
      </c>
      <c r="AB82" s="4">
        <f t="shared" si="47"/>
        <v>8.8333333333333339</v>
      </c>
      <c r="AC82" s="4">
        <f t="shared" si="47"/>
        <v>9.3633333333333333</v>
      </c>
      <c r="AD82" s="4">
        <f t="shared" si="47"/>
        <v>9.3633333333333333</v>
      </c>
      <c r="AE82" s="4">
        <f t="shared" si="47"/>
        <v>9.3633333333333333</v>
      </c>
      <c r="AF82" s="4">
        <f t="shared" si="47"/>
        <v>9.3633333333333333</v>
      </c>
      <c r="AG82" s="4">
        <f t="shared" si="47"/>
        <v>9.3633333333333333</v>
      </c>
      <c r="AH82" s="4">
        <f t="shared" si="47"/>
        <v>9.3633333333333333</v>
      </c>
      <c r="AI82" s="4">
        <f t="shared" si="47"/>
        <v>9.3633333333333333</v>
      </c>
      <c r="AJ82" s="4">
        <f t="shared" si="47"/>
        <v>9.3633333333333333</v>
      </c>
      <c r="AK82" s="4">
        <f t="shared" ref="AK82:BL82" si="48">LOOKUP(AK67,6:6,9:9)/$D$60</f>
        <v>9.3633333333333333</v>
      </c>
      <c r="AL82" s="4">
        <f t="shared" si="48"/>
        <v>9.3633333333333333</v>
      </c>
      <c r="AM82" s="4">
        <f t="shared" si="48"/>
        <v>9.3633333333333333</v>
      </c>
      <c r="AN82" s="4">
        <f t="shared" si="48"/>
        <v>9.3633333333333333</v>
      </c>
      <c r="AO82" s="4">
        <f t="shared" si="48"/>
        <v>9.9251333333333331</v>
      </c>
      <c r="AP82" s="4">
        <f t="shared" si="48"/>
        <v>9.9251333333333331</v>
      </c>
      <c r="AQ82" s="4">
        <f t="shared" si="48"/>
        <v>9.9251333333333331</v>
      </c>
      <c r="AR82" s="4">
        <f t="shared" si="48"/>
        <v>9.9251333333333331</v>
      </c>
      <c r="AS82" s="4">
        <f t="shared" si="48"/>
        <v>9.9251333333333331</v>
      </c>
      <c r="AT82" s="4">
        <f t="shared" si="48"/>
        <v>9.9251333333333331</v>
      </c>
      <c r="AU82" s="4">
        <f t="shared" si="48"/>
        <v>9.9251333333333331</v>
      </c>
      <c r="AV82" s="4">
        <f t="shared" si="48"/>
        <v>9.9251333333333331</v>
      </c>
      <c r="AW82" s="4">
        <f t="shared" si="48"/>
        <v>9.9251333333333331</v>
      </c>
      <c r="AX82" s="4">
        <f t="shared" si="48"/>
        <v>9.9251333333333331</v>
      </c>
      <c r="AY82" s="4">
        <f t="shared" si="48"/>
        <v>9.9251333333333331</v>
      </c>
      <c r="AZ82" s="4">
        <f t="shared" si="48"/>
        <v>9.9251333333333331</v>
      </c>
      <c r="BA82" s="4">
        <f t="shared" si="48"/>
        <v>10.520641333333334</v>
      </c>
      <c r="BB82" s="4">
        <f t="shared" si="48"/>
        <v>10.520641333333334</v>
      </c>
      <c r="BC82" s="4">
        <f t="shared" si="48"/>
        <v>10.520641333333334</v>
      </c>
      <c r="BD82" s="4">
        <f t="shared" si="48"/>
        <v>10.520641333333334</v>
      </c>
      <c r="BE82" s="4">
        <f t="shared" si="48"/>
        <v>10.520641333333334</v>
      </c>
      <c r="BF82" s="4">
        <f t="shared" si="48"/>
        <v>10.520641333333334</v>
      </c>
      <c r="BG82" s="4">
        <f t="shared" si="48"/>
        <v>10.520641333333334</v>
      </c>
      <c r="BH82" s="4">
        <f t="shared" si="48"/>
        <v>10.520641333333334</v>
      </c>
      <c r="BI82" s="4">
        <f t="shared" si="48"/>
        <v>10.520641333333334</v>
      </c>
      <c r="BJ82" s="4">
        <f t="shared" si="48"/>
        <v>10.520641333333334</v>
      </c>
      <c r="BK82" s="4">
        <f t="shared" si="48"/>
        <v>10.520641333333334</v>
      </c>
      <c r="BL82" s="4">
        <f t="shared" si="48"/>
        <v>10.520641333333334</v>
      </c>
    </row>
    <row r="83" spans="2:64" x14ac:dyDescent="0.35">
      <c r="C83" s="2" t="s">
        <v>1</v>
      </c>
      <c r="D83" s="12"/>
      <c r="E83" s="4">
        <f t="shared" ref="E83:AJ83" si="49">LOOKUP(E67,6:6,10:10)</f>
        <v>1.1000000000000001</v>
      </c>
      <c r="F83" s="4">
        <f t="shared" si="49"/>
        <v>1.1000000000000001</v>
      </c>
      <c r="G83" s="4">
        <f t="shared" si="49"/>
        <v>1.1000000000000001</v>
      </c>
      <c r="H83" s="4">
        <f t="shared" si="49"/>
        <v>1.1000000000000001</v>
      </c>
      <c r="I83" s="4">
        <f t="shared" si="49"/>
        <v>1.1000000000000001</v>
      </c>
      <c r="J83" s="4">
        <f t="shared" si="49"/>
        <v>1.1000000000000001</v>
      </c>
      <c r="K83" s="4">
        <f t="shared" si="49"/>
        <v>1.1000000000000001</v>
      </c>
      <c r="L83" s="4">
        <f t="shared" si="49"/>
        <v>1.1000000000000001</v>
      </c>
      <c r="M83" s="4">
        <f t="shared" si="49"/>
        <v>1.1000000000000001</v>
      </c>
      <c r="N83" s="4">
        <f t="shared" si="49"/>
        <v>1.1000000000000001</v>
      </c>
      <c r="O83" s="4">
        <f t="shared" si="49"/>
        <v>1.1000000000000001</v>
      </c>
      <c r="P83" s="4">
        <f t="shared" si="49"/>
        <v>1.1000000000000001</v>
      </c>
      <c r="Q83" s="4">
        <f t="shared" si="49"/>
        <v>1.2</v>
      </c>
      <c r="R83" s="4">
        <f t="shared" si="49"/>
        <v>1.2</v>
      </c>
      <c r="S83" s="4">
        <f t="shared" si="49"/>
        <v>1.2</v>
      </c>
      <c r="T83" s="4">
        <f t="shared" si="49"/>
        <v>1.2</v>
      </c>
      <c r="U83" s="4">
        <f t="shared" si="49"/>
        <v>1.2</v>
      </c>
      <c r="V83" s="4">
        <f t="shared" si="49"/>
        <v>1.2</v>
      </c>
      <c r="W83" s="4">
        <f t="shared" si="49"/>
        <v>1.2</v>
      </c>
      <c r="X83" s="4">
        <f t="shared" si="49"/>
        <v>1.2</v>
      </c>
      <c r="Y83" s="4">
        <f t="shared" si="49"/>
        <v>1.2</v>
      </c>
      <c r="Z83" s="4">
        <f t="shared" si="49"/>
        <v>1.2</v>
      </c>
      <c r="AA83" s="4">
        <f t="shared" si="49"/>
        <v>1.2</v>
      </c>
      <c r="AB83" s="4">
        <f t="shared" si="49"/>
        <v>1.2</v>
      </c>
      <c r="AC83" s="4">
        <f t="shared" si="49"/>
        <v>1.4</v>
      </c>
      <c r="AD83" s="4">
        <f t="shared" si="49"/>
        <v>1.4</v>
      </c>
      <c r="AE83" s="4">
        <f t="shared" si="49"/>
        <v>1.4</v>
      </c>
      <c r="AF83" s="4">
        <f t="shared" si="49"/>
        <v>1.4</v>
      </c>
      <c r="AG83" s="4">
        <f t="shared" si="49"/>
        <v>1.4</v>
      </c>
      <c r="AH83" s="4">
        <f t="shared" si="49"/>
        <v>1.4</v>
      </c>
      <c r="AI83" s="4">
        <f t="shared" si="49"/>
        <v>1.4</v>
      </c>
      <c r="AJ83" s="4">
        <f t="shared" si="49"/>
        <v>1.4</v>
      </c>
      <c r="AK83" s="4">
        <f t="shared" ref="AK83:BL83" si="50">LOOKUP(AK67,6:6,10:10)</f>
        <v>1.4</v>
      </c>
      <c r="AL83" s="4">
        <f t="shared" si="50"/>
        <v>1.4</v>
      </c>
      <c r="AM83" s="4">
        <f t="shared" si="50"/>
        <v>1.4</v>
      </c>
      <c r="AN83" s="4">
        <f t="shared" si="50"/>
        <v>1.4</v>
      </c>
      <c r="AO83" s="4">
        <f t="shared" si="50"/>
        <v>1.5</v>
      </c>
      <c r="AP83" s="4">
        <f t="shared" si="50"/>
        <v>1.5</v>
      </c>
      <c r="AQ83" s="4">
        <f t="shared" si="50"/>
        <v>1.5</v>
      </c>
      <c r="AR83" s="4">
        <f t="shared" si="50"/>
        <v>1.5</v>
      </c>
      <c r="AS83" s="4">
        <f t="shared" si="50"/>
        <v>1.5</v>
      </c>
      <c r="AT83" s="4">
        <f t="shared" si="50"/>
        <v>1.5</v>
      </c>
      <c r="AU83" s="4">
        <f t="shared" si="50"/>
        <v>1.5</v>
      </c>
      <c r="AV83" s="4">
        <f t="shared" si="50"/>
        <v>1.5</v>
      </c>
      <c r="AW83" s="4">
        <f t="shared" si="50"/>
        <v>1.5</v>
      </c>
      <c r="AX83" s="4">
        <f t="shared" si="50"/>
        <v>1.5</v>
      </c>
      <c r="AY83" s="4">
        <f t="shared" si="50"/>
        <v>1.5</v>
      </c>
      <c r="AZ83" s="4">
        <f t="shared" si="50"/>
        <v>1.5</v>
      </c>
      <c r="BA83" s="4">
        <f t="shared" si="50"/>
        <v>1.6</v>
      </c>
      <c r="BB83" s="4">
        <f t="shared" si="50"/>
        <v>1.6</v>
      </c>
      <c r="BC83" s="4">
        <f t="shared" si="50"/>
        <v>1.6</v>
      </c>
      <c r="BD83" s="4">
        <f t="shared" si="50"/>
        <v>1.6</v>
      </c>
      <c r="BE83" s="4">
        <f t="shared" si="50"/>
        <v>1.6</v>
      </c>
      <c r="BF83" s="4">
        <f t="shared" si="50"/>
        <v>1.6</v>
      </c>
      <c r="BG83" s="4">
        <f t="shared" si="50"/>
        <v>1.6</v>
      </c>
      <c r="BH83" s="4">
        <f t="shared" si="50"/>
        <v>1.6</v>
      </c>
      <c r="BI83" s="4">
        <f t="shared" si="50"/>
        <v>1.6</v>
      </c>
      <c r="BJ83" s="4">
        <f t="shared" si="50"/>
        <v>1.6</v>
      </c>
      <c r="BK83" s="4">
        <f t="shared" si="50"/>
        <v>1.6</v>
      </c>
      <c r="BL83" s="4">
        <f t="shared" si="50"/>
        <v>1.6</v>
      </c>
    </row>
    <row r="84" spans="2:64" x14ac:dyDescent="0.35">
      <c r="C84" s="2" t="s">
        <v>3</v>
      </c>
      <c r="D84" s="12"/>
      <c r="E84" s="4">
        <f t="shared" ref="E84:AJ84" si="51">E82/E83</f>
        <v>7.5757575757575752</v>
      </c>
      <c r="F84" s="4">
        <f t="shared" si="51"/>
        <v>7.5757575757575752</v>
      </c>
      <c r="G84" s="4">
        <f t="shared" si="51"/>
        <v>7.5757575757575752</v>
      </c>
      <c r="H84" s="4">
        <f t="shared" si="51"/>
        <v>7.5757575757575752</v>
      </c>
      <c r="I84" s="4">
        <f t="shared" si="51"/>
        <v>7.5757575757575752</v>
      </c>
      <c r="J84" s="4">
        <f t="shared" si="51"/>
        <v>7.5757575757575752</v>
      </c>
      <c r="K84" s="4">
        <f t="shared" si="51"/>
        <v>7.5757575757575752</v>
      </c>
      <c r="L84" s="4">
        <f t="shared" si="51"/>
        <v>7.5757575757575752</v>
      </c>
      <c r="M84" s="4">
        <f t="shared" si="51"/>
        <v>7.5757575757575752</v>
      </c>
      <c r="N84" s="4">
        <f t="shared" si="51"/>
        <v>7.5757575757575752</v>
      </c>
      <c r="O84" s="4">
        <f t="shared" si="51"/>
        <v>7.5757575757575752</v>
      </c>
      <c r="P84" s="4">
        <f t="shared" si="51"/>
        <v>7.5757575757575752</v>
      </c>
      <c r="Q84" s="4">
        <f t="shared" si="51"/>
        <v>7.3611111111111116</v>
      </c>
      <c r="R84" s="4">
        <f t="shared" si="51"/>
        <v>7.3611111111111116</v>
      </c>
      <c r="S84" s="4">
        <f t="shared" si="51"/>
        <v>7.3611111111111116</v>
      </c>
      <c r="T84" s="4">
        <f t="shared" si="51"/>
        <v>7.3611111111111116</v>
      </c>
      <c r="U84" s="4">
        <f t="shared" si="51"/>
        <v>7.3611111111111116</v>
      </c>
      <c r="V84" s="4">
        <f t="shared" si="51"/>
        <v>7.3611111111111116</v>
      </c>
      <c r="W84" s="4">
        <f t="shared" si="51"/>
        <v>7.3611111111111116</v>
      </c>
      <c r="X84" s="4">
        <f t="shared" si="51"/>
        <v>7.3611111111111116</v>
      </c>
      <c r="Y84" s="4">
        <f t="shared" si="51"/>
        <v>7.3611111111111116</v>
      </c>
      <c r="Z84" s="4">
        <f t="shared" si="51"/>
        <v>7.3611111111111116</v>
      </c>
      <c r="AA84" s="4">
        <f t="shared" si="51"/>
        <v>7.3611111111111116</v>
      </c>
      <c r="AB84" s="4">
        <f t="shared" si="51"/>
        <v>7.3611111111111116</v>
      </c>
      <c r="AC84" s="4">
        <f t="shared" si="51"/>
        <v>6.6880952380952383</v>
      </c>
      <c r="AD84" s="4">
        <f t="shared" si="51"/>
        <v>6.6880952380952383</v>
      </c>
      <c r="AE84" s="4">
        <f t="shared" si="51"/>
        <v>6.6880952380952383</v>
      </c>
      <c r="AF84" s="4">
        <f t="shared" si="51"/>
        <v>6.6880952380952383</v>
      </c>
      <c r="AG84" s="4">
        <f t="shared" si="51"/>
        <v>6.6880952380952383</v>
      </c>
      <c r="AH84" s="4">
        <f t="shared" si="51"/>
        <v>6.6880952380952383</v>
      </c>
      <c r="AI84" s="4">
        <f t="shared" si="51"/>
        <v>6.6880952380952383</v>
      </c>
      <c r="AJ84" s="4">
        <f t="shared" si="51"/>
        <v>6.6880952380952383</v>
      </c>
      <c r="AK84" s="4">
        <f t="shared" ref="AK84:BL84" si="52">AK82/AK83</f>
        <v>6.6880952380952383</v>
      </c>
      <c r="AL84" s="4">
        <f t="shared" si="52"/>
        <v>6.6880952380952383</v>
      </c>
      <c r="AM84" s="4">
        <f t="shared" si="52"/>
        <v>6.6880952380952383</v>
      </c>
      <c r="AN84" s="4">
        <f t="shared" si="52"/>
        <v>6.6880952380952383</v>
      </c>
      <c r="AO84" s="4">
        <f t="shared" si="52"/>
        <v>6.6167555555555557</v>
      </c>
      <c r="AP84" s="4">
        <f t="shared" si="52"/>
        <v>6.6167555555555557</v>
      </c>
      <c r="AQ84" s="4">
        <f t="shared" si="52"/>
        <v>6.6167555555555557</v>
      </c>
      <c r="AR84" s="4">
        <f t="shared" si="52"/>
        <v>6.6167555555555557</v>
      </c>
      <c r="AS84" s="4">
        <f t="shared" si="52"/>
        <v>6.6167555555555557</v>
      </c>
      <c r="AT84" s="4">
        <f t="shared" si="52"/>
        <v>6.6167555555555557</v>
      </c>
      <c r="AU84" s="4">
        <f t="shared" si="52"/>
        <v>6.6167555555555557</v>
      </c>
      <c r="AV84" s="4">
        <f t="shared" si="52"/>
        <v>6.6167555555555557</v>
      </c>
      <c r="AW84" s="4">
        <f t="shared" si="52"/>
        <v>6.6167555555555557</v>
      </c>
      <c r="AX84" s="4">
        <f t="shared" si="52"/>
        <v>6.6167555555555557</v>
      </c>
      <c r="AY84" s="4">
        <f t="shared" si="52"/>
        <v>6.6167555555555557</v>
      </c>
      <c r="AZ84" s="4">
        <f t="shared" si="52"/>
        <v>6.6167555555555557</v>
      </c>
      <c r="BA84" s="4">
        <f t="shared" si="52"/>
        <v>6.5754008333333331</v>
      </c>
      <c r="BB84" s="4">
        <f t="shared" si="52"/>
        <v>6.5754008333333331</v>
      </c>
      <c r="BC84" s="4">
        <f t="shared" si="52"/>
        <v>6.5754008333333331</v>
      </c>
      <c r="BD84" s="4">
        <f t="shared" si="52"/>
        <v>6.5754008333333331</v>
      </c>
      <c r="BE84" s="4">
        <f t="shared" si="52"/>
        <v>6.5754008333333331</v>
      </c>
      <c r="BF84" s="4">
        <f t="shared" si="52"/>
        <v>6.5754008333333331</v>
      </c>
      <c r="BG84" s="4">
        <f t="shared" si="52"/>
        <v>6.5754008333333331</v>
      </c>
      <c r="BH84" s="4">
        <f t="shared" si="52"/>
        <v>6.5754008333333331</v>
      </c>
      <c r="BI84" s="4">
        <f t="shared" si="52"/>
        <v>6.5754008333333331</v>
      </c>
      <c r="BJ84" s="4">
        <f t="shared" si="52"/>
        <v>6.5754008333333331</v>
      </c>
      <c r="BK84" s="4">
        <f t="shared" si="52"/>
        <v>6.5754008333333331</v>
      </c>
      <c r="BL84" s="4">
        <f t="shared" si="52"/>
        <v>6.5754008333333331</v>
      </c>
    </row>
    <row r="85" spans="2:64" x14ac:dyDescent="0.35">
      <c r="C85" s="2" t="s">
        <v>477</v>
      </c>
      <c r="D85" s="12"/>
      <c r="E85" s="4">
        <f t="shared" ref="E85:AJ85" si="53">E84*$D$61</f>
        <v>45.454545454545453</v>
      </c>
      <c r="F85" s="4">
        <f t="shared" si="53"/>
        <v>45.454545454545453</v>
      </c>
      <c r="G85" s="4">
        <f t="shared" si="53"/>
        <v>45.454545454545453</v>
      </c>
      <c r="H85" s="4">
        <f t="shared" si="53"/>
        <v>45.454545454545453</v>
      </c>
      <c r="I85" s="4">
        <f t="shared" si="53"/>
        <v>45.454545454545453</v>
      </c>
      <c r="J85" s="4">
        <f t="shared" si="53"/>
        <v>45.454545454545453</v>
      </c>
      <c r="K85" s="4">
        <f t="shared" si="53"/>
        <v>45.454545454545453</v>
      </c>
      <c r="L85" s="4">
        <f t="shared" si="53"/>
        <v>45.454545454545453</v>
      </c>
      <c r="M85" s="4">
        <f t="shared" si="53"/>
        <v>45.454545454545453</v>
      </c>
      <c r="N85" s="4">
        <f t="shared" si="53"/>
        <v>45.454545454545453</v>
      </c>
      <c r="O85" s="4">
        <f t="shared" si="53"/>
        <v>45.454545454545453</v>
      </c>
      <c r="P85" s="4">
        <f t="shared" si="53"/>
        <v>45.454545454545453</v>
      </c>
      <c r="Q85" s="4">
        <f t="shared" si="53"/>
        <v>44.166666666666671</v>
      </c>
      <c r="R85" s="4">
        <f t="shared" si="53"/>
        <v>44.166666666666671</v>
      </c>
      <c r="S85" s="4">
        <f t="shared" si="53"/>
        <v>44.166666666666671</v>
      </c>
      <c r="T85" s="4">
        <f t="shared" si="53"/>
        <v>44.166666666666671</v>
      </c>
      <c r="U85" s="4">
        <f t="shared" si="53"/>
        <v>44.166666666666671</v>
      </c>
      <c r="V85" s="4">
        <f t="shared" si="53"/>
        <v>44.166666666666671</v>
      </c>
      <c r="W85" s="4">
        <f t="shared" si="53"/>
        <v>44.166666666666671</v>
      </c>
      <c r="X85" s="4">
        <f t="shared" si="53"/>
        <v>44.166666666666671</v>
      </c>
      <c r="Y85" s="4">
        <f t="shared" si="53"/>
        <v>44.166666666666671</v>
      </c>
      <c r="Z85" s="4">
        <f t="shared" si="53"/>
        <v>44.166666666666671</v>
      </c>
      <c r="AA85" s="4">
        <f t="shared" si="53"/>
        <v>44.166666666666671</v>
      </c>
      <c r="AB85" s="4">
        <f t="shared" si="53"/>
        <v>44.166666666666671</v>
      </c>
      <c r="AC85" s="4">
        <f t="shared" si="53"/>
        <v>40.128571428571433</v>
      </c>
      <c r="AD85" s="4">
        <f t="shared" si="53"/>
        <v>40.128571428571433</v>
      </c>
      <c r="AE85" s="4">
        <f t="shared" si="53"/>
        <v>40.128571428571433</v>
      </c>
      <c r="AF85" s="4">
        <f t="shared" si="53"/>
        <v>40.128571428571433</v>
      </c>
      <c r="AG85" s="4">
        <f t="shared" si="53"/>
        <v>40.128571428571433</v>
      </c>
      <c r="AH85" s="4">
        <f t="shared" si="53"/>
        <v>40.128571428571433</v>
      </c>
      <c r="AI85" s="4">
        <f t="shared" si="53"/>
        <v>40.128571428571433</v>
      </c>
      <c r="AJ85" s="4">
        <f t="shared" si="53"/>
        <v>40.128571428571433</v>
      </c>
      <c r="AK85" s="4">
        <f t="shared" ref="AK85:BL85" si="54">AK84*$D$61</f>
        <v>40.128571428571433</v>
      </c>
      <c r="AL85" s="4">
        <f t="shared" si="54"/>
        <v>40.128571428571433</v>
      </c>
      <c r="AM85" s="4">
        <f t="shared" si="54"/>
        <v>40.128571428571433</v>
      </c>
      <c r="AN85" s="4">
        <f t="shared" si="54"/>
        <v>40.128571428571433</v>
      </c>
      <c r="AO85" s="4">
        <f t="shared" si="54"/>
        <v>39.700533333333333</v>
      </c>
      <c r="AP85" s="4">
        <f t="shared" si="54"/>
        <v>39.700533333333333</v>
      </c>
      <c r="AQ85" s="4">
        <f t="shared" si="54"/>
        <v>39.700533333333333</v>
      </c>
      <c r="AR85" s="4">
        <f t="shared" si="54"/>
        <v>39.700533333333333</v>
      </c>
      <c r="AS85" s="4">
        <f t="shared" si="54"/>
        <v>39.700533333333333</v>
      </c>
      <c r="AT85" s="4">
        <f t="shared" si="54"/>
        <v>39.700533333333333</v>
      </c>
      <c r="AU85" s="4">
        <f t="shared" si="54"/>
        <v>39.700533333333333</v>
      </c>
      <c r="AV85" s="4">
        <f t="shared" si="54"/>
        <v>39.700533333333333</v>
      </c>
      <c r="AW85" s="4">
        <f t="shared" si="54"/>
        <v>39.700533333333333</v>
      </c>
      <c r="AX85" s="4">
        <f t="shared" si="54"/>
        <v>39.700533333333333</v>
      </c>
      <c r="AY85" s="4">
        <f t="shared" si="54"/>
        <v>39.700533333333333</v>
      </c>
      <c r="AZ85" s="4">
        <f t="shared" si="54"/>
        <v>39.700533333333333</v>
      </c>
      <c r="BA85" s="4">
        <f t="shared" si="54"/>
        <v>39.452404999999999</v>
      </c>
      <c r="BB85" s="4">
        <f t="shared" si="54"/>
        <v>39.452404999999999</v>
      </c>
      <c r="BC85" s="4">
        <f t="shared" si="54"/>
        <v>39.452404999999999</v>
      </c>
      <c r="BD85" s="4">
        <f t="shared" si="54"/>
        <v>39.452404999999999</v>
      </c>
      <c r="BE85" s="4">
        <f t="shared" si="54"/>
        <v>39.452404999999999</v>
      </c>
      <c r="BF85" s="4">
        <f t="shared" si="54"/>
        <v>39.452404999999999</v>
      </c>
      <c r="BG85" s="4">
        <f t="shared" si="54"/>
        <v>39.452404999999999</v>
      </c>
      <c r="BH85" s="4">
        <f t="shared" si="54"/>
        <v>39.452404999999999</v>
      </c>
      <c r="BI85" s="4">
        <f t="shared" si="54"/>
        <v>39.452404999999999</v>
      </c>
      <c r="BJ85" s="4">
        <f t="shared" si="54"/>
        <v>39.452404999999999</v>
      </c>
      <c r="BK85" s="4">
        <f t="shared" si="54"/>
        <v>39.452404999999999</v>
      </c>
      <c r="BL85" s="4">
        <f t="shared" si="54"/>
        <v>39.452404999999999</v>
      </c>
    </row>
    <row r="86" spans="2:64" x14ac:dyDescent="0.35">
      <c r="D86" s="12"/>
    </row>
    <row r="87" spans="2:64" x14ac:dyDescent="0.35">
      <c r="B87" s="1" t="s">
        <v>32</v>
      </c>
    </row>
    <row r="88" spans="2:64" x14ac:dyDescent="0.35">
      <c r="C88" s="2" t="s">
        <v>73</v>
      </c>
      <c r="E88" s="19">
        <f t="shared" ref="E88:AJ88" si="55">E85-E90</f>
        <v>45.454545454545453</v>
      </c>
      <c r="F88" s="19">
        <f t="shared" si="55"/>
        <v>37.121212121212118</v>
      </c>
      <c r="G88" s="19">
        <f t="shared" si="55"/>
        <v>28.787878787878785</v>
      </c>
      <c r="H88" s="19">
        <f t="shared" si="55"/>
        <v>20.454545454545453</v>
      </c>
      <c r="I88" s="19">
        <f t="shared" si="55"/>
        <v>12.121212121212118</v>
      </c>
      <c r="J88" s="19">
        <f t="shared" si="55"/>
        <v>3.7878787878787818</v>
      </c>
      <c r="K88" s="19">
        <f t="shared" si="55"/>
        <v>45.454545454545453</v>
      </c>
      <c r="L88" s="19">
        <f t="shared" si="55"/>
        <v>37.121212121212118</v>
      </c>
      <c r="M88" s="19">
        <f t="shared" si="55"/>
        <v>28.787878787878785</v>
      </c>
      <c r="N88" s="19">
        <f t="shared" si="55"/>
        <v>20.454545454545453</v>
      </c>
      <c r="O88" s="19">
        <f t="shared" si="55"/>
        <v>12.121212121212118</v>
      </c>
      <c r="P88" s="19">
        <f t="shared" si="55"/>
        <v>3.7878787878787818</v>
      </c>
      <c r="Q88" s="19">
        <f t="shared" si="55"/>
        <v>44.166666666666671</v>
      </c>
      <c r="R88" s="19">
        <f t="shared" si="55"/>
        <v>35.333333333333336</v>
      </c>
      <c r="S88" s="19">
        <f t="shared" si="55"/>
        <v>26.500000000000004</v>
      </c>
      <c r="T88" s="19">
        <f t="shared" si="55"/>
        <v>17.666666666666671</v>
      </c>
      <c r="U88" s="19">
        <f t="shared" si="55"/>
        <v>8.8333333333333357</v>
      </c>
      <c r="V88" s="19">
        <f t="shared" si="55"/>
        <v>0</v>
      </c>
      <c r="W88" s="19">
        <f t="shared" si="55"/>
        <v>44.166666666666671</v>
      </c>
      <c r="X88" s="19">
        <f t="shared" si="55"/>
        <v>35.333333333333336</v>
      </c>
      <c r="Y88" s="19">
        <f t="shared" si="55"/>
        <v>26.500000000000004</v>
      </c>
      <c r="Z88" s="19">
        <f t="shared" si="55"/>
        <v>17.666666666666671</v>
      </c>
      <c r="AA88" s="19">
        <f t="shared" si="55"/>
        <v>8.8333333333333357</v>
      </c>
      <c r="AB88" s="19">
        <f t="shared" si="55"/>
        <v>0</v>
      </c>
      <c r="AC88" s="19">
        <f t="shared" si="55"/>
        <v>40.128571428571433</v>
      </c>
      <c r="AD88" s="19">
        <f t="shared" si="55"/>
        <v>30.7652380952381</v>
      </c>
      <c r="AE88" s="19">
        <f t="shared" si="55"/>
        <v>21.401904761904767</v>
      </c>
      <c r="AF88" s="19">
        <f t="shared" si="55"/>
        <v>12.038571428571434</v>
      </c>
      <c r="AG88" s="19">
        <f t="shared" si="55"/>
        <v>2.6752380952381003</v>
      </c>
      <c r="AH88" s="19">
        <f t="shared" si="55"/>
        <v>0</v>
      </c>
      <c r="AI88" s="19">
        <f t="shared" si="55"/>
        <v>40.128571428571433</v>
      </c>
      <c r="AJ88" s="19">
        <f t="shared" si="55"/>
        <v>30.7652380952381</v>
      </c>
      <c r="AK88" s="19">
        <f t="shared" ref="AK88:BL88" si="56">AK85-AK90</f>
        <v>21.401904761904767</v>
      </c>
      <c r="AL88" s="19">
        <f t="shared" si="56"/>
        <v>12.038571428571434</v>
      </c>
      <c r="AM88" s="19">
        <f t="shared" si="56"/>
        <v>2.6752380952381003</v>
      </c>
      <c r="AN88" s="19">
        <f t="shared" si="56"/>
        <v>0</v>
      </c>
      <c r="AO88" s="19">
        <f t="shared" si="56"/>
        <v>39.700533333333333</v>
      </c>
      <c r="AP88" s="19">
        <f t="shared" si="56"/>
        <v>29.775399999999998</v>
      </c>
      <c r="AQ88" s="19">
        <f t="shared" si="56"/>
        <v>19.850266666666666</v>
      </c>
      <c r="AR88" s="19">
        <f t="shared" si="56"/>
        <v>9.9251333333333349</v>
      </c>
      <c r="AS88" s="19">
        <f t="shared" si="56"/>
        <v>0</v>
      </c>
      <c r="AT88" s="19">
        <f t="shared" si="56"/>
        <v>0</v>
      </c>
      <c r="AU88" s="19">
        <f t="shared" si="56"/>
        <v>39.700533333333333</v>
      </c>
      <c r="AV88" s="19">
        <f t="shared" si="56"/>
        <v>29.775399999999998</v>
      </c>
      <c r="AW88" s="19">
        <f t="shared" si="56"/>
        <v>19.850266666666666</v>
      </c>
      <c r="AX88" s="19">
        <f t="shared" si="56"/>
        <v>9.9251333333333349</v>
      </c>
      <c r="AY88" s="19">
        <f t="shared" si="56"/>
        <v>0</v>
      </c>
      <c r="AZ88" s="19">
        <f t="shared" si="56"/>
        <v>0</v>
      </c>
      <c r="BA88" s="19">
        <f t="shared" si="56"/>
        <v>39.452404999999999</v>
      </c>
      <c r="BB88" s="19">
        <f t="shared" si="56"/>
        <v>28.931763666666665</v>
      </c>
      <c r="BC88" s="19">
        <f t="shared" si="56"/>
        <v>18.411122333333331</v>
      </c>
      <c r="BD88" s="19">
        <f t="shared" si="56"/>
        <v>7.8904809999999976</v>
      </c>
      <c r="BE88" s="19">
        <f t="shared" si="56"/>
        <v>0</v>
      </c>
      <c r="BF88" s="19">
        <f t="shared" si="56"/>
        <v>0</v>
      </c>
      <c r="BG88" s="19">
        <f t="shared" si="56"/>
        <v>39.452404999999999</v>
      </c>
      <c r="BH88" s="19">
        <f t="shared" si="56"/>
        <v>28.931763666666665</v>
      </c>
      <c r="BI88" s="19">
        <f t="shared" si="56"/>
        <v>18.411122333333331</v>
      </c>
      <c r="BJ88" s="19">
        <f t="shared" si="56"/>
        <v>7.8904809999999976</v>
      </c>
      <c r="BK88" s="19">
        <f t="shared" si="56"/>
        <v>0</v>
      </c>
      <c r="BL88" s="19">
        <f t="shared" si="56"/>
        <v>0</v>
      </c>
    </row>
    <row r="90" spans="2:64" x14ac:dyDescent="0.35">
      <c r="C90" s="2" t="s">
        <v>5</v>
      </c>
      <c r="E90" s="11">
        <f t="shared" ref="E90:AJ90" si="57">D93</f>
        <v>0</v>
      </c>
      <c r="F90" s="11">
        <f t="shared" si="57"/>
        <v>8.3333333333333339</v>
      </c>
      <c r="G90" s="11">
        <f t="shared" si="57"/>
        <v>16.666666666666668</v>
      </c>
      <c r="H90" s="11">
        <f t="shared" si="57"/>
        <v>25</v>
      </c>
      <c r="I90" s="11">
        <f t="shared" si="57"/>
        <v>33.333333333333336</v>
      </c>
      <c r="J90" s="11">
        <f t="shared" si="57"/>
        <v>41.666666666666671</v>
      </c>
      <c r="K90" s="11">
        <f t="shared" si="57"/>
        <v>0</v>
      </c>
      <c r="L90" s="11">
        <f t="shared" si="57"/>
        <v>8.3333333333333339</v>
      </c>
      <c r="M90" s="11">
        <f t="shared" si="57"/>
        <v>16.666666666666668</v>
      </c>
      <c r="N90" s="11">
        <f t="shared" si="57"/>
        <v>25</v>
      </c>
      <c r="O90" s="11">
        <f t="shared" si="57"/>
        <v>33.333333333333336</v>
      </c>
      <c r="P90" s="11">
        <f t="shared" si="57"/>
        <v>41.666666666666671</v>
      </c>
      <c r="Q90" s="11">
        <f t="shared" si="57"/>
        <v>0</v>
      </c>
      <c r="R90" s="11">
        <f t="shared" si="57"/>
        <v>8.8333333333333339</v>
      </c>
      <c r="S90" s="11">
        <f t="shared" si="57"/>
        <v>17.666666666666668</v>
      </c>
      <c r="T90" s="11">
        <f t="shared" si="57"/>
        <v>26.5</v>
      </c>
      <c r="U90" s="11">
        <f t="shared" si="57"/>
        <v>35.333333333333336</v>
      </c>
      <c r="V90" s="11">
        <f t="shared" si="57"/>
        <v>44.166666666666671</v>
      </c>
      <c r="W90" s="11">
        <f t="shared" si="57"/>
        <v>0</v>
      </c>
      <c r="X90" s="11">
        <f t="shared" si="57"/>
        <v>8.8333333333333339</v>
      </c>
      <c r="Y90" s="11">
        <f t="shared" si="57"/>
        <v>17.666666666666668</v>
      </c>
      <c r="Z90" s="11">
        <f t="shared" si="57"/>
        <v>26.5</v>
      </c>
      <c r="AA90" s="11">
        <f t="shared" si="57"/>
        <v>35.333333333333336</v>
      </c>
      <c r="AB90" s="11">
        <f t="shared" si="57"/>
        <v>44.166666666666671</v>
      </c>
      <c r="AC90" s="11">
        <f t="shared" si="57"/>
        <v>0</v>
      </c>
      <c r="AD90" s="11">
        <f t="shared" si="57"/>
        <v>9.3633333333333333</v>
      </c>
      <c r="AE90" s="11">
        <f t="shared" si="57"/>
        <v>18.726666666666667</v>
      </c>
      <c r="AF90" s="11">
        <f t="shared" si="57"/>
        <v>28.09</v>
      </c>
      <c r="AG90" s="11">
        <f t="shared" si="57"/>
        <v>37.453333333333333</v>
      </c>
      <c r="AH90" s="11">
        <f t="shared" si="57"/>
        <v>40.128571428571433</v>
      </c>
      <c r="AI90" s="11">
        <f t="shared" si="57"/>
        <v>0</v>
      </c>
      <c r="AJ90" s="11">
        <f t="shared" si="57"/>
        <v>9.3633333333333333</v>
      </c>
      <c r="AK90" s="11">
        <f t="shared" ref="AK90:BL90" si="58">AJ93</f>
        <v>18.726666666666667</v>
      </c>
      <c r="AL90" s="11">
        <f t="shared" si="58"/>
        <v>28.09</v>
      </c>
      <c r="AM90" s="11">
        <f t="shared" si="58"/>
        <v>37.453333333333333</v>
      </c>
      <c r="AN90" s="11">
        <f t="shared" si="58"/>
        <v>40.128571428571433</v>
      </c>
      <c r="AO90" s="11">
        <f t="shared" si="58"/>
        <v>0</v>
      </c>
      <c r="AP90" s="11">
        <f t="shared" si="58"/>
        <v>9.9251333333333331</v>
      </c>
      <c r="AQ90" s="11">
        <f t="shared" si="58"/>
        <v>19.850266666666666</v>
      </c>
      <c r="AR90" s="11">
        <f t="shared" si="58"/>
        <v>29.775399999999998</v>
      </c>
      <c r="AS90" s="11">
        <f t="shared" si="58"/>
        <v>39.700533333333333</v>
      </c>
      <c r="AT90" s="11">
        <f t="shared" si="58"/>
        <v>39.700533333333333</v>
      </c>
      <c r="AU90" s="11">
        <f t="shared" si="58"/>
        <v>0</v>
      </c>
      <c r="AV90" s="11">
        <f t="shared" si="58"/>
        <v>9.9251333333333331</v>
      </c>
      <c r="AW90" s="11">
        <f t="shared" si="58"/>
        <v>19.850266666666666</v>
      </c>
      <c r="AX90" s="11">
        <f t="shared" si="58"/>
        <v>29.775399999999998</v>
      </c>
      <c r="AY90" s="11">
        <f t="shared" si="58"/>
        <v>39.700533333333333</v>
      </c>
      <c r="AZ90" s="11">
        <f t="shared" si="58"/>
        <v>39.700533333333333</v>
      </c>
      <c r="BA90" s="11">
        <f t="shared" si="58"/>
        <v>0</v>
      </c>
      <c r="BB90" s="11">
        <f t="shared" si="58"/>
        <v>10.520641333333334</v>
      </c>
      <c r="BC90" s="11">
        <f t="shared" si="58"/>
        <v>21.041282666666667</v>
      </c>
      <c r="BD90" s="11">
        <f t="shared" si="58"/>
        <v>31.561924000000001</v>
      </c>
      <c r="BE90" s="11">
        <f t="shared" si="58"/>
        <v>39.452404999999999</v>
      </c>
      <c r="BF90" s="11">
        <f t="shared" si="58"/>
        <v>39.452404999999999</v>
      </c>
      <c r="BG90" s="11">
        <f t="shared" si="58"/>
        <v>0</v>
      </c>
      <c r="BH90" s="11">
        <f t="shared" si="58"/>
        <v>10.520641333333334</v>
      </c>
      <c r="BI90" s="11">
        <f t="shared" si="58"/>
        <v>21.041282666666667</v>
      </c>
      <c r="BJ90" s="11">
        <f t="shared" si="58"/>
        <v>31.561924000000001</v>
      </c>
      <c r="BK90" s="11">
        <f t="shared" si="58"/>
        <v>39.452404999999999</v>
      </c>
      <c r="BL90" s="11">
        <f t="shared" si="58"/>
        <v>39.452404999999999</v>
      </c>
    </row>
    <row r="91" spans="2:64" x14ac:dyDescent="0.35">
      <c r="C91" s="2" t="s">
        <v>33</v>
      </c>
      <c r="E91" s="11">
        <f t="shared" ref="E91:AJ91" si="59">MIN(E82,E88)</f>
        <v>8.3333333333333339</v>
      </c>
      <c r="F91" s="11">
        <f t="shared" si="59"/>
        <v>8.3333333333333339</v>
      </c>
      <c r="G91" s="11">
        <f t="shared" si="59"/>
        <v>8.3333333333333339</v>
      </c>
      <c r="H91" s="11">
        <f t="shared" si="59"/>
        <v>8.3333333333333339</v>
      </c>
      <c r="I91" s="11">
        <f t="shared" si="59"/>
        <v>8.3333333333333339</v>
      </c>
      <c r="J91" s="11">
        <f t="shared" si="59"/>
        <v>3.7878787878787818</v>
      </c>
      <c r="K91" s="11">
        <f t="shared" si="59"/>
        <v>8.3333333333333339</v>
      </c>
      <c r="L91" s="11">
        <f t="shared" si="59"/>
        <v>8.3333333333333339</v>
      </c>
      <c r="M91" s="11">
        <f t="shared" si="59"/>
        <v>8.3333333333333339</v>
      </c>
      <c r="N91" s="11">
        <f t="shared" si="59"/>
        <v>8.3333333333333339</v>
      </c>
      <c r="O91" s="11">
        <f t="shared" si="59"/>
        <v>8.3333333333333339</v>
      </c>
      <c r="P91" s="11">
        <f t="shared" si="59"/>
        <v>3.7878787878787818</v>
      </c>
      <c r="Q91" s="11">
        <f t="shared" si="59"/>
        <v>8.8333333333333339</v>
      </c>
      <c r="R91" s="11">
        <f t="shared" si="59"/>
        <v>8.8333333333333339</v>
      </c>
      <c r="S91" s="11">
        <f t="shared" si="59"/>
        <v>8.8333333333333339</v>
      </c>
      <c r="T91" s="11">
        <f t="shared" si="59"/>
        <v>8.8333333333333339</v>
      </c>
      <c r="U91" s="11">
        <f t="shared" si="59"/>
        <v>8.8333333333333339</v>
      </c>
      <c r="V91" s="11">
        <f t="shared" si="59"/>
        <v>0</v>
      </c>
      <c r="W91" s="11">
        <f t="shared" si="59"/>
        <v>8.8333333333333339</v>
      </c>
      <c r="X91" s="11">
        <f t="shared" si="59"/>
        <v>8.8333333333333339</v>
      </c>
      <c r="Y91" s="11">
        <f t="shared" si="59"/>
        <v>8.8333333333333339</v>
      </c>
      <c r="Z91" s="11">
        <f t="shared" si="59"/>
        <v>8.8333333333333339</v>
      </c>
      <c r="AA91" s="11">
        <f t="shared" si="59"/>
        <v>8.8333333333333339</v>
      </c>
      <c r="AB91" s="11">
        <f t="shared" si="59"/>
        <v>0</v>
      </c>
      <c r="AC91" s="11">
        <f t="shared" si="59"/>
        <v>9.3633333333333333</v>
      </c>
      <c r="AD91" s="11">
        <f t="shared" si="59"/>
        <v>9.3633333333333333</v>
      </c>
      <c r="AE91" s="11">
        <f t="shared" si="59"/>
        <v>9.3633333333333333</v>
      </c>
      <c r="AF91" s="11">
        <f t="shared" si="59"/>
        <v>9.3633333333333333</v>
      </c>
      <c r="AG91" s="11">
        <f t="shared" si="59"/>
        <v>2.6752380952381003</v>
      </c>
      <c r="AH91" s="11">
        <f t="shared" si="59"/>
        <v>0</v>
      </c>
      <c r="AI91" s="11">
        <f t="shared" si="59"/>
        <v>9.3633333333333333</v>
      </c>
      <c r="AJ91" s="11">
        <f t="shared" si="59"/>
        <v>9.3633333333333333</v>
      </c>
      <c r="AK91" s="11">
        <f t="shared" ref="AK91:BL91" si="60">MIN(AK82,AK88)</f>
        <v>9.3633333333333333</v>
      </c>
      <c r="AL91" s="11">
        <f t="shared" si="60"/>
        <v>9.3633333333333333</v>
      </c>
      <c r="AM91" s="11">
        <f t="shared" si="60"/>
        <v>2.6752380952381003</v>
      </c>
      <c r="AN91" s="11">
        <f t="shared" si="60"/>
        <v>0</v>
      </c>
      <c r="AO91" s="11">
        <f t="shared" si="60"/>
        <v>9.9251333333333331</v>
      </c>
      <c r="AP91" s="11">
        <f t="shared" si="60"/>
        <v>9.9251333333333331</v>
      </c>
      <c r="AQ91" s="11">
        <f t="shared" si="60"/>
        <v>9.9251333333333331</v>
      </c>
      <c r="AR91" s="11">
        <f t="shared" si="60"/>
        <v>9.9251333333333331</v>
      </c>
      <c r="AS91" s="11">
        <f t="shared" si="60"/>
        <v>0</v>
      </c>
      <c r="AT91" s="11">
        <f t="shared" si="60"/>
        <v>0</v>
      </c>
      <c r="AU91" s="11">
        <f t="shared" si="60"/>
        <v>9.9251333333333331</v>
      </c>
      <c r="AV91" s="11">
        <f t="shared" si="60"/>
        <v>9.9251333333333331</v>
      </c>
      <c r="AW91" s="11">
        <f t="shared" si="60"/>
        <v>9.9251333333333331</v>
      </c>
      <c r="AX91" s="11">
        <f t="shared" si="60"/>
        <v>9.9251333333333331</v>
      </c>
      <c r="AY91" s="11">
        <f t="shared" si="60"/>
        <v>0</v>
      </c>
      <c r="AZ91" s="11">
        <f t="shared" si="60"/>
        <v>0</v>
      </c>
      <c r="BA91" s="11">
        <f t="shared" si="60"/>
        <v>10.520641333333334</v>
      </c>
      <c r="BB91" s="11">
        <f t="shared" si="60"/>
        <v>10.520641333333334</v>
      </c>
      <c r="BC91" s="11">
        <f t="shared" si="60"/>
        <v>10.520641333333334</v>
      </c>
      <c r="BD91" s="11">
        <f t="shared" si="60"/>
        <v>7.8904809999999976</v>
      </c>
      <c r="BE91" s="11">
        <f t="shared" si="60"/>
        <v>0</v>
      </c>
      <c r="BF91" s="11">
        <f t="shared" si="60"/>
        <v>0</v>
      </c>
      <c r="BG91" s="11">
        <f t="shared" si="60"/>
        <v>10.520641333333334</v>
      </c>
      <c r="BH91" s="11">
        <f t="shared" si="60"/>
        <v>10.520641333333334</v>
      </c>
      <c r="BI91" s="11">
        <f t="shared" si="60"/>
        <v>10.520641333333334</v>
      </c>
      <c r="BJ91" s="11">
        <f t="shared" si="60"/>
        <v>7.8904809999999976</v>
      </c>
      <c r="BK91" s="11">
        <f t="shared" si="60"/>
        <v>0</v>
      </c>
      <c r="BL91" s="11">
        <f t="shared" si="60"/>
        <v>0</v>
      </c>
    </row>
    <row r="92" spans="2:64" x14ac:dyDescent="0.35">
      <c r="C92" s="2" t="s">
        <v>67</v>
      </c>
      <c r="E92" s="11">
        <f t="shared" ref="E92:AJ92" si="61">E65*(E90+E91)</f>
        <v>0</v>
      </c>
      <c r="F92" s="11">
        <f t="shared" si="61"/>
        <v>0</v>
      </c>
      <c r="G92" s="11">
        <f t="shared" si="61"/>
        <v>0</v>
      </c>
      <c r="H92" s="11">
        <f t="shared" si="61"/>
        <v>0</v>
      </c>
      <c r="I92" s="11">
        <f t="shared" si="61"/>
        <v>0</v>
      </c>
      <c r="J92" s="11">
        <f t="shared" si="61"/>
        <v>45.454545454545453</v>
      </c>
      <c r="K92" s="11">
        <f t="shared" si="61"/>
        <v>0</v>
      </c>
      <c r="L92" s="11">
        <f t="shared" si="61"/>
        <v>0</v>
      </c>
      <c r="M92" s="11">
        <f t="shared" si="61"/>
        <v>0</v>
      </c>
      <c r="N92" s="11">
        <f t="shared" si="61"/>
        <v>0</v>
      </c>
      <c r="O92" s="11">
        <f t="shared" si="61"/>
        <v>0</v>
      </c>
      <c r="P92" s="11">
        <f t="shared" si="61"/>
        <v>45.454545454545453</v>
      </c>
      <c r="Q92" s="11">
        <f t="shared" si="61"/>
        <v>0</v>
      </c>
      <c r="R92" s="11">
        <f t="shared" si="61"/>
        <v>0</v>
      </c>
      <c r="S92" s="11">
        <f t="shared" si="61"/>
        <v>0</v>
      </c>
      <c r="T92" s="11">
        <f t="shared" si="61"/>
        <v>0</v>
      </c>
      <c r="U92" s="11">
        <f t="shared" si="61"/>
        <v>0</v>
      </c>
      <c r="V92" s="11">
        <f t="shared" si="61"/>
        <v>44.166666666666671</v>
      </c>
      <c r="W92" s="11">
        <f t="shared" si="61"/>
        <v>0</v>
      </c>
      <c r="X92" s="11">
        <f t="shared" si="61"/>
        <v>0</v>
      </c>
      <c r="Y92" s="11">
        <f t="shared" si="61"/>
        <v>0</v>
      </c>
      <c r="Z92" s="11">
        <f t="shared" si="61"/>
        <v>0</v>
      </c>
      <c r="AA92" s="11">
        <f t="shared" si="61"/>
        <v>0</v>
      </c>
      <c r="AB92" s="11">
        <f t="shared" si="61"/>
        <v>44.166666666666671</v>
      </c>
      <c r="AC92" s="11">
        <f t="shared" si="61"/>
        <v>0</v>
      </c>
      <c r="AD92" s="11">
        <f t="shared" si="61"/>
        <v>0</v>
      </c>
      <c r="AE92" s="11">
        <f t="shared" si="61"/>
        <v>0</v>
      </c>
      <c r="AF92" s="11">
        <f t="shared" si="61"/>
        <v>0</v>
      </c>
      <c r="AG92" s="11">
        <f t="shared" si="61"/>
        <v>0</v>
      </c>
      <c r="AH92" s="11">
        <f t="shared" si="61"/>
        <v>40.128571428571433</v>
      </c>
      <c r="AI92" s="11">
        <f t="shared" si="61"/>
        <v>0</v>
      </c>
      <c r="AJ92" s="11">
        <f t="shared" si="61"/>
        <v>0</v>
      </c>
      <c r="AK92" s="11">
        <f t="shared" ref="AK92:BL92" si="62">AK65*(AK90+AK91)</f>
        <v>0</v>
      </c>
      <c r="AL92" s="11">
        <f t="shared" si="62"/>
        <v>0</v>
      </c>
      <c r="AM92" s="11">
        <f t="shared" si="62"/>
        <v>0</v>
      </c>
      <c r="AN92" s="11">
        <f t="shared" si="62"/>
        <v>40.128571428571433</v>
      </c>
      <c r="AO92" s="11">
        <f t="shared" si="62"/>
        <v>0</v>
      </c>
      <c r="AP92" s="11">
        <f t="shared" si="62"/>
        <v>0</v>
      </c>
      <c r="AQ92" s="11">
        <f t="shared" si="62"/>
        <v>0</v>
      </c>
      <c r="AR92" s="11">
        <f t="shared" si="62"/>
        <v>0</v>
      </c>
      <c r="AS92" s="11">
        <f t="shared" si="62"/>
        <v>0</v>
      </c>
      <c r="AT92" s="11">
        <f t="shared" si="62"/>
        <v>39.700533333333333</v>
      </c>
      <c r="AU92" s="11">
        <f t="shared" si="62"/>
        <v>0</v>
      </c>
      <c r="AV92" s="11">
        <f t="shared" si="62"/>
        <v>0</v>
      </c>
      <c r="AW92" s="11">
        <f t="shared" si="62"/>
        <v>0</v>
      </c>
      <c r="AX92" s="11">
        <f t="shared" si="62"/>
        <v>0</v>
      </c>
      <c r="AY92" s="11">
        <f t="shared" si="62"/>
        <v>0</v>
      </c>
      <c r="AZ92" s="11">
        <f t="shared" si="62"/>
        <v>39.700533333333333</v>
      </c>
      <c r="BA92" s="11">
        <f t="shared" si="62"/>
        <v>0</v>
      </c>
      <c r="BB92" s="11">
        <f t="shared" si="62"/>
        <v>0</v>
      </c>
      <c r="BC92" s="11">
        <f t="shared" si="62"/>
        <v>0</v>
      </c>
      <c r="BD92" s="11">
        <f t="shared" si="62"/>
        <v>0</v>
      </c>
      <c r="BE92" s="11">
        <f t="shared" si="62"/>
        <v>0</v>
      </c>
      <c r="BF92" s="11">
        <f t="shared" si="62"/>
        <v>39.452404999999999</v>
      </c>
      <c r="BG92" s="11">
        <f t="shared" si="62"/>
        <v>0</v>
      </c>
      <c r="BH92" s="11">
        <f t="shared" si="62"/>
        <v>0</v>
      </c>
      <c r="BI92" s="11">
        <f t="shared" si="62"/>
        <v>0</v>
      </c>
      <c r="BJ92" s="11">
        <f t="shared" si="62"/>
        <v>0</v>
      </c>
      <c r="BK92" s="11">
        <f t="shared" si="62"/>
        <v>0</v>
      </c>
      <c r="BL92" s="11">
        <f t="shared" si="62"/>
        <v>39.452404999999999</v>
      </c>
    </row>
    <row r="93" spans="2:64" x14ac:dyDescent="0.35">
      <c r="C93" s="2" t="s">
        <v>7</v>
      </c>
      <c r="E93" s="11">
        <f t="shared" ref="E93:AJ93" si="63">E90+E91-E92</f>
        <v>8.3333333333333339</v>
      </c>
      <c r="F93" s="11">
        <f t="shared" si="63"/>
        <v>16.666666666666668</v>
      </c>
      <c r="G93" s="11">
        <f t="shared" si="63"/>
        <v>25</v>
      </c>
      <c r="H93" s="11">
        <f t="shared" si="63"/>
        <v>33.333333333333336</v>
      </c>
      <c r="I93" s="11">
        <f t="shared" si="63"/>
        <v>41.666666666666671</v>
      </c>
      <c r="J93" s="11">
        <f t="shared" si="63"/>
        <v>0</v>
      </c>
      <c r="K93" s="11">
        <f t="shared" si="63"/>
        <v>8.3333333333333339</v>
      </c>
      <c r="L93" s="11">
        <f t="shared" si="63"/>
        <v>16.666666666666668</v>
      </c>
      <c r="M93" s="11">
        <f t="shared" si="63"/>
        <v>25</v>
      </c>
      <c r="N93" s="11">
        <f t="shared" si="63"/>
        <v>33.333333333333336</v>
      </c>
      <c r="O93" s="11">
        <f t="shared" si="63"/>
        <v>41.666666666666671</v>
      </c>
      <c r="P93" s="11">
        <f t="shared" si="63"/>
        <v>0</v>
      </c>
      <c r="Q93" s="11">
        <f t="shared" si="63"/>
        <v>8.8333333333333339</v>
      </c>
      <c r="R93" s="11">
        <f t="shared" si="63"/>
        <v>17.666666666666668</v>
      </c>
      <c r="S93" s="11">
        <f t="shared" si="63"/>
        <v>26.5</v>
      </c>
      <c r="T93" s="11">
        <f t="shared" si="63"/>
        <v>35.333333333333336</v>
      </c>
      <c r="U93" s="11">
        <f t="shared" si="63"/>
        <v>44.166666666666671</v>
      </c>
      <c r="V93" s="11">
        <f t="shared" si="63"/>
        <v>0</v>
      </c>
      <c r="W93" s="11">
        <f t="shared" si="63"/>
        <v>8.8333333333333339</v>
      </c>
      <c r="X93" s="11">
        <f t="shared" si="63"/>
        <v>17.666666666666668</v>
      </c>
      <c r="Y93" s="11">
        <f t="shared" si="63"/>
        <v>26.5</v>
      </c>
      <c r="Z93" s="11">
        <f t="shared" si="63"/>
        <v>35.333333333333336</v>
      </c>
      <c r="AA93" s="11">
        <f t="shared" si="63"/>
        <v>44.166666666666671</v>
      </c>
      <c r="AB93" s="11">
        <f t="shared" si="63"/>
        <v>0</v>
      </c>
      <c r="AC93" s="11">
        <f t="shared" si="63"/>
        <v>9.3633333333333333</v>
      </c>
      <c r="AD93" s="11">
        <f t="shared" si="63"/>
        <v>18.726666666666667</v>
      </c>
      <c r="AE93" s="11">
        <f t="shared" si="63"/>
        <v>28.09</v>
      </c>
      <c r="AF93" s="11">
        <f t="shared" si="63"/>
        <v>37.453333333333333</v>
      </c>
      <c r="AG93" s="11">
        <f t="shared" si="63"/>
        <v>40.128571428571433</v>
      </c>
      <c r="AH93" s="11">
        <f t="shared" si="63"/>
        <v>0</v>
      </c>
      <c r="AI93" s="11">
        <f t="shared" si="63"/>
        <v>9.3633333333333333</v>
      </c>
      <c r="AJ93" s="11">
        <f t="shared" si="63"/>
        <v>18.726666666666667</v>
      </c>
      <c r="AK93" s="11">
        <f t="shared" ref="AK93:BL93" si="64">AK90+AK91-AK92</f>
        <v>28.09</v>
      </c>
      <c r="AL93" s="11">
        <f t="shared" si="64"/>
        <v>37.453333333333333</v>
      </c>
      <c r="AM93" s="11">
        <f t="shared" si="64"/>
        <v>40.128571428571433</v>
      </c>
      <c r="AN93" s="11">
        <f t="shared" si="64"/>
        <v>0</v>
      </c>
      <c r="AO93" s="11">
        <f t="shared" si="64"/>
        <v>9.9251333333333331</v>
      </c>
      <c r="AP93" s="11">
        <f t="shared" si="64"/>
        <v>19.850266666666666</v>
      </c>
      <c r="AQ93" s="11">
        <f t="shared" si="64"/>
        <v>29.775399999999998</v>
      </c>
      <c r="AR93" s="11">
        <f t="shared" si="64"/>
        <v>39.700533333333333</v>
      </c>
      <c r="AS93" s="11">
        <f t="shared" si="64"/>
        <v>39.700533333333333</v>
      </c>
      <c r="AT93" s="11">
        <f t="shared" si="64"/>
        <v>0</v>
      </c>
      <c r="AU93" s="11">
        <f t="shared" si="64"/>
        <v>9.9251333333333331</v>
      </c>
      <c r="AV93" s="11">
        <f t="shared" si="64"/>
        <v>19.850266666666666</v>
      </c>
      <c r="AW93" s="11">
        <f t="shared" si="64"/>
        <v>29.775399999999998</v>
      </c>
      <c r="AX93" s="11">
        <f t="shared" si="64"/>
        <v>39.700533333333333</v>
      </c>
      <c r="AY93" s="11">
        <f t="shared" si="64"/>
        <v>39.700533333333333</v>
      </c>
      <c r="AZ93" s="11">
        <f t="shared" si="64"/>
        <v>0</v>
      </c>
      <c r="BA93" s="11">
        <f t="shared" si="64"/>
        <v>10.520641333333334</v>
      </c>
      <c r="BB93" s="11">
        <f t="shared" si="64"/>
        <v>21.041282666666667</v>
      </c>
      <c r="BC93" s="11">
        <f t="shared" si="64"/>
        <v>31.561924000000001</v>
      </c>
      <c r="BD93" s="11">
        <f t="shared" si="64"/>
        <v>39.452404999999999</v>
      </c>
      <c r="BE93" s="11">
        <f t="shared" si="64"/>
        <v>39.452404999999999</v>
      </c>
      <c r="BF93" s="11">
        <f t="shared" si="64"/>
        <v>0</v>
      </c>
      <c r="BG93" s="11">
        <f t="shared" si="64"/>
        <v>10.520641333333334</v>
      </c>
      <c r="BH93" s="11">
        <f t="shared" si="64"/>
        <v>21.041282666666667</v>
      </c>
      <c r="BI93" s="11">
        <f t="shared" si="64"/>
        <v>31.561924000000001</v>
      </c>
      <c r="BJ93" s="11">
        <f t="shared" si="64"/>
        <v>39.452404999999999</v>
      </c>
      <c r="BK93" s="11">
        <f t="shared" si="64"/>
        <v>39.452404999999999</v>
      </c>
      <c r="BL93" s="11">
        <f t="shared" si="64"/>
        <v>0</v>
      </c>
    </row>
    <row r="94" spans="2:64" x14ac:dyDescent="0.35"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  <c r="AK94" s="11"/>
      <c r="AL94" s="11"/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  <c r="AY94" s="11"/>
      <c r="AZ94" s="11"/>
      <c r="BA94" s="11"/>
      <c r="BB94" s="11"/>
      <c r="BC94" s="11"/>
      <c r="BD94" s="11"/>
      <c r="BE94" s="11"/>
      <c r="BF94" s="11"/>
      <c r="BG94" s="11"/>
      <c r="BH94" s="11"/>
      <c r="BI94" s="11"/>
      <c r="BJ94" s="11"/>
      <c r="BK94" s="11"/>
      <c r="BL94" s="11"/>
    </row>
    <row r="95" spans="2:64" x14ac:dyDescent="0.35">
      <c r="C95" s="2" t="s">
        <v>475</v>
      </c>
      <c r="E95" s="4">
        <f t="shared" ref="E95:AJ95" si="65">E92</f>
        <v>0</v>
      </c>
      <c r="F95" s="4">
        <f t="shared" si="65"/>
        <v>0</v>
      </c>
      <c r="G95" s="4">
        <f t="shared" si="65"/>
        <v>0</v>
      </c>
      <c r="H95" s="4">
        <f t="shared" si="65"/>
        <v>0</v>
      </c>
      <c r="I95" s="4">
        <f t="shared" si="65"/>
        <v>0</v>
      </c>
      <c r="J95" s="4">
        <f t="shared" si="65"/>
        <v>45.454545454545453</v>
      </c>
      <c r="K95" s="4">
        <f t="shared" si="65"/>
        <v>0</v>
      </c>
      <c r="L95" s="4">
        <f t="shared" si="65"/>
        <v>0</v>
      </c>
      <c r="M95" s="4">
        <f t="shared" si="65"/>
        <v>0</v>
      </c>
      <c r="N95" s="4">
        <f t="shared" si="65"/>
        <v>0</v>
      </c>
      <c r="O95" s="4">
        <f t="shared" si="65"/>
        <v>0</v>
      </c>
      <c r="P95" s="4">
        <f t="shared" si="65"/>
        <v>45.454545454545453</v>
      </c>
      <c r="Q95" s="4">
        <f t="shared" si="65"/>
        <v>0</v>
      </c>
      <c r="R95" s="4">
        <f t="shared" si="65"/>
        <v>0</v>
      </c>
      <c r="S95" s="4">
        <f t="shared" si="65"/>
        <v>0</v>
      </c>
      <c r="T95" s="4">
        <f t="shared" si="65"/>
        <v>0</v>
      </c>
      <c r="U95" s="4">
        <f t="shared" si="65"/>
        <v>0</v>
      </c>
      <c r="V95" s="4">
        <f t="shared" si="65"/>
        <v>44.166666666666671</v>
      </c>
      <c r="W95" s="4">
        <f t="shared" si="65"/>
        <v>0</v>
      </c>
      <c r="X95" s="4">
        <f t="shared" si="65"/>
        <v>0</v>
      </c>
      <c r="Y95" s="4">
        <f t="shared" si="65"/>
        <v>0</v>
      </c>
      <c r="Z95" s="4">
        <f t="shared" si="65"/>
        <v>0</v>
      </c>
      <c r="AA95" s="4">
        <f t="shared" si="65"/>
        <v>0</v>
      </c>
      <c r="AB95" s="4">
        <f t="shared" si="65"/>
        <v>44.166666666666671</v>
      </c>
      <c r="AC95" s="4">
        <f t="shared" si="65"/>
        <v>0</v>
      </c>
      <c r="AD95" s="4">
        <f t="shared" si="65"/>
        <v>0</v>
      </c>
      <c r="AE95" s="4">
        <f t="shared" si="65"/>
        <v>0</v>
      </c>
      <c r="AF95" s="4">
        <f t="shared" si="65"/>
        <v>0</v>
      </c>
      <c r="AG95" s="4">
        <f t="shared" si="65"/>
        <v>0</v>
      </c>
      <c r="AH95" s="4">
        <f t="shared" si="65"/>
        <v>40.128571428571433</v>
      </c>
      <c r="AI95" s="4">
        <f t="shared" si="65"/>
        <v>0</v>
      </c>
      <c r="AJ95" s="4">
        <f t="shared" si="65"/>
        <v>0</v>
      </c>
      <c r="AK95" s="4">
        <f t="shared" ref="AK95:BL95" si="66">AK92</f>
        <v>0</v>
      </c>
      <c r="AL95" s="4">
        <f t="shared" si="66"/>
        <v>0</v>
      </c>
      <c r="AM95" s="4">
        <f t="shared" si="66"/>
        <v>0</v>
      </c>
      <c r="AN95" s="4">
        <f t="shared" si="66"/>
        <v>40.128571428571433</v>
      </c>
      <c r="AO95" s="4">
        <f t="shared" si="66"/>
        <v>0</v>
      </c>
      <c r="AP95" s="4">
        <f t="shared" si="66"/>
        <v>0</v>
      </c>
      <c r="AQ95" s="4">
        <f t="shared" si="66"/>
        <v>0</v>
      </c>
      <c r="AR95" s="4">
        <f t="shared" si="66"/>
        <v>0</v>
      </c>
      <c r="AS95" s="4">
        <f t="shared" si="66"/>
        <v>0</v>
      </c>
      <c r="AT95" s="4">
        <f t="shared" si="66"/>
        <v>39.700533333333333</v>
      </c>
      <c r="AU95" s="4">
        <f t="shared" si="66"/>
        <v>0</v>
      </c>
      <c r="AV95" s="4">
        <f t="shared" si="66"/>
        <v>0</v>
      </c>
      <c r="AW95" s="4">
        <f t="shared" si="66"/>
        <v>0</v>
      </c>
      <c r="AX95" s="4">
        <f t="shared" si="66"/>
        <v>0</v>
      </c>
      <c r="AY95" s="4">
        <f t="shared" si="66"/>
        <v>0</v>
      </c>
      <c r="AZ95" s="4">
        <f t="shared" si="66"/>
        <v>39.700533333333333</v>
      </c>
      <c r="BA95" s="4">
        <f t="shared" si="66"/>
        <v>0</v>
      </c>
      <c r="BB95" s="4">
        <f t="shared" si="66"/>
        <v>0</v>
      </c>
      <c r="BC95" s="4">
        <f t="shared" si="66"/>
        <v>0</v>
      </c>
      <c r="BD95" s="4">
        <f t="shared" si="66"/>
        <v>0</v>
      </c>
      <c r="BE95" s="4">
        <f t="shared" si="66"/>
        <v>0</v>
      </c>
      <c r="BF95" s="4">
        <f t="shared" si="66"/>
        <v>39.452404999999999</v>
      </c>
      <c r="BG95" s="4">
        <f t="shared" si="66"/>
        <v>0</v>
      </c>
      <c r="BH95" s="4">
        <f t="shared" si="66"/>
        <v>0</v>
      </c>
      <c r="BI95" s="4">
        <f t="shared" si="66"/>
        <v>0</v>
      </c>
      <c r="BJ95" s="4">
        <f t="shared" si="66"/>
        <v>0</v>
      </c>
      <c r="BK95" s="4">
        <f t="shared" si="66"/>
        <v>0</v>
      </c>
      <c r="BL95" s="4">
        <f t="shared" si="66"/>
        <v>39.452404999999999</v>
      </c>
    </row>
    <row r="96" spans="2:64" x14ac:dyDescent="0.35">
      <c r="C96" s="2" t="s">
        <v>156</v>
      </c>
      <c r="D96" s="38">
        <v>1</v>
      </c>
      <c r="E96" s="4">
        <f t="shared" ref="E96:AJ96" si="67">D96*(1+E76)</f>
        <v>1.0041239154651442</v>
      </c>
      <c r="F96" s="4">
        <f t="shared" si="67"/>
        <v>1.0082648376090522</v>
      </c>
      <c r="G96" s="4">
        <f t="shared" si="67"/>
        <v>1.0124228365658292</v>
      </c>
      <c r="H96" s="4">
        <f t="shared" si="67"/>
        <v>1.0165979827588083</v>
      </c>
      <c r="I96" s="4">
        <f t="shared" si="67"/>
        <v>1.0207903469017419</v>
      </c>
      <c r="J96" s="4">
        <f t="shared" si="67"/>
        <v>1.0249999999999999</v>
      </c>
      <c r="K96" s="4">
        <f t="shared" si="67"/>
        <v>1.0292270133517727</v>
      </c>
      <c r="L96" s="4">
        <f t="shared" si="67"/>
        <v>1.0334714585492784</v>
      </c>
      <c r="M96" s="4">
        <f t="shared" si="67"/>
        <v>1.0377334074799749</v>
      </c>
      <c r="N96" s="4">
        <f t="shared" si="67"/>
        <v>1.0420129323277785</v>
      </c>
      <c r="O96" s="4">
        <f t="shared" si="67"/>
        <v>1.0463101055742854</v>
      </c>
      <c r="P96" s="4">
        <f t="shared" si="67"/>
        <v>1.0506249999999999</v>
      </c>
      <c r="Q96" s="4">
        <f t="shared" si="67"/>
        <v>1.0549576886855672</v>
      </c>
      <c r="R96" s="4">
        <f t="shared" si="67"/>
        <v>1.0593082450130105</v>
      </c>
      <c r="S96" s="4">
        <f t="shared" si="67"/>
        <v>1.0636767426669744</v>
      </c>
      <c r="T96" s="4">
        <f t="shared" si="67"/>
        <v>1.068063255635973</v>
      </c>
      <c r="U96" s="4">
        <f t="shared" si="67"/>
        <v>1.0724678582136424</v>
      </c>
      <c r="V96" s="4">
        <f t="shared" si="67"/>
        <v>1.0768906249999999</v>
      </c>
      <c r="W96" s="4">
        <f t="shared" si="67"/>
        <v>1.0813316309027061</v>
      </c>
      <c r="X96" s="4">
        <f t="shared" si="67"/>
        <v>1.0857909511383355</v>
      </c>
      <c r="Y96" s="4">
        <f t="shared" si="67"/>
        <v>1.0902686612336485</v>
      </c>
      <c r="Z96" s="4">
        <f t="shared" si="67"/>
        <v>1.0947648370268721</v>
      </c>
      <c r="AA96" s="4">
        <f t="shared" si="67"/>
        <v>1.0992795546689833</v>
      </c>
      <c r="AB96" s="4">
        <f t="shared" si="67"/>
        <v>1.1038128906249995</v>
      </c>
      <c r="AC96" s="4">
        <f t="shared" si="67"/>
        <v>1.1083649216752736</v>
      </c>
      <c r="AD96" s="4">
        <f t="shared" si="67"/>
        <v>1.1129357249167937</v>
      </c>
      <c r="AE96" s="4">
        <f t="shared" si="67"/>
        <v>1.1175253777644896</v>
      </c>
      <c r="AF96" s="4">
        <f t="shared" si="67"/>
        <v>1.1221339579525438</v>
      </c>
      <c r="AG96" s="4">
        <f t="shared" si="67"/>
        <v>1.1267615435357077</v>
      </c>
      <c r="AH96" s="4">
        <f t="shared" si="67"/>
        <v>1.1314082128906244</v>
      </c>
      <c r="AI96" s="4">
        <f t="shared" si="67"/>
        <v>1.1360740447171553</v>
      </c>
      <c r="AJ96" s="4">
        <f t="shared" si="67"/>
        <v>1.1407591180397134</v>
      </c>
      <c r="AK96" s="4">
        <f t="shared" ref="AK96:BL96" si="68">AJ96*(1+AK76)</f>
        <v>1.1454635122086017</v>
      </c>
      <c r="AL96" s="4">
        <f t="shared" si="68"/>
        <v>1.1501873069013571</v>
      </c>
      <c r="AM96" s="4">
        <f t="shared" si="68"/>
        <v>1.1549305821241003</v>
      </c>
      <c r="AN96" s="4">
        <f t="shared" si="68"/>
        <v>1.15969341821289</v>
      </c>
      <c r="AO96" s="4">
        <f t="shared" si="68"/>
        <v>1.164475895835084</v>
      </c>
      <c r="AP96" s="4">
        <f t="shared" si="68"/>
        <v>1.1692780959907061</v>
      </c>
      <c r="AQ96" s="4">
        <f t="shared" si="68"/>
        <v>1.1741001000138165</v>
      </c>
      <c r="AR96" s="4">
        <f t="shared" si="68"/>
        <v>1.1789419895738908</v>
      </c>
      <c r="AS96" s="4">
        <f t="shared" si="68"/>
        <v>1.1838038466772025</v>
      </c>
      <c r="AT96" s="4">
        <f t="shared" si="68"/>
        <v>1.1886857536682118</v>
      </c>
      <c r="AU96" s="4">
        <f t="shared" si="68"/>
        <v>1.1935877932309609</v>
      </c>
      <c r="AV96" s="4">
        <f t="shared" si="68"/>
        <v>1.1985100483904734</v>
      </c>
      <c r="AW96" s="4">
        <f t="shared" si="68"/>
        <v>1.2034526025141616</v>
      </c>
      <c r="AX96" s="4">
        <f t="shared" si="68"/>
        <v>1.2084155393132379</v>
      </c>
      <c r="AY96" s="4">
        <f t="shared" si="68"/>
        <v>1.2133989428441323</v>
      </c>
      <c r="AZ96" s="4">
        <f t="shared" si="68"/>
        <v>1.2184028975099168</v>
      </c>
      <c r="BA96" s="4">
        <f t="shared" si="68"/>
        <v>1.2234274880617344</v>
      </c>
      <c r="BB96" s="4">
        <f t="shared" si="68"/>
        <v>1.2284727996002347</v>
      </c>
      <c r="BC96" s="4">
        <f t="shared" si="68"/>
        <v>1.2335389175770151</v>
      </c>
      <c r="BD96" s="4">
        <f t="shared" si="68"/>
        <v>1.2386259277960683</v>
      </c>
      <c r="BE96" s="4">
        <f t="shared" si="68"/>
        <v>1.243733916415235</v>
      </c>
      <c r="BF96" s="4">
        <f t="shared" si="68"/>
        <v>1.2488629699476641</v>
      </c>
      <c r="BG96" s="4">
        <f t="shared" si="68"/>
        <v>1.2540131752632773</v>
      </c>
      <c r="BH96" s="4">
        <f t="shared" si="68"/>
        <v>1.2591846195902401</v>
      </c>
      <c r="BI96" s="4">
        <f t="shared" si="68"/>
        <v>1.2643773905164399</v>
      </c>
      <c r="BJ96" s="4">
        <f t="shared" si="68"/>
        <v>1.2695915759909695</v>
      </c>
      <c r="BK96" s="4">
        <f t="shared" si="68"/>
        <v>1.2748272643256156</v>
      </c>
      <c r="BL96" s="4">
        <f t="shared" si="68"/>
        <v>1.2800845441963555</v>
      </c>
    </row>
    <row r="98" spans="2:64" x14ac:dyDescent="0.35">
      <c r="C98" s="2" t="s">
        <v>26</v>
      </c>
      <c r="D98" s="4">
        <f>SUMPRODUCT(E95:BL95/E96:BL96)</f>
        <v>367.10027127997961</v>
      </c>
    </row>
    <row r="99" spans="2:64" x14ac:dyDescent="0.35">
      <c r="C99" s="2" t="s">
        <v>27</v>
      </c>
    </row>
    <row r="100" spans="2:64" x14ac:dyDescent="0.35">
      <c r="E100" s="2" t="s">
        <v>115</v>
      </c>
    </row>
    <row r="101" spans="2:64" x14ac:dyDescent="0.35">
      <c r="B101" s="1" t="s">
        <v>68</v>
      </c>
    </row>
    <row r="103" spans="2:64" x14ac:dyDescent="0.35">
      <c r="C103" s="2" t="s">
        <v>5</v>
      </c>
      <c r="E103" s="4">
        <f t="shared" ref="E103:AJ103" si="69">D105</f>
        <v>367.10027127997961</v>
      </c>
      <c r="F103" s="4">
        <f t="shared" si="69"/>
        <v>367.10027127997961</v>
      </c>
      <c r="G103" s="4">
        <f t="shared" si="69"/>
        <v>367.10027127997961</v>
      </c>
      <c r="H103" s="4">
        <f t="shared" si="69"/>
        <v>367.10027127997961</v>
      </c>
      <c r="I103" s="4">
        <f t="shared" si="69"/>
        <v>367.10027127997961</v>
      </c>
      <c r="J103" s="4">
        <f t="shared" si="69"/>
        <v>367.10027127997961</v>
      </c>
      <c r="K103" s="4">
        <f t="shared" si="69"/>
        <v>330.82323260743362</v>
      </c>
      <c r="L103" s="4">
        <f t="shared" si="69"/>
        <v>330.82323260743362</v>
      </c>
      <c r="M103" s="4">
        <f t="shared" si="69"/>
        <v>330.82323260743362</v>
      </c>
      <c r="N103" s="4">
        <f t="shared" si="69"/>
        <v>330.82323260743362</v>
      </c>
      <c r="O103" s="4">
        <f t="shared" si="69"/>
        <v>330.82323260743362</v>
      </c>
      <c r="P103" s="4">
        <f t="shared" si="69"/>
        <v>330.82323260743362</v>
      </c>
      <c r="Q103" s="4">
        <f t="shared" si="69"/>
        <v>293.63926796807402</v>
      </c>
      <c r="R103" s="4">
        <f t="shared" si="69"/>
        <v>293.63926796807402</v>
      </c>
      <c r="S103" s="4">
        <f t="shared" si="69"/>
        <v>293.63926796807402</v>
      </c>
      <c r="T103" s="4">
        <f t="shared" si="69"/>
        <v>293.63926796807402</v>
      </c>
      <c r="U103" s="4">
        <f t="shared" si="69"/>
        <v>293.63926796807402</v>
      </c>
      <c r="V103" s="4">
        <f t="shared" si="69"/>
        <v>293.63926796807402</v>
      </c>
      <c r="W103" s="4">
        <f t="shared" si="69"/>
        <v>256.81358300060919</v>
      </c>
      <c r="X103" s="4">
        <f t="shared" si="69"/>
        <v>256.81358300060919</v>
      </c>
      <c r="Y103" s="4">
        <f t="shared" si="69"/>
        <v>256.81358300060919</v>
      </c>
      <c r="Z103" s="4">
        <f t="shared" si="69"/>
        <v>256.81358300060919</v>
      </c>
      <c r="AA103" s="4">
        <f t="shared" si="69"/>
        <v>256.81358300060919</v>
      </c>
      <c r="AB103" s="4">
        <f t="shared" si="69"/>
        <v>256.81358300060919</v>
      </c>
      <c r="AC103" s="4">
        <f t="shared" si="69"/>
        <v>219.06725590895775</v>
      </c>
      <c r="AD103" s="4">
        <f t="shared" si="69"/>
        <v>219.06725590895775</v>
      </c>
      <c r="AE103" s="4">
        <f t="shared" si="69"/>
        <v>219.06725590895775</v>
      </c>
      <c r="AF103" s="4">
        <f t="shared" si="69"/>
        <v>219.06725590895775</v>
      </c>
      <c r="AG103" s="4">
        <f t="shared" si="69"/>
        <v>219.06725590895775</v>
      </c>
      <c r="AH103" s="4">
        <f t="shared" si="69"/>
        <v>219.06725590895775</v>
      </c>
      <c r="AI103" s="4">
        <f t="shared" si="69"/>
        <v>184.41536587811026</v>
      </c>
      <c r="AJ103" s="4">
        <f t="shared" si="69"/>
        <v>184.41536587811026</v>
      </c>
      <c r="AK103" s="4">
        <f t="shared" ref="AK103:BL103" si="70">AJ105</f>
        <v>184.41536587811026</v>
      </c>
      <c r="AL103" s="4">
        <f t="shared" si="70"/>
        <v>184.41536587811026</v>
      </c>
      <c r="AM103" s="4">
        <f t="shared" si="70"/>
        <v>184.41536587811026</v>
      </c>
      <c r="AN103" s="4">
        <f t="shared" si="70"/>
        <v>184.41536587811026</v>
      </c>
      <c r="AO103" s="4">
        <f t="shared" si="70"/>
        <v>148.89717859649159</v>
      </c>
      <c r="AP103" s="4">
        <f t="shared" si="70"/>
        <v>148.89717859649159</v>
      </c>
      <c r="AQ103" s="4">
        <f t="shared" si="70"/>
        <v>148.89717859649159</v>
      </c>
      <c r="AR103" s="4">
        <f t="shared" si="70"/>
        <v>148.89717859649159</v>
      </c>
      <c r="AS103" s="4">
        <f t="shared" si="70"/>
        <v>148.89717859649159</v>
      </c>
      <c r="AT103" s="4">
        <f t="shared" si="70"/>
        <v>148.89717859649159</v>
      </c>
      <c r="AU103" s="4">
        <f t="shared" si="70"/>
        <v>112.91907472807054</v>
      </c>
      <c r="AV103" s="4">
        <f t="shared" si="70"/>
        <v>112.91907472807054</v>
      </c>
      <c r="AW103" s="4">
        <f t="shared" si="70"/>
        <v>112.91907472807054</v>
      </c>
      <c r="AX103" s="4">
        <f t="shared" si="70"/>
        <v>112.91907472807054</v>
      </c>
      <c r="AY103" s="4">
        <f t="shared" si="70"/>
        <v>112.91907472807054</v>
      </c>
      <c r="AZ103" s="4">
        <f t="shared" si="70"/>
        <v>112.91907472807054</v>
      </c>
      <c r="BA103" s="4">
        <f t="shared" si="70"/>
        <v>76.041518262938979</v>
      </c>
      <c r="BB103" s="4">
        <f t="shared" si="70"/>
        <v>76.041518262938979</v>
      </c>
      <c r="BC103" s="4">
        <f t="shared" si="70"/>
        <v>76.041518262938979</v>
      </c>
      <c r="BD103" s="4">
        <f t="shared" si="70"/>
        <v>76.041518262938979</v>
      </c>
      <c r="BE103" s="4">
        <f t="shared" si="70"/>
        <v>76.041518262938979</v>
      </c>
      <c r="BF103" s="4">
        <f t="shared" si="70"/>
        <v>76.041518262938979</v>
      </c>
      <c r="BG103" s="4">
        <f t="shared" si="70"/>
        <v>38.490151219512455</v>
      </c>
      <c r="BH103" s="4">
        <f t="shared" si="70"/>
        <v>38.490151219512455</v>
      </c>
      <c r="BI103" s="4">
        <f t="shared" si="70"/>
        <v>38.490151219512455</v>
      </c>
      <c r="BJ103" s="4">
        <f t="shared" si="70"/>
        <v>38.490151219512455</v>
      </c>
      <c r="BK103" s="4">
        <f t="shared" si="70"/>
        <v>38.490151219512455</v>
      </c>
      <c r="BL103" s="4">
        <f t="shared" si="70"/>
        <v>38.490151219512455</v>
      </c>
    </row>
    <row r="104" spans="2:64" x14ac:dyDescent="0.35">
      <c r="C104" s="2" t="s">
        <v>74</v>
      </c>
      <c r="E104" s="4">
        <f t="shared" ref="E104:AJ104" si="71">E95-E106</f>
        <v>0</v>
      </c>
      <c r="F104" s="4">
        <f t="shared" si="71"/>
        <v>0</v>
      </c>
      <c r="G104" s="4">
        <f t="shared" si="71"/>
        <v>0</v>
      </c>
      <c r="H104" s="4">
        <f t="shared" si="71"/>
        <v>0</v>
      </c>
      <c r="I104" s="4">
        <f t="shared" si="71"/>
        <v>0</v>
      </c>
      <c r="J104" s="4">
        <f t="shared" si="71"/>
        <v>36.277038672545963</v>
      </c>
      <c r="K104" s="4">
        <f t="shared" si="71"/>
        <v>0</v>
      </c>
      <c r="L104" s="4">
        <f t="shared" si="71"/>
        <v>0</v>
      </c>
      <c r="M104" s="4">
        <f t="shared" si="71"/>
        <v>0</v>
      </c>
      <c r="N104" s="4">
        <f t="shared" si="71"/>
        <v>0</v>
      </c>
      <c r="O104" s="4">
        <f t="shared" si="71"/>
        <v>0</v>
      </c>
      <c r="P104" s="4">
        <f t="shared" si="71"/>
        <v>37.183964639359615</v>
      </c>
      <c r="Q104" s="4">
        <f t="shared" si="71"/>
        <v>0</v>
      </c>
      <c r="R104" s="4">
        <f t="shared" si="71"/>
        <v>0</v>
      </c>
      <c r="S104" s="4">
        <f t="shared" si="71"/>
        <v>0</v>
      </c>
      <c r="T104" s="4">
        <f t="shared" si="71"/>
        <v>0</v>
      </c>
      <c r="U104" s="4">
        <f t="shared" si="71"/>
        <v>0</v>
      </c>
      <c r="V104" s="4">
        <f t="shared" si="71"/>
        <v>36.825684967464824</v>
      </c>
      <c r="W104" s="4">
        <f t="shared" si="71"/>
        <v>0</v>
      </c>
      <c r="X104" s="4">
        <f t="shared" si="71"/>
        <v>0</v>
      </c>
      <c r="Y104" s="4">
        <f t="shared" si="71"/>
        <v>0</v>
      </c>
      <c r="Z104" s="4">
        <f t="shared" si="71"/>
        <v>0</v>
      </c>
      <c r="AA104" s="4">
        <f t="shared" si="71"/>
        <v>0</v>
      </c>
      <c r="AB104" s="4">
        <f t="shared" si="71"/>
        <v>37.746327091651438</v>
      </c>
      <c r="AC104" s="4">
        <f t="shared" si="71"/>
        <v>0</v>
      </c>
      <c r="AD104" s="4">
        <f t="shared" si="71"/>
        <v>0</v>
      </c>
      <c r="AE104" s="4">
        <f t="shared" si="71"/>
        <v>0</v>
      </c>
      <c r="AF104" s="4">
        <f t="shared" si="71"/>
        <v>0</v>
      </c>
      <c r="AG104" s="4">
        <f t="shared" si="71"/>
        <v>0</v>
      </c>
      <c r="AH104" s="4">
        <f t="shared" si="71"/>
        <v>34.65189003084749</v>
      </c>
      <c r="AI104" s="4">
        <f t="shared" si="71"/>
        <v>0</v>
      </c>
      <c r="AJ104" s="4">
        <f t="shared" si="71"/>
        <v>0</v>
      </c>
      <c r="AK104" s="4">
        <f t="shared" ref="AK104:BL104" si="72">AK95-AK106</f>
        <v>0</v>
      </c>
      <c r="AL104" s="4">
        <f t="shared" si="72"/>
        <v>0</v>
      </c>
      <c r="AM104" s="4">
        <f t="shared" si="72"/>
        <v>0</v>
      </c>
      <c r="AN104" s="4">
        <f t="shared" si="72"/>
        <v>35.51818728161868</v>
      </c>
      <c r="AO104" s="4">
        <f t="shared" si="72"/>
        <v>0</v>
      </c>
      <c r="AP104" s="4">
        <f t="shared" si="72"/>
        <v>0</v>
      </c>
      <c r="AQ104" s="4">
        <f t="shared" si="72"/>
        <v>0</v>
      </c>
      <c r="AR104" s="4">
        <f t="shared" si="72"/>
        <v>0</v>
      </c>
      <c r="AS104" s="4">
        <f t="shared" si="72"/>
        <v>0</v>
      </c>
      <c r="AT104" s="4">
        <f t="shared" si="72"/>
        <v>35.978103868421044</v>
      </c>
      <c r="AU104" s="4">
        <f t="shared" si="72"/>
        <v>0</v>
      </c>
      <c r="AV104" s="4">
        <f t="shared" si="72"/>
        <v>0</v>
      </c>
      <c r="AW104" s="4">
        <f t="shared" si="72"/>
        <v>0</v>
      </c>
      <c r="AX104" s="4">
        <f t="shared" si="72"/>
        <v>0</v>
      </c>
      <c r="AY104" s="4">
        <f t="shared" si="72"/>
        <v>0</v>
      </c>
      <c r="AZ104" s="4">
        <f t="shared" si="72"/>
        <v>36.877556465131569</v>
      </c>
      <c r="BA104" s="4">
        <f t="shared" si="72"/>
        <v>0</v>
      </c>
      <c r="BB104" s="4">
        <f t="shared" si="72"/>
        <v>0</v>
      </c>
      <c r="BC104" s="4">
        <f t="shared" si="72"/>
        <v>0</v>
      </c>
      <c r="BD104" s="4">
        <f t="shared" si="72"/>
        <v>0</v>
      </c>
      <c r="BE104" s="4">
        <f t="shared" si="72"/>
        <v>0</v>
      </c>
      <c r="BF104" s="4">
        <f t="shared" si="72"/>
        <v>37.551367043426524</v>
      </c>
      <c r="BG104" s="4">
        <f t="shared" si="72"/>
        <v>0</v>
      </c>
      <c r="BH104" s="4">
        <f t="shared" si="72"/>
        <v>0</v>
      </c>
      <c r="BI104" s="4">
        <f t="shared" si="72"/>
        <v>0</v>
      </c>
      <c r="BJ104" s="4">
        <f t="shared" si="72"/>
        <v>0</v>
      </c>
      <c r="BK104" s="4">
        <f t="shared" si="72"/>
        <v>0</v>
      </c>
      <c r="BL104" s="4">
        <f t="shared" si="72"/>
        <v>38.490151219512185</v>
      </c>
    </row>
    <row r="105" spans="2:64" x14ac:dyDescent="0.35">
      <c r="C105" s="34" t="s">
        <v>7</v>
      </c>
      <c r="D105" s="133">
        <f>D98</f>
        <v>367.10027127997961</v>
      </c>
      <c r="E105" s="133">
        <f t="shared" ref="E105:AJ105" si="73">E103-E104</f>
        <v>367.10027127997961</v>
      </c>
      <c r="F105" s="133">
        <f t="shared" si="73"/>
        <v>367.10027127997961</v>
      </c>
      <c r="G105" s="133">
        <f t="shared" si="73"/>
        <v>367.10027127997961</v>
      </c>
      <c r="H105" s="133">
        <f t="shared" si="73"/>
        <v>367.10027127997961</v>
      </c>
      <c r="I105" s="133">
        <f t="shared" si="73"/>
        <v>367.10027127997961</v>
      </c>
      <c r="J105" s="133">
        <f t="shared" si="73"/>
        <v>330.82323260743362</v>
      </c>
      <c r="K105" s="133">
        <f t="shared" si="73"/>
        <v>330.82323260743362</v>
      </c>
      <c r="L105" s="133">
        <f t="shared" si="73"/>
        <v>330.82323260743362</v>
      </c>
      <c r="M105" s="133">
        <f t="shared" si="73"/>
        <v>330.82323260743362</v>
      </c>
      <c r="N105" s="133">
        <f t="shared" si="73"/>
        <v>330.82323260743362</v>
      </c>
      <c r="O105" s="133">
        <f t="shared" si="73"/>
        <v>330.82323260743362</v>
      </c>
      <c r="P105" s="133">
        <f t="shared" si="73"/>
        <v>293.63926796807402</v>
      </c>
      <c r="Q105" s="133">
        <f t="shared" si="73"/>
        <v>293.63926796807402</v>
      </c>
      <c r="R105" s="133">
        <f t="shared" si="73"/>
        <v>293.63926796807402</v>
      </c>
      <c r="S105" s="133">
        <f t="shared" si="73"/>
        <v>293.63926796807402</v>
      </c>
      <c r="T105" s="133">
        <f t="shared" si="73"/>
        <v>293.63926796807402</v>
      </c>
      <c r="U105" s="133">
        <f t="shared" si="73"/>
        <v>293.63926796807402</v>
      </c>
      <c r="V105" s="133">
        <f t="shared" si="73"/>
        <v>256.81358300060919</v>
      </c>
      <c r="W105" s="133">
        <f t="shared" si="73"/>
        <v>256.81358300060919</v>
      </c>
      <c r="X105" s="133">
        <f t="shared" si="73"/>
        <v>256.81358300060919</v>
      </c>
      <c r="Y105" s="133">
        <f t="shared" si="73"/>
        <v>256.81358300060919</v>
      </c>
      <c r="Z105" s="133">
        <f t="shared" si="73"/>
        <v>256.81358300060919</v>
      </c>
      <c r="AA105" s="133">
        <f t="shared" si="73"/>
        <v>256.81358300060919</v>
      </c>
      <c r="AB105" s="133">
        <f t="shared" si="73"/>
        <v>219.06725590895775</v>
      </c>
      <c r="AC105" s="133">
        <f t="shared" si="73"/>
        <v>219.06725590895775</v>
      </c>
      <c r="AD105" s="133">
        <f t="shared" si="73"/>
        <v>219.06725590895775</v>
      </c>
      <c r="AE105" s="133">
        <f t="shared" si="73"/>
        <v>219.06725590895775</v>
      </c>
      <c r="AF105" s="133">
        <f t="shared" si="73"/>
        <v>219.06725590895775</v>
      </c>
      <c r="AG105" s="133">
        <f t="shared" si="73"/>
        <v>219.06725590895775</v>
      </c>
      <c r="AH105" s="133">
        <f t="shared" si="73"/>
        <v>184.41536587811026</v>
      </c>
      <c r="AI105" s="133">
        <f t="shared" si="73"/>
        <v>184.41536587811026</v>
      </c>
      <c r="AJ105" s="133">
        <f t="shared" si="73"/>
        <v>184.41536587811026</v>
      </c>
      <c r="AK105" s="133">
        <f t="shared" ref="AK105:BL105" si="74">AK103-AK104</f>
        <v>184.41536587811026</v>
      </c>
      <c r="AL105" s="133">
        <f t="shared" si="74"/>
        <v>184.41536587811026</v>
      </c>
      <c r="AM105" s="133">
        <f t="shared" si="74"/>
        <v>184.41536587811026</v>
      </c>
      <c r="AN105" s="133">
        <f t="shared" si="74"/>
        <v>148.89717859649159</v>
      </c>
      <c r="AO105" s="133">
        <f t="shared" si="74"/>
        <v>148.89717859649159</v>
      </c>
      <c r="AP105" s="133">
        <f t="shared" si="74"/>
        <v>148.89717859649159</v>
      </c>
      <c r="AQ105" s="133">
        <f t="shared" si="74"/>
        <v>148.89717859649159</v>
      </c>
      <c r="AR105" s="133">
        <f t="shared" si="74"/>
        <v>148.89717859649159</v>
      </c>
      <c r="AS105" s="133">
        <f t="shared" si="74"/>
        <v>148.89717859649159</v>
      </c>
      <c r="AT105" s="133">
        <f t="shared" si="74"/>
        <v>112.91907472807054</v>
      </c>
      <c r="AU105" s="133">
        <f t="shared" si="74"/>
        <v>112.91907472807054</v>
      </c>
      <c r="AV105" s="133">
        <f t="shared" si="74"/>
        <v>112.91907472807054</v>
      </c>
      <c r="AW105" s="133">
        <f t="shared" si="74"/>
        <v>112.91907472807054</v>
      </c>
      <c r="AX105" s="133">
        <f t="shared" si="74"/>
        <v>112.91907472807054</v>
      </c>
      <c r="AY105" s="133">
        <f t="shared" si="74"/>
        <v>112.91907472807054</v>
      </c>
      <c r="AZ105" s="133">
        <f t="shared" si="74"/>
        <v>76.041518262938979</v>
      </c>
      <c r="BA105" s="133">
        <f t="shared" si="74"/>
        <v>76.041518262938979</v>
      </c>
      <c r="BB105" s="133">
        <f t="shared" si="74"/>
        <v>76.041518262938979</v>
      </c>
      <c r="BC105" s="133">
        <f t="shared" si="74"/>
        <v>76.041518262938979</v>
      </c>
      <c r="BD105" s="133">
        <f t="shared" si="74"/>
        <v>76.041518262938979</v>
      </c>
      <c r="BE105" s="133">
        <f t="shared" si="74"/>
        <v>76.041518262938979</v>
      </c>
      <c r="BF105" s="133">
        <f t="shared" si="74"/>
        <v>38.490151219512455</v>
      </c>
      <c r="BG105" s="133">
        <f t="shared" si="74"/>
        <v>38.490151219512455</v>
      </c>
      <c r="BH105" s="133">
        <f t="shared" si="74"/>
        <v>38.490151219512455</v>
      </c>
      <c r="BI105" s="133">
        <f t="shared" si="74"/>
        <v>38.490151219512455</v>
      </c>
      <c r="BJ105" s="133">
        <f t="shared" si="74"/>
        <v>38.490151219512455</v>
      </c>
      <c r="BK105" s="133">
        <f t="shared" si="74"/>
        <v>38.490151219512455</v>
      </c>
      <c r="BL105" s="47">
        <f t="shared" si="74"/>
        <v>2.7000623958883807E-13</v>
      </c>
    </row>
    <row r="106" spans="2:64" x14ac:dyDescent="0.35">
      <c r="E106" s="4">
        <f t="shared" ref="E106:AJ106" si="75">E103*E78*E65*$D$61</f>
        <v>0</v>
      </c>
      <c r="F106" s="4">
        <f t="shared" si="75"/>
        <v>0</v>
      </c>
      <c r="G106" s="4">
        <f t="shared" si="75"/>
        <v>0</v>
      </c>
      <c r="H106" s="4">
        <f t="shared" si="75"/>
        <v>0</v>
      </c>
      <c r="I106" s="4">
        <f t="shared" si="75"/>
        <v>0</v>
      </c>
      <c r="J106" s="4">
        <f t="shared" si="75"/>
        <v>9.1775067819994902</v>
      </c>
      <c r="K106" s="4">
        <f t="shared" si="75"/>
        <v>0</v>
      </c>
      <c r="L106" s="4">
        <f t="shared" si="75"/>
        <v>0</v>
      </c>
      <c r="M106" s="4">
        <f t="shared" si="75"/>
        <v>0</v>
      </c>
      <c r="N106" s="4">
        <f t="shared" si="75"/>
        <v>0</v>
      </c>
      <c r="O106" s="4">
        <f t="shared" si="75"/>
        <v>0</v>
      </c>
      <c r="P106" s="4">
        <f t="shared" si="75"/>
        <v>8.2705808151858413</v>
      </c>
      <c r="Q106" s="4">
        <f t="shared" si="75"/>
        <v>0</v>
      </c>
      <c r="R106" s="4">
        <f t="shared" si="75"/>
        <v>0</v>
      </c>
      <c r="S106" s="4">
        <f t="shared" si="75"/>
        <v>0</v>
      </c>
      <c r="T106" s="4">
        <f t="shared" si="75"/>
        <v>0</v>
      </c>
      <c r="U106" s="4">
        <f t="shared" si="75"/>
        <v>0</v>
      </c>
      <c r="V106" s="4">
        <f t="shared" si="75"/>
        <v>7.3409816992018495</v>
      </c>
      <c r="W106" s="4">
        <f t="shared" si="75"/>
        <v>0</v>
      </c>
      <c r="X106" s="4">
        <f t="shared" si="75"/>
        <v>0</v>
      </c>
      <c r="Y106" s="4">
        <f t="shared" si="75"/>
        <v>0</v>
      </c>
      <c r="Z106" s="4">
        <f t="shared" si="75"/>
        <v>0</v>
      </c>
      <c r="AA106" s="4">
        <f t="shared" si="75"/>
        <v>0</v>
      </c>
      <c r="AB106" s="4">
        <f t="shared" si="75"/>
        <v>6.4203395750152303</v>
      </c>
      <c r="AC106" s="4">
        <f t="shared" si="75"/>
        <v>0</v>
      </c>
      <c r="AD106" s="4">
        <f t="shared" si="75"/>
        <v>0</v>
      </c>
      <c r="AE106" s="4">
        <f t="shared" si="75"/>
        <v>0</v>
      </c>
      <c r="AF106" s="4">
        <f t="shared" si="75"/>
        <v>0</v>
      </c>
      <c r="AG106" s="4">
        <f t="shared" si="75"/>
        <v>0</v>
      </c>
      <c r="AH106" s="4">
        <f t="shared" si="75"/>
        <v>5.4766813977239437</v>
      </c>
      <c r="AI106" s="4">
        <f t="shared" si="75"/>
        <v>0</v>
      </c>
      <c r="AJ106" s="4">
        <f t="shared" si="75"/>
        <v>0</v>
      </c>
      <c r="AK106" s="4">
        <f t="shared" ref="AK106:BL106" si="76">AK103*AK78*AK65*$D$61</f>
        <v>0</v>
      </c>
      <c r="AL106" s="4">
        <f t="shared" si="76"/>
        <v>0</v>
      </c>
      <c r="AM106" s="4">
        <f t="shared" si="76"/>
        <v>0</v>
      </c>
      <c r="AN106" s="4">
        <f t="shared" si="76"/>
        <v>4.6103841469527573</v>
      </c>
      <c r="AO106" s="4">
        <f t="shared" si="76"/>
        <v>0</v>
      </c>
      <c r="AP106" s="4">
        <f t="shared" si="76"/>
        <v>0</v>
      </c>
      <c r="AQ106" s="4">
        <f t="shared" si="76"/>
        <v>0</v>
      </c>
      <c r="AR106" s="4">
        <f t="shared" si="76"/>
        <v>0</v>
      </c>
      <c r="AS106" s="4">
        <f t="shared" si="76"/>
        <v>0</v>
      </c>
      <c r="AT106" s="4">
        <f t="shared" si="76"/>
        <v>3.72242946491229</v>
      </c>
      <c r="AU106" s="4">
        <f t="shared" si="76"/>
        <v>0</v>
      </c>
      <c r="AV106" s="4">
        <f t="shared" si="76"/>
        <v>0</v>
      </c>
      <c r="AW106" s="4">
        <f t="shared" si="76"/>
        <v>0</v>
      </c>
      <c r="AX106" s="4">
        <f t="shared" si="76"/>
        <v>0</v>
      </c>
      <c r="AY106" s="4">
        <f t="shared" si="76"/>
        <v>0</v>
      </c>
      <c r="AZ106" s="4">
        <f t="shared" si="76"/>
        <v>2.8229768682017635</v>
      </c>
      <c r="BA106" s="4">
        <f t="shared" si="76"/>
        <v>0</v>
      </c>
      <c r="BB106" s="4">
        <f t="shared" si="76"/>
        <v>0</v>
      </c>
      <c r="BC106" s="4">
        <f t="shared" si="76"/>
        <v>0</v>
      </c>
      <c r="BD106" s="4">
        <f t="shared" si="76"/>
        <v>0</v>
      </c>
      <c r="BE106" s="4">
        <f t="shared" si="76"/>
        <v>0</v>
      </c>
      <c r="BF106" s="4">
        <f t="shared" si="76"/>
        <v>1.9010379565734743</v>
      </c>
      <c r="BG106" s="4">
        <f t="shared" si="76"/>
        <v>0</v>
      </c>
      <c r="BH106" s="4">
        <f t="shared" si="76"/>
        <v>0</v>
      </c>
      <c r="BI106" s="4">
        <f t="shared" si="76"/>
        <v>0</v>
      </c>
      <c r="BJ106" s="4">
        <f t="shared" si="76"/>
        <v>0</v>
      </c>
      <c r="BK106" s="4">
        <f t="shared" si="76"/>
        <v>0</v>
      </c>
      <c r="BL106" s="4">
        <f t="shared" si="76"/>
        <v>0.96225378048781141</v>
      </c>
    </row>
    <row r="108" spans="2:64" x14ac:dyDescent="0.35">
      <c r="C108" s="2" t="s">
        <v>75</v>
      </c>
      <c r="D108" s="39">
        <v>5</v>
      </c>
    </row>
    <row r="109" spans="2:64" x14ac:dyDescent="0.35">
      <c r="C109" s="2" t="s">
        <v>76</v>
      </c>
      <c r="D109" s="2">
        <f>D108*D60</f>
        <v>60</v>
      </c>
    </row>
    <row r="110" spans="2:64" x14ac:dyDescent="0.35">
      <c r="C110" s="2" t="s">
        <v>47</v>
      </c>
      <c r="D110" s="4">
        <f>LOOKUP(D109,64:64,105:105)</f>
        <v>2.7000623958883807E-13</v>
      </c>
    </row>
    <row r="112" spans="2:64" x14ac:dyDescent="0.35"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/>
      <c r="BL112" s="4"/>
    </row>
  </sheetData>
  <conditionalFormatting sqref="E65:BL65 E76:BL79">
    <cfRule type="containsText" dxfId="5" priority="4" operator="containsText" text="F">
      <formula>NOT(ISERROR(SEARCH("F",E65)))</formula>
    </cfRule>
    <cfRule type="containsText" dxfId="4" priority="5" operator="containsText" text="T">
      <formula>NOT(ISERROR(SEARCH("T",E65)))</formula>
    </cfRule>
  </conditionalFormatting>
  <conditionalFormatting sqref="E64:BL106">
    <cfRule type="expression" dxfId="3" priority="3">
      <formula>E$65=TRUE</formula>
    </cfRule>
  </conditionalFormatting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3">
    <tabColor rgb="FFFFFF00"/>
  </sheetPr>
  <dimension ref="A1:BL112"/>
  <sheetViews>
    <sheetView zoomScale="80" zoomScaleNormal="80" workbookViewId="0">
      <pane xSplit="3" ySplit="3" topLeftCell="D23" activePane="bottomRight" state="frozen"/>
      <selection pane="topRight" activeCell="D1" sqref="D1"/>
      <selection pane="bottomLeft" activeCell="A4" sqref="A4"/>
      <selection pane="bottomRight" activeCell="A44" sqref="A44"/>
    </sheetView>
  </sheetViews>
  <sheetFormatPr defaultColWidth="8.81640625" defaultRowHeight="14.5" x14ac:dyDescent="0.35"/>
  <cols>
    <col min="1" max="2" width="1.26953125" style="1" customWidth="1"/>
    <col min="3" max="3" width="49.453125" style="2" customWidth="1"/>
    <col min="4" max="4" width="12.7265625" style="2" bestFit="1" customWidth="1"/>
    <col min="5" max="64" width="10.81640625" style="2" customWidth="1"/>
    <col min="65" max="16384" width="8.81640625" style="2"/>
  </cols>
  <sheetData>
    <row r="1" spans="1:29" ht="26" x14ac:dyDescent="0.6">
      <c r="C1" s="48" t="s">
        <v>466</v>
      </c>
      <c r="O1" s="48" t="s">
        <v>47</v>
      </c>
      <c r="P1" s="136" t="e">
        <f>BL105</f>
        <v>#N/A</v>
      </c>
    </row>
    <row r="2" spans="1:29" ht="26" x14ac:dyDescent="0.6">
      <c r="C2" s="48" t="s">
        <v>153</v>
      </c>
    </row>
    <row r="3" spans="1:29" ht="26" x14ac:dyDescent="0.6">
      <c r="C3" s="48" t="s">
        <v>476</v>
      </c>
    </row>
    <row r="5" spans="1:29" s="40" customFormat="1" x14ac:dyDescent="0.35">
      <c r="A5" s="40" t="s">
        <v>20</v>
      </c>
    </row>
    <row r="6" spans="1:29" x14ac:dyDescent="0.35">
      <c r="C6" s="2" t="s">
        <v>21</v>
      </c>
      <c r="E6" s="36">
        <v>1</v>
      </c>
      <c r="F6" s="36">
        <v>2</v>
      </c>
      <c r="G6" s="36">
        <v>3</v>
      </c>
      <c r="H6" s="36">
        <v>4</v>
      </c>
      <c r="I6" s="36">
        <v>5</v>
      </c>
      <c r="J6" s="10"/>
    </row>
    <row r="8" spans="1:29" x14ac:dyDescent="0.35">
      <c r="C8" s="2" t="s">
        <v>38</v>
      </c>
      <c r="D8" s="37">
        <v>0.06</v>
      </c>
    </row>
    <row r="9" spans="1:29" x14ac:dyDescent="0.35">
      <c r="C9" s="2" t="s">
        <v>22</v>
      </c>
      <c r="E9" s="38">
        <v>100</v>
      </c>
      <c r="F9" s="4">
        <f>E9*(1+$D$8)</f>
        <v>106</v>
      </c>
      <c r="G9" s="4">
        <f>F9*(1+$D$8)</f>
        <v>112.36</v>
      </c>
      <c r="H9" s="4">
        <f>G9*(1+$D$8)</f>
        <v>119.1016</v>
      </c>
      <c r="I9" s="4">
        <f>H9*(1+$D$8)</f>
        <v>126.247696</v>
      </c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</row>
    <row r="10" spans="1:29" x14ac:dyDescent="0.35">
      <c r="C10" s="2" t="s">
        <v>1</v>
      </c>
      <c r="E10" s="38">
        <v>1.1000000000000001</v>
      </c>
      <c r="F10" s="38">
        <v>1.2</v>
      </c>
      <c r="G10" s="38">
        <v>1.4</v>
      </c>
      <c r="H10" s="38">
        <v>1.5</v>
      </c>
      <c r="I10" s="38">
        <v>1.6</v>
      </c>
    </row>
    <row r="11" spans="1:29" x14ac:dyDescent="0.35">
      <c r="C11" s="2" t="s">
        <v>23</v>
      </c>
      <c r="E11" s="4">
        <f>E9/E10</f>
        <v>90.909090909090907</v>
      </c>
      <c r="F11" s="4">
        <f>F9/F10</f>
        <v>88.333333333333343</v>
      </c>
      <c r="G11" s="4">
        <f>G9/G10</f>
        <v>80.257142857142867</v>
      </c>
      <c r="H11" s="4">
        <f>H9/H10</f>
        <v>79.401066666666665</v>
      </c>
      <c r="I11" s="4">
        <f>I9/I10</f>
        <v>78.904809999999998</v>
      </c>
    </row>
    <row r="12" spans="1:29" x14ac:dyDescent="0.35">
      <c r="C12" s="2" t="s">
        <v>24</v>
      </c>
      <c r="E12" s="37">
        <v>0.05</v>
      </c>
      <c r="F12" s="37">
        <v>0.05</v>
      </c>
      <c r="G12" s="37">
        <v>0.05</v>
      </c>
      <c r="H12" s="37">
        <v>0.05</v>
      </c>
      <c r="I12" s="37">
        <v>0.05</v>
      </c>
    </row>
    <row r="13" spans="1:29" x14ac:dyDescent="0.35">
      <c r="C13" s="2" t="s">
        <v>25</v>
      </c>
      <c r="D13" s="39">
        <v>1</v>
      </c>
      <c r="E13" s="4">
        <f>D13*(1+E12)</f>
        <v>1.05</v>
      </c>
      <c r="F13" s="4">
        <f>E13*(1+F12)</f>
        <v>1.1025</v>
      </c>
      <c r="G13" s="4">
        <f>F13*(1+G12)</f>
        <v>1.1576250000000001</v>
      </c>
      <c r="H13" s="4">
        <f>G13*(1+H12)</f>
        <v>1.2155062500000002</v>
      </c>
      <c r="I13" s="4">
        <f>H13*(1+I12)</f>
        <v>1.2762815625000004</v>
      </c>
    </row>
    <row r="14" spans="1:29" x14ac:dyDescent="0.35">
      <c r="C14" s="27" t="s">
        <v>111</v>
      </c>
      <c r="D14" s="35">
        <f>SUMPRODUCT(E11:I11/E13:I13)</f>
        <v>363.17759873759684</v>
      </c>
      <c r="E14" s="4"/>
    </row>
    <row r="15" spans="1:29" x14ac:dyDescent="0.35">
      <c r="C15" s="2" t="s">
        <v>27</v>
      </c>
      <c r="D15" s="11"/>
      <c r="E15" s="11"/>
      <c r="F15" s="11"/>
      <c r="G15" s="11"/>
      <c r="H15" s="11"/>
      <c r="I15" s="11"/>
    </row>
    <row r="16" spans="1:29" x14ac:dyDescent="0.35">
      <c r="D16" s="11"/>
      <c r="E16" s="11"/>
      <c r="F16" s="11"/>
      <c r="G16" s="11"/>
      <c r="H16" s="11"/>
      <c r="I16" s="11"/>
    </row>
    <row r="17" spans="2:27" x14ac:dyDescent="0.35">
      <c r="B17" s="1" t="s">
        <v>467</v>
      </c>
      <c r="D17" s="11"/>
      <c r="E17" s="11"/>
      <c r="F17" s="11"/>
      <c r="G17" s="11"/>
      <c r="H17" s="11"/>
      <c r="I17" s="11"/>
      <c r="Q17" s="2" t="s">
        <v>440</v>
      </c>
    </row>
    <row r="18" spans="2:27" x14ac:dyDescent="0.35">
      <c r="C18" s="2" t="s">
        <v>5</v>
      </c>
      <c r="D18" s="11"/>
      <c r="E18" s="11">
        <f>D20</f>
        <v>363.17759873759684</v>
      </c>
      <c r="F18" s="11">
        <f>E20</f>
        <v>290.42738776538579</v>
      </c>
      <c r="G18" s="11">
        <f>F20</f>
        <v>216.61542382032172</v>
      </c>
      <c r="H18" s="11">
        <f>G20</f>
        <v>147.18905215419494</v>
      </c>
      <c r="I18" s="11">
        <f>H20</f>
        <v>75.147438095238016</v>
      </c>
      <c r="Q18" s="2" t="s">
        <v>441</v>
      </c>
    </row>
    <row r="19" spans="2:27" x14ac:dyDescent="0.35">
      <c r="C19" s="2" t="s">
        <v>28</v>
      </c>
      <c r="D19" s="11"/>
      <c r="E19" s="11">
        <f>E11-E21</f>
        <v>72.750210972211065</v>
      </c>
      <c r="F19" s="11">
        <f>F11-F21</f>
        <v>73.811963945064051</v>
      </c>
      <c r="G19" s="11">
        <f>G11-G21</f>
        <v>69.426371666126784</v>
      </c>
      <c r="H19" s="11">
        <f>H11-H21</f>
        <v>72.041614058956924</v>
      </c>
      <c r="I19" s="11">
        <f>I11-I21</f>
        <v>75.147438095238101</v>
      </c>
      <c r="Q19" s="2" t="s">
        <v>442</v>
      </c>
    </row>
    <row r="20" spans="2:27" x14ac:dyDescent="0.35">
      <c r="C20" s="2" t="s">
        <v>7</v>
      </c>
      <c r="D20" s="11">
        <f>D14</f>
        <v>363.17759873759684</v>
      </c>
      <c r="E20" s="11">
        <f>E18-E19</f>
        <v>290.42738776538579</v>
      </c>
      <c r="F20" s="11">
        <f>F18-F19</f>
        <v>216.61542382032172</v>
      </c>
      <c r="G20" s="11">
        <f>G18-G19</f>
        <v>147.18905215419494</v>
      </c>
      <c r="H20" s="11">
        <f>H18-H19</f>
        <v>75.147438095238016</v>
      </c>
      <c r="I20" s="114">
        <f>I18-I19</f>
        <v>0</v>
      </c>
      <c r="Q20" s="2" t="s">
        <v>298</v>
      </c>
    </row>
    <row r="21" spans="2:27" x14ac:dyDescent="0.35">
      <c r="C21" s="2" t="s">
        <v>8</v>
      </c>
      <c r="E21" s="11">
        <f>E18*E12</f>
        <v>18.158879936879842</v>
      </c>
      <c r="F21" s="11">
        <f>F18*F12</f>
        <v>14.52136938826929</v>
      </c>
      <c r="G21" s="11">
        <f>G18*G12</f>
        <v>10.830771191016087</v>
      </c>
      <c r="H21" s="11">
        <f>H18*H12</f>
        <v>7.3594526077097475</v>
      </c>
      <c r="I21" s="11">
        <f>I18*I12</f>
        <v>3.757371904761901</v>
      </c>
    </row>
    <row r="23" spans="2:27" x14ac:dyDescent="0.35">
      <c r="B23" s="1" t="s">
        <v>468</v>
      </c>
    </row>
    <row r="24" spans="2:27" x14ac:dyDescent="0.35">
      <c r="C24" s="2" t="s">
        <v>469</v>
      </c>
      <c r="E24" s="137"/>
      <c r="F24" s="137"/>
      <c r="G24" s="137"/>
      <c r="H24" s="137"/>
      <c r="I24" s="137"/>
      <c r="J24" s="137"/>
      <c r="K24" s="137"/>
      <c r="L24" s="137"/>
      <c r="M24" s="137"/>
      <c r="N24" s="137"/>
    </row>
    <row r="25" spans="2:27" x14ac:dyDescent="0.35">
      <c r="C25" s="2" t="s">
        <v>443</v>
      </c>
      <c r="D25" s="39">
        <v>2</v>
      </c>
      <c r="E25" s="60"/>
      <c r="F25" s="60"/>
      <c r="G25" s="60"/>
      <c r="H25" s="60"/>
      <c r="I25" s="60"/>
      <c r="J25" s="60"/>
      <c r="K25" s="60"/>
      <c r="L25" s="60"/>
      <c r="M25" s="60"/>
      <c r="N25" s="60"/>
    </row>
    <row r="26" spans="2:27" x14ac:dyDescent="0.35">
      <c r="C26" s="2" t="s">
        <v>444</v>
      </c>
      <c r="E26" s="60"/>
      <c r="F26" s="60"/>
      <c r="G26" s="60"/>
      <c r="H26" s="60"/>
      <c r="I26" s="60"/>
      <c r="J26" s="60"/>
      <c r="K26" s="60"/>
      <c r="L26" s="60"/>
      <c r="M26" s="60"/>
      <c r="N26" s="60"/>
    </row>
    <row r="27" spans="2:27" x14ac:dyDescent="0.35">
      <c r="C27" s="2" t="s">
        <v>445</v>
      </c>
      <c r="E27" s="61"/>
      <c r="F27" s="61"/>
      <c r="G27" s="61"/>
      <c r="H27" s="61"/>
      <c r="I27" s="61"/>
      <c r="J27" s="61"/>
      <c r="K27" s="61"/>
      <c r="L27" s="61"/>
      <c r="M27" s="61"/>
      <c r="N27" s="61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</row>
    <row r="28" spans="2:27" x14ac:dyDescent="0.35">
      <c r="C28" s="2" t="s">
        <v>446</v>
      </c>
      <c r="E28" s="61"/>
      <c r="F28" s="61"/>
      <c r="G28" s="61"/>
      <c r="H28" s="61"/>
      <c r="I28" s="61"/>
      <c r="J28" s="61"/>
      <c r="K28" s="61"/>
      <c r="L28" s="61"/>
      <c r="M28" s="61"/>
      <c r="N28" s="61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</row>
    <row r="29" spans="2:27" x14ac:dyDescent="0.35">
      <c r="C29" s="2" t="s">
        <v>3</v>
      </c>
      <c r="E29" s="61"/>
      <c r="F29" s="61"/>
      <c r="G29" s="61"/>
      <c r="H29" s="61"/>
      <c r="I29" s="61"/>
      <c r="J29" s="61"/>
      <c r="K29" s="61"/>
      <c r="L29" s="61"/>
      <c r="M29" s="61"/>
      <c r="N29" s="61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</row>
    <row r="30" spans="2:27" x14ac:dyDescent="0.35">
      <c r="C30" s="2" t="s">
        <v>447</v>
      </c>
      <c r="E30" s="138"/>
      <c r="F30" s="138"/>
      <c r="G30" s="138"/>
      <c r="H30" s="138"/>
      <c r="I30" s="138"/>
      <c r="J30" s="138"/>
      <c r="K30" s="138"/>
      <c r="L30" s="138"/>
      <c r="M30" s="138"/>
      <c r="N30" s="138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</row>
    <row r="31" spans="2:27" x14ac:dyDescent="0.35">
      <c r="C31" s="2" t="s">
        <v>426</v>
      </c>
      <c r="D31" s="39">
        <v>1</v>
      </c>
      <c r="E31" s="61"/>
      <c r="F31" s="61"/>
      <c r="G31" s="61"/>
      <c r="H31" s="61"/>
      <c r="I31" s="61"/>
      <c r="J31" s="61"/>
      <c r="K31" s="61"/>
      <c r="L31" s="61"/>
      <c r="M31" s="61"/>
      <c r="N31" s="61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</row>
    <row r="32" spans="2:27" x14ac:dyDescent="0.35">
      <c r="C32" s="27" t="s">
        <v>448</v>
      </c>
      <c r="D32" s="79"/>
    </row>
    <row r="33" spans="1:64" x14ac:dyDescent="0.35">
      <c r="C33" s="22"/>
      <c r="D33" s="105"/>
    </row>
    <row r="34" spans="1:64" x14ac:dyDescent="0.35">
      <c r="B34" s="2" t="s">
        <v>427</v>
      </c>
    </row>
    <row r="35" spans="1:64" x14ac:dyDescent="0.35">
      <c r="C35" s="2" t="s">
        <v>5</v>
      </c>
      <c r="E35" s="4">
        <f t="shared" ref="E35:N35" si="0">D37</f>
        <v>0</v>
      </c>
      <c r="F35" s="4">
        <f t="shared" si="0"/>
        <v>0</v>
      </c>
      <c r="G35" s="4">
        <f t="shared" si="0"/>
        <v>0</v>
      </c>
      <c r="H35" s="4">
        <f t="shared" si="0"/>
        <v>0</v>
      </c>
      <c r="I35" s="4">
        <f t="shared" si="0"/>
        <v>0</v>
      </c>
      <c r="J35" s="4">
        <f t="shared" si="0"/>
        <v>0</v>
      </c>
      <c r="K35" s="4">
        <f t="shared" si="0"/>
        <v>0</v>
      </c>
      <c r="L35" s="4">
        <f t="shared" si="0"/>
        <v>0</v>
      </c>
      <c r="M35" s="4">
        <f t="shared" si="0"/>
        <v>0</v>
      </c>
      <c r="N35" s="4">
        <f t="shared" si="0"/>
        <v>0</v>
      </c>
    </row>
    <row r="36" spans="1:64" x14ac:dyDescent="0.35">
      <c r="C36" s="2" t="s">
        <v>28</v>
      </c>
      <c r="E36" s="4">
        <f t="shared" ref="E36:N36" si="1">E29-E38</f>
        <v>0</v>
      </c>
      <c r="F36" s="4">
        <f t="shared" si="1"/>
        <v>0</v>
      </c>
      <c r="G36" s="4">
        <f t="shared" si="1"/>
        <v>0</v>
      </c>
      <c r="H36" s="4">
        <f t="shared" si="1"/>
        <v>0</v>
      </c>
      <c r="I36" s="4">
        <f t="shared" si="1"/>
        <v>0</v>
      </c>
      <c r="J36" s="4">
        <f t="shared" si="1"/>
        <v>0</v>
      </c>
      <c r="K36" s="4">
        <f t="shared" si="1"/>
        <v>0</v>
      </c>
      <c r="L36" s="4">
        <f t="shared" si="1"/>
        <v>0</v>
      </c>
      <c r="M36" s="4">
        <f t="shared" si="1"/>
        <v>0</v>
      </c>
      <c r="N36" s="4">
        <f t="shared" si="1"/>
        <v>0</v>
      </c>
    </row>
    <row r="37" spans="1:64" x14ac:dyDescent="0.35">
      <c r="C37" s="34" t="s">
        <v>7</v>
      </c>
      <c r="D37" s="133">
        <f>D32</f>
        <v>0</v>
      </c>
      <c r="E37" s="133">
        <f t="shared" ref="E37:N37" si="2">E35-E36</f>
        <v>0</v>
      </c>
      <c r="F37" s="133">
        <f t="shared" si="2"/>
        <v>0</v>
      </c>
      <c r="G37" s="133">
        <f t="shared" si="2"/>
        <v>0</v>
      </c>
      <c r="H37" s="133">
        <f t="shared" si="2"/>
        <v>0</v>
      </c>
      <c r="I37" s="133">
        <f t="shared" si="2"/>
        <v>0</v>
      </c>
      <c r="J37" s="133">
        <f t="shared" si="2"/>
        <v>0</v>
      </c>
      <c r="K37" s="133">
        <f t="shared" si="2"/>
        <v>0</v>
      </c>
      <c r="L37" s="133">
        <f t="shared" si="2"/>
        <v>0</v>
      </c>
      <c r="M37" s="133">
        <f t="shared" si="2"/>
        <v>0</v>
      </c>
      <c r="N37" s="47">
        <f t="shared" si="2"/>
        <v>0</v>
      </c>
    </row>
    <row r="38" spans="1:64" x14ac:dyDescent="0.35">
      <c r="C38" s="2" t="s">
        <v>8</v>
      </c>
      <c r="E38" s="4">
        <f t="shared" ref="E38:N38" si="3">E35*E30</f>
        <v>0</v>
      </c>
      <c r="F38" s="4">
        <f t="shared" si="3"/>
        <v>0</v>
      </c>
      <c r="G38" s="4">
        <f t="shared" si="3"/>
        <v>0</v>
      </c>
      <c r="H38" s="4">
        <f t="shared" si="3"/>
        <v>0</v>
      </c>
      <c r="I38" s="4">
        <f t="shared" si="3"/>
        <v>0</v>
      </c>
      <c r="J38" s="4">
        <f t="shared" si="3"/>
        <v>0</v>
      </c>
      <c r="K38" s="4">
        <f t="shared" si="3"/>
        <v>0</v>
      </c>
      <c r="L38" s="4">
        <f t="shared" si="3"/>
        <v>0</v>
      </c>
      <c r="M38" s="4">
        <f t="shared" si="3"/>
        <v>0</v>
      </c>
      <c r="N38" s="4">
        <f t="shared" si="3"/>
        <v>0</v>
      </c>
    </row>
    <row r="40" spans="1:64" s="40" customFormat="1" x14ac:dyDescent="0.35">
      <c r="A40" s="40" t="s">
        <v>154</v>
      </c>
    </row>
    <row r="41" spans="1:64" x14ac:dyDescent="0.35">
      <c r="C41" s="2" t="s">
        <v>65</v>
      </c>
      <c r="D41" s="1"/>
      <c r="E41" s="39">
        <v>1</v>
      </c>
      <c r="F41" s="39">
        <v>2</v>
      </c>
      <c r="G41" s="39">
        <v>3</v>
      </c>
      <c r="H41" s="39">
        <v>4</v>
      </c>
      <c r="I41" s="39">
        <v>5</v>
      </c>
      <c r="J41" s="39">
        <v>6</v>
      </c>
      <c r="K41" s="39">
        <v>7</v>
      </c>
      <c r="L41" s="39">
        <v>8</v>
      </c>
      <c r="M41" s="39">
        <v>9</v>
      </c>
      <c r="N41" s="39">
        <v>10</v>
      </c>
      <c r="O41" s="39">
        <v>11</v>
      </c>
      <c r="P41" s="39">
        <v>12</v>
      </c>
      <c r="Q41" s="39">
        <v>13</v>
      </c>
      <c r="R41" s="39">
        <v>14</v>
      </c>
      <c r="S41" s="39">
        <v>15</v>
      </c>
      <c r="T41" s="39">
        <v>16</v>
      </c>
      <c r="U41" s="39">
        <v>17</v>
      </c>
      <c r="V41" s="39">
        <v>18</v>
      </c>
      <c r="W41" s="39">
        <v>19</v>
      </c>
      <c r="X41" s="39">
        <v>20</v>
      </c>
      <c r="Y41" s="39">
        <v>21</v>
      </c>
      <c r="Z41" s="39">
        <v>22</v>
      </c>
      <c r="AA41" s="39">
        <v>23</v>
      </c>
      <c r="AB41" s="39">
        <v>24</v>
      </c>
      <c r="AC41" s="39">
        <v>25</v>
      </c>
      <c r="AD41" s="39">
        <v>26</v>
      </c>
      <c r="AE41" s="39">
        <v>27</v>
      </c>
      <c r="AF41" s="39">
        <v>28</v>
      </c>
      <c r="AG41" s="39">
        <v>29</v>
      </c>
      <c r="AH41" s="39">
        <v>30</v>
      </c>
      <c r="AI41" s="39">
        <v>31</v>
      </c>
      <c r="AJ41" s="39">
        <v>32</v>
      </c>
      <c r="AK41" s="39">
        <v>33</v>
      </c>
      <c r="AL41" s="39">
        <v>34</v>
      </c>
      <c r="AM41" s="39">
        <v>35</v>
      </c>
      <c r="AN41" s="39">
        <v>36</v>
      </c>
      <c r="AO41" s="39">
        <v>37</v>
      </c>
      <c r="AP41" s="39">
        <v>38</v>
      </c>
      <c r="AQ41" s="39">
        <v>39</v>
      </c>
      <c r="AR41" s="39">
        <v>40</v>
      </c>
      <c r="AS41" s="39">
        <v>41</v>
      </c>
      <c r="AT41" s="39">
        <v>42</v>
      </c>
      <c r="AU41" s="39">
        <v>43</v>
      </c>
      <c r="AV41" s="39">
        <v>44</v>
      </c>
      <c r="AW41" s="39">
        <v>45</v>
      </c>
      <c r="AX41" s="39">
        <v>46</v>
      </c>
      <c r="AY41" s="39">
        <v>47</v>
      </c>
      <c r="AZ41" s="39">
        <v>48</v>
      </c>
      <c r="BA41" s="39">
        <v>49</v>
      </c>
      <c r="BB41" s="39">
        <v>50</v>
      </c>
      <c r="BC41" s="39">
        <v>51</v>
      </c>
      <c r="BD41" s="39">
        <v>52</v>
      </c>
      <c r="BE41" s="39">
        <v>53</v>
      </c>
      <c r="BF41" s="39">
        <v>54</v>
      </c>
      <c r="BG41" s="39">
        <v>55</v>
      </c>
      <c r="BH41" s="39">
        <v>56</v>
      </c>
      <c r="BI41" s="39">
        <v>57</v>
      </c>
      <c r="BJ41" s="39">
        <v>58</v>
      </c>
      <c r="BK41" s="39">
        <v>59</v>
      </c>
      <c r="BL41" s="39">
        <v>60</v>
      </c>
    </row>
    <row r="42" spans="1:64" x14ac:dyDescent="0.35">
      <c r="C42" s="2" t="s">
        <v>31</v>
      </c>
      <c r="D42" s="39">
        <v>12</v>
      </c>
      <c r="E42" s="2">
        <f t="shared" ref="E42:BL42" si="4">period_of_year(E41,$D$42)</f>
        <v>1</v>
      </c>
      <c r="F42" s="2">
        <f t="shared" si="4"/>
        <v>2</v>
      </c>
      <c r="G42" s="2">
        <f t="shared" si="4"/>
        <v>3</v>
      </c>
      <c r="H42" s="2">
        <f t="shared" si="4"/>
        <v>4</v>
      </c>
      <c r="I42" s="2">
        <f t="shared" si="4"/>
        <v>5</v>
      </c>
      <c r="J42" s="2">
        <f t="shared" si="4"/>
        <v>6</v>
      </c>
      <c r="K42" s="2">
        <f t="shared" si="4"/>
        <v>7</v>
      </c>
      <c r="L42" s="2">
        <f t="shared" si="4"/>
        <v>8</v>
      </c>
      <c r="M42" s="2">
        <f t="shared" si="4"/>
        <v>9</v>
      </c>
      <c r="N42" s="2">
        <f t="shared" si="4"/>
        <v>10</v>
      </c>
      <c r="O42" s="2">
        <f t="shared" si="4"/>
        <v>11</v>
      </c>
      <c r="P42" s="2">
        <f t="shared" si="4"/>
        <v>12</v>
      </c>
      <c r="Q42" s="2">
        <f t="shared" si="4"/>
        <v>1</v>
      </c>
      <c r="R42" s="2">
        <f t="shared" si="4"/>
        <v>2</v>
      </c>
      <c r="S42" s="2">
        <f t="shared" si="4"/>
        <v>3</v>
      </c>
      <c r="T42" s="2">
        <f t="shared" si="4"/>
        <v>4</v>
      </c>
      <c r="U42" s="2">
        <f t="shared" si="4"/>
        <v>5</v>
      </c>
      <c r="V42" s="2">
        <f t="shared" si="4"/>
        <v>6</v>
      </c>
      <c r="W42" s="2">
        <f t="shared" si="4"/>
        <v>7</v>
      </c>
      <c r="X42" s="2">
        <f t="shared" si="4"/>
        <v>8</v>
      </c>
      <c r="Y42" s="2">
        <f t="shared" si="4"/>
        <v>9</v>
      </c>
      <c r="Z42" s="2">
        <f t="shared" si="4"/>
        <v>10</v>
      </c>
      <c r="AA42" s="2">
        <f t="shared" si="4"/>
        <v>11</v>
      </c>
      <c r="AB42" s="2">
        <f t="shared" si="4"/>
        <v>12</v>
      </c>
      <c r="AC42" s="2">
        <f t="shared" si="4"/>
        <v>1</v>
      </c>
      <c r="AD42" s="2">
        <f t="shared" si="4"/>
        <v>2</v>
      </c>
      <c r="AE42" s="2">
        <f t="shared" si="4"/>
        <v>3</v>
      </c>
      <c r="AF42" s="2">
        <f t="shared" si="4"/>
        <v>4</v>
      </c>
      <c r="AG42" s="2">
        <f t="shared" si="4"/>
        <v>5</v>
      </c>
      <c r="AH42" s="2">
        <f t="shared" si="4"/>
        <v>6</v>
      </c>
      <c r="AI42" s="2">
        <f t="shared" si="4"/>
        <v>7</v>
      </c>
      <c r="AJ42" s="2">
        <f t="shared" si="4"/>
        <v>8</v>
      </c>
      <c r="AK42" s="2">
        <f t="shared" si="4"/>
        <v>9</v>
      </c>
      <c r="AL42" s="2">
        <f t="shared" si="4"/>
        <v>10</v>
      </c>
      <c r="AM42" s="2">
        <f t="shared" si="4"/>
        <v>11</v>
      </c>
      <c r="AN42" s="2">
        <f t="shared" si="4"/>
        <v>12</v>
      </c>
      <c r="AO42" s="2">
        <f t="shared" si="4"/>
        <v>1</v>
      </c>
      <c r="AP42" s="2">
        <f t="shared" si="4"/>
        <v>2</v>
      </c>
      <c r="AQ42" s="2">
        <f t="shared" si="4"/>
        <v>3</v>
      </c>
      <c r="AR42" s="2">
        <f t="shared" si="4"/>
        <v>4</v>
      </c>
      <c r="AS42" s="2">
        <f t="shared" si="4"/>
        <v>5</v>
      </c>
      <c r="AT42" s="2">
        <f t="shared" si="4"/>
        <v>6</v>
      </c>
      <c r="AU42" s="2">
        <f t="shared" si="4"/>
        <v>7</v>
      </c>
      <c r="AV42" s="2">
        <f t="shared" si="4"/>
        <v>8</v>
      </c>
      <c r="AW42" s="2">
        <f t="shared" si="4"/>
        <v>9</v>
      </c>
      <c r="AX42" s="2">
        <f t="shared" si="4"/>
        <v>10</v>
      </c>
      <c r="AY42" s="2">
        <f t="shared" si="4"/>
        <v>11</v>
      </c>
      <c r="AZ42" s="2">
        <f t="shared" si="4"/>
        <v>12</v>
      </c>
      <c r="BA42" s="2">
        <f t="shared" si="4"/>
        <v>1</v>
      </c>
      <c r="BB42" s="2">
        <f t="shared" si="4"/>
        <v>2</v>
      </c>
      <c r="BC42" s="2">
        <f t="shared" si="4"/>
        <v>3</v>
      </c>
      <c r="BD42" s="2">
        <f t="shared" si="4"/>
        <v>4</v>
      </c>
      <c r="BE42" s="2">
        <f t="shared" si="4"/>
        <v>5</v>
      </c>
      <c r="BF42" s="2">
        <f t="shared" si="4"/>
        <v>6</v>
      </c>
      <c r="BG42" s="2">
        <f t="shared" si="4"/>
        <v>7</v>
      </c>
      <c r="BH42" s="2">
        <f t="shared" si="4"/>
        <v>8</v>
      </c>
      <c r="BI42" s="2">
        <f t="shared" si="4"/>
        <v>9</v>
      </c>
      <c r="BJ42" s="2">
        <f t="shared" si="4"/>
        <v>10</v>
      </c>
      <c r="BK42" s="2">
        <f t="shared" si="4"/>
        <v>11</v>
      </c>
      <c r="BL42" s="2">
        <f t="shared" si="4"/>
        <v>12</v>
      </c>
    </row>
    <row r="43" spans="1:64" x14ac:dyDescent="0.35">
      <c r="C43" s="2" t="s">
        <v>30</v>
      </c>
      <c r="E43" s="2">
        <f t="shared" ref="E43:BL43" si="5">ROUNDUP(E41/$D$42,0)</f>
        <v>1</v>
      </c>
      <c r="F43" s="2">
        <f t="shared" si="5"/>
        <v>1</v>
      </c>
      <c r="G43" s="2">
        <f t="shared" si="5"/>
        <v>1</v>
      </c>
      <c r="H43" s="2">
        <f t="shared" si="5"/>
        <v>1</v>
      </c>
      <c r="I43" s="2">
        <f t="shared" si="5"/>
        <v>1</v>
      </c>
      <c r="J43" s="2">
        <f t="shared" si="5"/>
        <v>1</v>
      </c>
      <c r="K43" s="2">
        <f t="shared" si="5"/>
        <v>1</v>
      </c>
      <c r="L43" s="2">
        <f t="shared" si="5"/>
        <v>1</v>
      </c>
      <c r="M43" s="2">
        <f t="shared" si="5"/>
        <v>1</v>
      </c>
      <c r="N43" s="2">
        <f t="shared" si="5"/>
        <v>1</v>
      </c>
      <c r="O43" s="2">
        <f t="shared" si="5"/>
        <v>1</v>
      </c>
      <c r="P43" s="2">
        <f t="shared" si="5"/>
        <v>1</v>
      </c>
      <c r="Q43" s="2">
        <f t="shared" si="5"/>
        <v>2</v>
      </c>
      <c r="R43" s="2">
        <f t="shared" si="5"/>
        <v>2</v>
      </c>
      <c r="S43" s="2">
        <f t="shared" si="5"/>
        <v>2</v>
      </c>
      <c r="T43" s="2">
        <f t="shared" si="5"/>
        <v>2</v>
      </c>
      <c r="U43" s="2">
        <f t="shared" si="5"/>
        <v>2</v>
      </c>
      <c r="V43" s="2">
        <f t="shared" si="5"/>
        <v>2</v>
      </c>
      <c r="W43" s="2">
        <f t="shared" si="5"/>
        <v>2</v>
      </c>
      <c r="X43" s="2">
        <f t="shared" si="5"/>
        <v>2</v>
      </c>
      <c r="Y43" s="2">
        <f t="shared" si="5"/>
        <v>2</v>
      </c>
      <c r="Z43" s="2">
        <f t="shared" si="5"/>
        <v>2</v>
      </c>
      <c r="AA43" s="2">
        <f t="shared" si="5"/>
        <v>2</v>
      </c>
      <c r="AB43" s="2">
        <f t="shared" si="5"/>
        <v>2</v>
      </c>
      <c r="AC43" s="2">
        <f t="shared" si="5"/>
        <v>3</v>
      </c>
      <c r="AD43" s="2">
        <f t="shared" si="5"/>
        <v>3</v>
      </c>
      <c r="AE43" s="2">
        <f t="shared" si="5"/>
        <v>3</v>
      </c>
      <c r="AF43" s="2">
        <f t="shared" si="5"/>
        <v>3</v>
      </c>
      <c r="AG43" s="2">
        <f t="shared" si="5"/>
        <v>3</v>
      </c>
      <c r="AH43" s="2">
        <f t="shared" si="5"/>
        <v>3</v>
      </c>
      <c r="AI43" s="2">
        <f t="shared" si="5"/>
        <v>3</v>
      </c>
      <c r="AJ43" s="2">
        <f t="shared" si="5"/>
        <v>3</v>
      </c>
      <c r="AK43" s="2">
        <f t="shared" si="5"/>
        <v>3</v>
      </c>
      <c r="AL43" s="2">
        <f t="shared" si="5"/>
        <v>3</v>
      </c>
      <c r="AM43" s="2">
        <f t="shared" si="5"/>
        <v>3</v>
      </c>
      <c r="AN43" s="2">
        <f t="shared" si="5"/>
        <v>3</v>
      </c>
      <c r="AO43" s="2">
        <f t="shared" si="5"/>
        <v>4</v>
      </c>
      <c r="AP43" s="2">
        <f t="shared" si="5"/>
        <v>4</v>
      </c>
      <c r="AQ43" s="2">
        <f t="shared" si="5"/>
        <v>4</v>
      </c>
      <c r="AR43" s="2">
        <f t="shared" si="5"/>
        <v>4</v>
      </c>
      <c r="AS43" s="2">
        <f t="shared" si="5"/>
        <v>4</v>
      </c>
      <c r="AT43" s="2">
        <f t="shared" si="5"/>
        <v>4</v>
      </c>
      <c r="AU43" s="2">
        <f t="shared" si="5"/>
        <v>4</v>
      </c>
      <c r="AV43" s="2">
        <f t="shared" si="5"/>
        <v>4</v>
      </c>
      <c r="AW43" s="2">
        <f t="shared" si="5"/>
        <v>4</v>
      </c>
      <c r="AX43" s="2">
        <f t="shared" si="5"/>
        <v>4</v>
      </c>
      <c r="AY43" s="2">
        <f t="shared" si="5"/>
        <v>4</v>
      </c>
      <c r="AZ43" s="2">
        <f t="shared" si="5"/>
        <v>4</v>
      </c>
      <c r="BA43" s="2">
        <f t="shared" si="5"/>
        <v>5</v>
      </c>
      <c r="BB43" s="2">
        <f t="shared" si="5"/>
        <v>5</v>
      </c>
      <c r="BC43" s="2">
        <f t="shared" si="5"/>
        <v>5</v>
      </c>
      <c r="BD43" s="2">
        <f t="shared" si="5"/>
        <v>5</v>
      </c>
      <c r="BE43" s="2">
        <f t="shared" si="5"/>
        <v>5</v>
      </c>
      <c r="BF43" s="2">
        <f t="shared" si="5"/>
        <v>5</v>
      </c>
      <c r="BG43" s="2">
        <f t="shared" si="5"/>
        <v>5</v>
      </c>
      <c r="BH43" s="2">
        <f t="shared" si="5"/>
        <v>5</v>
      </c>
      <c r="BI43" s="2">
        <f t="shared" si="5"/>
        <v>5</v>
      </c>
      <c r="BJ43" s="2">
        <f t="shared" si="5"/>
        <v>5</v>
      </c>
      <c r="BK43" s="2">
        <f t="shared" si="5"/>
        <v>5</v>
      </c>
      <c r="BL43" s="2">
        <f t="shared" si="5"/>
        <v>5</v>
      </c>
    </row>
    <row r="45" spans="1:64" x14ac:dyDescent="0.35">
      <c r="C45" s="2" t="s">
        <v>470</v>
      </c>
      <c r="E45" s="4">
        <f t="shared" ref="E45:BL45" si="6">LOOKUP(E43,6:6,9:9)/$D$42</f>
        <v>8.3333333333333339</v>
      </c>
      <c r="F45" s="4">
        <f t="shared" si="6"/>
        <v>8.3333333333333339</v>
      </c>
      <c r="G45" s="4">
        <f t="shared" si="6"/>
        <v>8.3333333333333339</v>
      </c>
      <c r="H45" s="4">
        <f t="shared" si="6"/>
        <v>8.3333333333333339</v>
      </c>
      <c r="I45" s="4">
        <f t="shared" si="6"/>
        <v>8.3333333333333339</v>
      </c>
      <c r="J45" s="4">
        <f t="shared" si="6"/>
        <v>8.3333333333333339</v>
      </c>
      <c r="K45" s="4">
        <f t="shared" si="6"/>
        <v>8.3333333333333339</v>
      </c>
      <c r="L45" s="4">
        <f t="shared" si="6"/>
        <v>8.3333333333333339</v>
      </c>
      <c r="M45" s="4">
        <f t="shared" si="6"/>
        <v>8.3333333333333339</v>
      </c>
      <c r="N45" s="4">
        <f t="shared" si="6"/>
        <v>8.3333333333333339</v>
      </c>
      <c r="O45" s="4">
        <f t="shared" si="6"/>
        <v>8.3333333333333339</v>
      </c>
      <c r="P45" s="4">
        <f t="shared" si="6"/>
        <v>8.3333333333333339</v>
      </c>
      <c r="Q45" s="4">
        <f t="shared" si="6"/>
        <v>8.8333333333333339</v>
      </c>
      <c r="R45" s="4">
        <f t="shared" si="6"/>
        <v>8.8333333333333339</v>
      </c>
      <c r="S45" s="4">
        <f t="shared" si="6"/>
        <v>8.8333333333333339</v>
      </c>
      <c r="T45" s="4">
        <f t="shared" si="6"/>
        <v>8.8333333333333339</v>
      </c>
      <c r="U45" s="4">
        <f t="shared" si="6"/>
        <v>8.8333333333333339</v>
      </c>
      <c r="V45" s="4">
        <f t="shared" si="6"/>
        <v>8.8333333333333339</v>
      </c>
      <c r="W45" s="4">
        <f t="shared" si="6"/>
        <v>8.8333333333333339</v>
      </c>
      <c r="X45" s="4">
        <f t="shared" si="6"/>
        <v>8.8333333333333339</v>
      </c>
      <c r="Y45" s="4">
        <f t="shared" si="6"/>
        <v>8.8333333333333339</v>
      </c>
      <c r="Z45" s="4">
        <f t="shared" si="6"/>
        <v>8.8333333333333339</v>
      </c>
      <c r="AA45" s="4">
        <f t="shared" si="6"/>
        <v>8.8333333333333339</v>
      </c>
      <c r="AB45" s="4">
        <f t="shared" si="6"/>
        <v>8.8333333333333339</v>
      </c>
      <c r="AC45" s="4">
        <f t="shared" si="6"/>
        <v>9.3633333333333333</v>
      </c>
      <c r="AD45" s="4">
        <f t="shared" si="6"/>
        <v>9.3633333333333333</v>
      </c>
      <c r="AE45" s="4">
        <f t="shared" si="6"/>
        <v>9.3633333333333333</v>
      </c>
      <c r="AF45" s="4">
        <f t="shared" si="6"/>
        <v>9.3633333333333333</v>
      </c>
      <c r="AG45" s="4">
        <f t="shared" si="6"/>
        <v>9.3633333333333333</v>
      </c>
      <c r="AH45" s="4">
        <f t="shared" si="6"/>
        <v>9.3633333333333333</v>
      </c>
      <c r="AI45" s="4">
        <f t="shared" si="6"/>
        <v>9.3633333333333333</v>
      </c>
      <c r="AJ45" s="4">
        <f t="shared" si="6"/>
        <v>9.3633333333333333</v>
      </c>
      <c r="AK45" s="4">
        <f t="shared" si="6"/>
        <v>9.3633333333333333</v>
      </c>
      <c r="AL45" s="4">
        <f t="shared" si="6"/>
        <v>9.3633333333333333</v>
      </c>
      <c r="AM45" s="4">
        <f t="shared" si="6"/>
        <v>9.3633333333333333</v>
      </c>
      <c r="AN45" s="4">
        <f t="shared" si="6"/>
        <v>9.3633333333333333</v>
      </c>
      <c r="AO45" s="4">
        <f t="shared" si="6"/>
        <v>9.9251333333333331</v>
      </c>
      <c r="AP45" s="4">
        <f t="shared" si="6"/>
        <v>9.9251333333333331</v>
      </c>
      <c r="AQ45" s="4">
        <f t="shared" si="6"/>
        <v>9.9251333333333331</v>
      </c>
      <c r="AR45" s="4">
        <f t="shared" si="6"/>
        <v>9.9251333333333331</v>
      </c>
      <c r="AS45" s="4">
        <f t="shared" si="6"/>
        <v>9.9251333333333331</v>
      </c>
      <c r="AT45" s="4">
        <f t="shared" si="6"/>
        <v>9.9251333333333331</v>
      </c>
      <c r="AU45" s="4">
        <f t="shared" si="6"/>
        <v>9.9251333333333331</v>
      </c>
      <c r="AV45" s="4">
        <f t="shared" si="6"/>
        <v>9.9251333333333331</v>
      </c>
      <c r="AW45" s="4">
        <f t="shared" si="6"/>
        <v>9.9251333333333331</v>
      </c>
      <c r="AX45" s="4">
        <f t="shared" si="6"/>
        <v>9.9251333333333331</v>
      </c>
      <c r="AY45" s="4">
        <f t="shared" si="6"/>
        <v>9.9251333333333331</v>
      </c>
      <c r="AZ45" s="4">
        <f t="shared" si="6"/>
        <v>9.9251333333333331</v>
      </c>
      <c r="BA45" s="4">
        <f t="shared" si="6"/>
        <v>10.520641333333334</v>
      </c>
      <c r="BB45" s="4">
        <f t="shared" si="6"/>
        <v>10.520641333333334</v>
      </c>
      <c r="BC45" s="4">
        <f t="shared" si="6"/>
        <v>10.520641333333334</v>
      </c>
      <c r="BD45" s="4">
        <f t="shared" si="6"/>
        <v>10.520641333333334</v>
      </c>
      <c r="BE45" s="4">
        <f t="shared" si="6"/>
        <v>10.520641333333334</v>
      </c>
      <c r="BF45" s="4">
        <f t="shared" si="6"/>
        <v>10.520641333333334</v>
      </c>
      <c r="BG45" s="4">
        <f t="shared" si="6"/>
        <v>10.520641333333334</v>
      </c>
      <c r="BH45" s="4">
        <f t="shared" si="6"/>
        <v>10.520641333333334</v>
      </c>
      <c r="BI45" s="4">
        <f t="shared" si="6"/>
        <v>10.520641333333334</v>
      </c>
      <c r="BJ45" s="4">
        <f t="shared" si="6"/>
        <v>10.520641333333334</v>
      </c>
      <c r="BK45" s="4">
        <f t="shared" si="6"/>
        <v>10.520641333333334</v>
      </c>
      <c r="BL45" s="4">
        <f t="shared" si="6"/>
        <v>10.520641333333334</v>
      </c>
    </row>
    <row r="46" spans="1:64" x14ac:dyDescent="0.35">
      <c r="C46" s="2" t="s">
        <v>471</v>
      </c>
      <c r="E46" s="4">
        <f t="shared" ref="E46:BL46" si="7">LOOKUP(E43,6:6,10:10)</f>
        <v>1.1000000000000001</v>
      </c>
      <c r="F46" s="4">
        <f t="shared" si="7"/>
        <v>1.1000000000000001</v>
      </c>
      <c r="G46" s="4">
        <f t="shared" si="7"/>
        <v>1.1000000000000001</v>
      </c>
      <c r="H46" s="4">
        <f t="shared" si="7"/>
        <v>1.1000000000000001</v>
      </c>
      <c r="I46" s="4">
        <f t="shared" si="7"/>
        <v>1.1000000000000001</v>
      </c>
      <c r="J46" s="4">
        <f t="shared" si="7"/>
        <v>1.1000000000000001</v>
      </c>
      <c r="K46" s="4">
        <f t="shared" si="7"/>
        <v>1.1000000000000001</v>
      </c>
      <c r="L46" s="4">
        <f t="shared" si="7"/>
        <v>1.1000000000000001</v>
      </c>
      <c r="M46" s="4">
        <f t="shared" si="7"/>
        <v>1.1000000000000001</v>
      </c>
      <c r="N46" s="4">
        <f t="shared" si="7"/>
        <v>1.1000000000000001</v>
      </c>
      <c r="O46" s="4">
        <f t="shared" si="7"/>
        <v>1.1000000000000001</v>
      </c>
      <c r="P46" s="4">
        <f t="shared" si="7"/>
        <v>1.1000000000000001</v>
      </c>
      <c r="Q46" s="4">
        <f t="shared" si="7"/>
        <v>1.2</v>
      </c>
      <c r="R46" s="4">
        <f t="shared" si="7"/>
        <v>1.2</v>
      </c>
      <c r="S46" s="4">
        <f t="shared" si="7"/>
        <v>1.2</v>
      </c>
      <c r="T46" s="4">
        <f t="shared" si="7"/>
        <v>1.2</v>
      </c>
      <c r="U46" s="4">
        <f t="shared" si="7"/>
        <v>1.2</v>
      </c>
      <c r="V46" s="4">
        <f t="shared" si="7"/>
        <v>1.2</v>
      </c>
      <c r="W46" s="4">
        <f t="shared" si="7"/>
        <v>1.2</v>
      </c>
      <c r="X46" s="4">
        <f t="shared" si="7"/>
        <v>1.2</v>
      </c>
      <c r="Y46" s="4">
        <f t="shared" si="7"/>
        <v>1.2</v>
      </c>
      <c r="Z46" s="4">
        <f t="shared" si="7"/>
        <v>1.2</v>
      </c>
      <c r="AA46" s="4">
        <f t="shared" si="7"/>
        <v>1.2</v>
      </c>
      <c r="AB46" s="4">
        <f t="shared" si="7"/>
        <v>1.2</v>
      </c>
      <c r="AC46" s="4">
        <f t="shared" si="7"/>
        <v>1.4</v>
      </c>
      <c r="AD46" s="4">
        <f t="shared" si="7"/>
        <v>1.4</v>
      </c>
      <c r="AE46" s="4">
        <f t="shared" si="7"/>
        <v>1.4</v>
      </c>
      <c r="AF46" s="4">
        <f t="shared" si="7"/>
        <v>1.4</v>
      </c>
      <c r="AG46" s="4">
        <f t="shared" si="7"/>
        <v>1.4</v>
      </c>
      <c r="AH46" s="4">
        <f t="shared" si="7"/>
        <v>1.4</v>
      </c>
      <c r="AI46" s="4">
        <f t="shared" si="7"/>
        <v>1.4</v>
      </c>
      <c r="AJ46" s="4">
        <f t="shared" si="7"/>
        <v>1.4</v>
      </c>
      <c r="AK46" s="4">
        <f t="shared" si="7"/>
        <v>1.4</v>
      </c>
      <c r="AL46" s="4">
        <f t="shared" si="7"/>
        <v>1.4</v>
      </c>
      <c r="AM46" s="4">
        <f t="shared" si="7"/>
        <v>1.4</v>
      </c>
      <c r="AN46" s="4">
        <f t="shared" si="7"/>
        <v>1.4</v>
      </c>
      <c r="AO46" s="4">
        <f t="shared" si="7"/>
        <v>1.5</v>
      </c>
      <c r="AP46" s="4">
        <f t="shared" si="7"/>
        <v>1.5</v>
      </c>
      <c r="AQ46" s="4">
        <f t="shared" si="7"/>
        <v>1.5</v>
      </c>
      <c r="AR46" s="4">
        <f t="shared" si="7"/>
        <v>1.5</v>
      </c>
      <c r="AS46" s="4">
        <f t="shared" si="7"/>
        <v>1.5</v>
      </c>
      <c r="AT46" s="4">
        <f t="shared" si="7"/>
        <v>1.5</v>
      </c>
      <c r="AU46" s="4">
        <f t="shared" si="7"/>
        <v>1.5</v>
      </c>
      <c r="AV46" s="4">
        <f t="shared" si="7"/>
        <v>1.5</v>
      </c>
      <c r="AW46" s="4">
        <f t="shared" si="7"/>
        <v>1.5</v>
      </c>
      <c r="AX46" s="4">
        <f t="shared" si="7"/>
        <v>1.5</v>
      </c>
      <c r="AY46" s="4">
        <f t="shared" si="7"/>
        <v>1.5</v>
      </c>
      <c r="AZ46" s="4">
        <f t="shared" si="7"/>
        <v>1.5</v>
      </c>
      <c r="BA46" s="4">
        <f t="shared" si="7"/>
        <v>1.6</v>
      </c>
      <c r="BB46" s="4">
        <f t="shared" si="7"/>
        <v>1.6</v>
      </c>
      <c r="BC46" s="4">
        <f t="shared" si="7"/>
        <v>1.6</v>
      </c>
      <c r="BD46" s="4">
        <f t="shared" si="7"/>
        <v>1.6</v>
      </c>
      <c r="BE46" s="4">
        <f t="shared" si="7"/>
        <v>1.6</v>
      </c>
      <c r="BF46" s="4">
        <f t="shared" si="7"/>
        <v>1.6</v>
      </c>
      <c r="BG46" s="4">
        <f t="shared" si="7"/>
        <v>1.6</v>
      </c>
      <c r="BH46" s="4">
        <f t="shared" si="7"/>
        <v>1.6</v>
      </c>
      <c r="BI46" s="4">
        <f t="shared" si="7"/>
        <v>1.6</v>
      </c>
      <c r="BJ46" s="4">
        <f t="shared" si="7"/>
        <v>1.6</v>
      </c>
      <c r="BK46" s="4">
        <f t="shared" si="7"/>
        <v>1.6</v>
      </c>
      <c r="BL46" s="4">
        <f t="shared" si="7"/>
        <v>1.6</v>
      </c>
    </row>
    <row r="47" spans="1:64" x14ac:dyDescent="0.35">
      <c r="C47" s="2" t="s">
        <v>23</v>
      </c>
      <c r="E47" s="4">
        <f t="shared" ref="E47:BL47" si="8">E45/E46</f>
        <v>7.5757575757575752</v>
      </c>
      <c r="F47" s="4">
        <f t="shared" si="8"/>
        <v>7.5757575757575752</v>
      </c>
      <c r="G47" s="4">
        <f t="shared" si="8"/>
        <v>7.5757575757575752</v>
      </c>
      <c r="H47" s="4">
        <f t="shared" si="8"/>
        <v>7.5757575757575752</v>
      </c>
      <c r="I47" s="4">
        <f t="shared" si="8"/>
        <v>7.5757575757575752</v>
      </c>
      <c r="J47" s="4">
        <f t="shared" si="8"/>
        <v>7.5757575757575752</v>
      </c>
      <c r="K47" s="4">
        <f t="shared" si="8"/>
        <v>7.5757575757575752</v>
      </c>
      <c r="L47" s="4">
        <f t="shared" si="8"/>
        <v>7.5757575757575752</v>
      </c>
      <c r="M47" s="4">
        <f t="shared" si="8"/>
        <v>7.5757575757575752</v>
      </c>
      <c r="N47" s="4">
        <f t="shared" si="8"/>
        <v>7.5757575757575752</v>
      </c>
      <c r="O47" s="4">
        <f t="shared" si="8"/>
        <v>7.5757575757575752</v>
      </c>
      <c r="P47" s="4">
        <f t="shared" si="8"/>
        <v>7.5757575757575752</v>
      </c>
      <c r="Q47" s="4">
        <f t="shared" si="8"/>
        <v>7.3611111111111116</v>
      </c>
      <c r="R47" s="4">
        <f t="shared" si="8"/>
        <v>7.3611111111111116</v>
      </c>
      <c r="S47" s="4">
        <f t="shared" si="8"/>
        <v>7.3611111111111116</v>
      </c>
      <c r="T47" s="4">
        <f t="shared" si="8"/>
        <v>7.3611111111111116</v>
      </c>
      <c r="U47" s="4">
        <f t="shared" si="8"/>
        <v>7.3611111111111116</v>
      </c>
      <c r="V47" s="4">
        <f t="shared" si="8"/>
        <v>7.3611111111111116</v>
      </c>
      <c r="W47" s="4">
        <f t="shared" si="8"/>
        <v>7.3611111111111116</v>
      </c>
      <c r="X47" s="4">
        <f t="shared" si="8"/>
        <v>7.3611111111111116</v>
      </c>
      <c r="Y47" s="4">
        <f t="shared" si="8"/>
        <v>7.3611111111111116</v>
      </c>
      <c r="Z47" s="4">
        <f t="shared" si="8"/>
        <v>7.3611111111111116</v>
      </c>
      <c r="AA47" s="4">
        <f t="shared" si="8"/>
        <v>7.3611111111111116</v>
      </c>
      <c r="AB47" s="4">
        <f t="shared" si="8"/>
        <v>7.3611111111111116</v>
      </c>
      <c r="AC47" s="4">
        <f t="shared" si="8"/>
        <v>6.6880952380952383</v>
      </c>
      <c r="AD47" s="4">
        <f t="shared" si="8"/>
        <v>6.6880952380952383</v>
      </c>
      <c r="AE47" s="4">
        <f t="shared" si="8"/>
        <v>6.6880952380952383</v>
      </c>
      <c r="AF47" s="4">
        <f t="shared" si="8"/>
        <v>6.6880952380952383</v>
      </c>
      <c r="AG47" s="4">
        <f t="shared" si="8"/>
        <v>6.6880952380952383</v>
      </c>
      <c r="AH47" s="4">
        <f t="shared" si="8"/>
        <v>6.6880952380952383</v>
      </c>
      <c r="AI47" s="4">
        <f t="shared" si="8"/>
        <v>6.6880952380952383</v>
      </c>
      <c r="AJ47" s="4">
        <f t="shared" si="8"/>
        <v>6.6880952380952383</v>
      </c>
      <c r="AK47" s="4">
        <f t="shared" si="8"/>
        <v>6.6880952380952383</v>
      </c>
      <c r="AL47" s="4">
        <f t="shared" si="8"/>
        <v>6.6880952380952383</v>
      </c>
      <c r="AM47" s="4">
        <f t="shared" si="8"/>
        <v>6.6880952380952383</v>
      </c>
      <c r="AN47" s="4">
        <f t="shared" si="8"/>
        <v>6.6880952380952383</v>
      </c>
      <c r="AO47" s="4">
        <f t="shared" si="8"/>
        <v>6.6167555555555557</v>
      </c>
      <c r="AP47" s="4">
        <f t="shared" si="8"/>
        <v>6.6167555555555557</v>
      </c>
      <c r="AQ47" s="4">
        <f t="shared" si="8"/>
        <v>6.6167555555555557</v>
      </c>
      <c r="AR47" s="4">
        <f t="shared" si="8"/>
        <v>6.6167555555555557</v>
      </c>
      <c r="AS47" s="4">
        <f t="shared" si="8"/>
        <v>6.6167555555555557</v>
      </c>
      <c r="AT47" s="4">
        <f t="shared" si="8"/>
        <v>6.6167555555555557</v>
      </c>
      <c r="AU47" s="4">
        <f t="shared" si="8"/>
        <v>6.6167555555555557</v>
      </c>
      <c r="AV47" s="4">
        <f t="shared" si="8"/>
        <v>6.6167555555555557</v>
      </c>
      <c r="AW47" s="4">
        <f t="shared" si="8"/>
        <v>6.6167555555555557</v>
      </c>
      <c r="AX47" s="4">
        <f t="shared" si="8"/>
        <v>6.6167555555555557</v>
      </c>
      <c r="AY47" s="4">
        <f t="shared" si="8"/>
        <v>6.6167555555555557</v>
      </c>
      <c r="AZ47" s="4">
        <f t="shared" si="8"/>
        <v>6.6167555555555557</v>
      </c>
      <c r="BA47" s="4">
        <f t="shared" si="8"/>
        <v>6.5754008333333331</v>
      </c>
      <c r="BB47" s="4">
        <f t="shared" si="8"/>
        <v>6.5754008333333331</v>
      </c>
      <c r="BC47" s="4">
        <f t="shared" si="8"/>
        <v>6.5754008333333331</v>
      </c>
      <c r="BD47" s="4">
        <f t="shared" si="8"/>
        <v>6.5754008333333331</v>
      </c>
      <c r="BE47" s="4">
        <f t="shared" si="8"/>
        <v>6.5754008333333331</v>
      </c>
      <c r="BF47" s="4">
        <f t="shared" si="8"/>
        <v>6.5754008333333331</v>
      </c>
      <c r="BG47" s="4">
        <f t="shared" si="8"/>
        <v>6.5754008333333331</v>
      </c>
      <c r="BH47" s="4">
        <f t="shared" si="8"/>
        <v>6.5754008333333331</v>
      </c>
      <c r="BI47" s="4">
        <f t="shared" si="8"/>
        <v>6.5754008333333331</v>
      </c>
      <c r="BJ47" s="4">
        <f t="shared" si="8"/>
        <v>6.5754008333333331</v>
      </c>
      <c r="BK47" s="4">
        <f t="shared" si="8"/>
        <v>6.5754008333333331</v>
      </c>
      <c r="BL47" s="4">
        <f t="shared" si="8"/>
        <v>6.5754008333333331</v>
      </c>
    </row>
    <row r="48" spans="1:64" x14ac:dyDescent="0.35">
      <c r="C48" s="2" t="s">
        <v>110</v>
      </c>
      <c r="E48" s="20">
        <f t="shared" ref="E48:BL48" si="9">LOOKUP(E43,6:6,12:12)/$D$42</f>
        <v>4.1666666666666666E-3</v>
      </c>
      <c r="F48" s="20">
        <f t="shared" si="9"/>
        <v>4.1666666666666666E-3</v>
      </c>
      <c r="G48" s="20">
        <f t="shared" si="9"/>
        <v>4.1666666666666666E-3</v>
      </c>
      <c r="H48" s="20">
        <f t="shared" si="9"/>
        <v>4.1666666666666666E-3</v>
      </c>
      <c r="I48" s="20">
        <f t="shared" si="9"/>
        <v>4.1666666666666666E-3</v>
      </c>
      <c r="J48" s="20">
        <f t="shared" si="9"/>
        <v>4.1666666666666666E-3</v>
      </c>
      <c r="K48" s="20">
        <f t="shared" si="9"/>
        <v>4.1666666666666666E-3</v>
      </c>
      <c r="L48" s="20">
        <f t="shared" si="9"/>
        <v>4.1666666666666666E-3</v>
      </c>
      <c r="M48" s="20">
        <f t="shared" si="9"/>
        <v>4.1666666666666666E-3</v>
      </c>
      <c r="N48" s="20">
        <f t="shared" si="9"/>
        <v>4.1666666666666666E-3</v>
      </c>
      <c r="O48" s="20">
        <f t="shared" si="9"/>
        <v>4.1666666666666666E-3</v>
      </c>
      <c r="P48" s="20">
        <f t="shared" si="9"/>
        <v>4.1666666666666666E-3</v>
      </c>
      <c r="Q48" s="20">
        <f t="shared" si="9"/>
        <v>4.1666666666666666E-3</v>
      </c>
      <c r="R48" s="20">
        <f t="shared" si="9"/>
        <v>4.1666666666666666E-3</v>
      </c>
      <c r="S48" s="20">
        <f t="shared" si="9"/>
        <v>4.1666666666666666E-3</v>
      </c>
      <c r="T48" s="20">
        <f t="shared" si="9"/>
        <v>4.1666666666666666E-3</v>
      </c>
      <c r="U48" s="20">
        <f t="shared" si="9"/>
        <v>4.1666666666666666E-3</v>
      </c>
      <c r="V48" s="20">
        <f t="shared" si="9"/>
        <v>4.1666666666666666E-3</v>
      </c>
      <c r="W48" s="20">
        <f t="shared" si="9"/>
        <v>4.1666666666666666E-3</v>
      </c>
      <c r="X48" s="20">
        <f t="shared" si="9"/>
        <v>4.1666666666666666E-3</v>
      </c>
      <c r="Y48" s="20">
        <f t="shared" si="9"/>
        <v>4.1666666666666666E-3</v>
      </c>
      <c r="Z48" s="20">
        <f t="shared" si="9"/>
        <v>4.1666666666666666E-3</v>
      </c>
      <c r="AA48" s="20">
        <f t="shared" si="9"/>
        <v>4.1666666666666666E-3</v>
      </c>
      <c r="AB48" s="20">
        <f t="shared" si="9"/>
        <v>4.1666666666666666E-3</v>
      </c>
      <c r="AC48" s="20">
        <f t="shared" si="9"/>
        <v>4.1666666666666666E-3</v>
      </c>
      <c r="AD48" s="20">
        <f t="shared" si="9"/>
        <v>4.1666666666666666E-3</v>
      </c>
      <c r="AE48" s="20">
        <f t="shared" si="9"/>
        <v>4.1666666666666666E-3</v>
      </c>
      <c r="AF48" s="20">
        <f t="shared" si="9"/>
        <v>4.1666666666666666E-3</v>
      </c>
      <c r="AG48" s="20">
        <f t="shared" si="9"/>
        <v>4.1666666666666666E-3</v>
      </c>
      <c r="AH48" s="20">
        <f t="shared" si="9"/>
        <v>4.1666666666666666E-3</v>
      </c>
      <c r="AI48" s="20">
        <f t="shared" si="9"/>
        <v>4.1666666666666666E-3</v>
      </c>
      <c r="AJ48" s="20">
        <f t="shared" si="9"/>
        <v>4.1666666666666666E-3</v>
      </c>
      <c r="AK48" s="20">
        <f t="shared" si="9"/>
        <v>4.1666666666666666E-3</v>
      </c>
      <c r="AL48" s="20">
        <f t="shared" si="9"/>
        <v>4.1666666666666666E-3</v>
      </c>
      <c r="AM48" s="20">
        <f t="shared" si="9"/>
        <v>4.1666666666666666E-3</v>
      </c>
      <c r="AN48" s="20">
        <f t="shared" si="9"/>
        <v>4.1666666666666666E-3</v>
      </c>
      <c r="AO48" s="20">
        <f t="shared" si="9"/>
        <v>4.1666666666666666E-3</v>
      </c>
      <c r="AP48" s="20">
        <f t="shared" si="9"/>
        <v>4.1666666666666666E-3</v>
      </c>
      <c r="AQ48" s="20">
        <f t="shared" si="9"/>
        <v>4.1666666666666666E-3</v>
      </c>
      <c r="AR48" s="20">
        <f t="shared" si="9"/>
        <v>4.1666666666666666E-3</v>
      </c>
      <c r="AS48" s="20">
        <f t="shared" si="9"/>
        <v>4.1666666666666666E-3</v>
      </c>
      <c r="AT48" s="20">
        <f t="shared" si="9"/>
        <v>4.1666666666666666E-3</v>
      </c>
      <c r="AU48" s="20">
        <f t="shared" si="9"/>
        <v>4.1666666666666666E-3</v>
      </c>
      <c r="AV48" s="20">
        <f t="shared" si="9"/>
        <v>4.1666666666666666E-3</v>
      </c>
      <c r="AW48" s="20">
        <f t="shared" si="9"/>
        <v>4.1666666666666666E-3</v>
      </c>
      <c r="AX48" s="20">
        <f t="shared" si="9"/>
        <v>4.1666666666666666E-3</v>
      </c>
      <c r="AY48" s="20">
        <f t="shared" si="9"/>
        <v>4.1666666666666666E-3</v>
      </c>
      <c r="AZ48" s="20">
        <f t="shared" si="9"/>
        <v>4.1666666666666666E-3</v>
      </c>
      <c r="BA48" s="20">
        <f t="shared" si="9"/>
        <v>4.1666666666666666E-3</v>
      </c>
      <c r="BB48" s="20">
        <f t="shared" si="9"/>
        <v>4.1666666666666666E-3</v>
      </c>
      <c r="BC48" s="20">
        <f t="shared" si="9"/>
        <v>4.1666666666666666E-3</v>
      </c>
      <c r="BD48" s="20">
        <f t="shared" si="9"/>
        <v>4.1666666666666666E-3</v>
      </c>
      <c r="BE48" s="20">
        <f t="shared" si="9"/>
        <v>4.1666666666666666E-3</v>
      </c>
      <c r="BF48" s="20">
        <f t="shared" si="9"/>
        <v>4.1666666666666666E-3</v>
      </c>
      <c r="BG48" s="20">
        <f t="shared" si="9"/>
        <v>4.1666666666666666E-3</v>
      </c>
      <c r="BH48" s="20">
        <f t="shared" si="9"/>
        <v>4.1666666666666666E-3</v>
      </c>
      <c r="BI48" s="20">
        <f t="shared" si="9"/>
        <v>4.1666666666666666E-3</v>
      </c>
      <c r="BJ48" s="20">
        <f t="shared" si="9"/>
        <v>4.1666666666666666E-3</v>
      </c>
      <c r="BK48" s="20">
        <f t="shared" si="9"/>
        <v>4.1666666666666666E-3</v>
      </c>
      <c r="BL48" s="20">
        <f t="shared" si="9"/>
        <v>4.1666666666666666E-3</v>
      </c>
    </row>
    <row r="49" spans="1:64" x14ac:dyDescent="0.35">
      <c r="C49" s="2" t="s">
        <v>472</v>
      </c>
      <c r="D49" s="39">
        <v>1</v>
      </c>
      <c r="E49" s="4">
        <f t="shared" ref="E49:BL49" si="10">D49*(1+E48)</f>
        <v>1.0041666666666667</v>
      </c>
      <c r="F49" s="4">
        <f t="shared" si="10"/>
        <v>1.0083506944444445</v>
      </c>
      <c r="G49" s="4">
        <f t="shared" si="10"/>
        <v>1.0125521556712964</v>
      </c>
      <c r="H49" s="4">
        <f t="shared" si="10"/>
        <v>1.0167711229865934</v>
      </c>
      <c r="I49" s="4">
        <f t="shared" si="10"/>
        <v>1.0210076693323709</v>
      </c>
      <c r="J49" s="4">
        <f t="shared" si="10"/>
        <v>1.0252618679545891</v>
      </c>
      <c r="K49" s="4">
        <f t="shared" si="10"/>
        <v>1.0295337924043999</v>
      </c>
      <c r="L49" s="4">
        <f t="shared" si="10"/>
        <v>1.0338235165394183</v>
      </c>
      <c r="M49" s="4">
        <f t="shared" si="10"/>
        <v>1.0381311145249992</v>
      </c>
      <c r="N49" s="4">
        <f t="shared" si="10"/>
        <v>1.0424566608355199</v>
      </c>
      <c r="O49" s="4">
        <f t="shared" si="10"/>
        <v>1.0468002302556678</v>
      </c>
      <c r="P49" s="4">
        <f t="shared" si="10"/>
        <v>1.051161897881733</v>
      </c>
      <c r="Q49" s="4">
        <f t="shared" si="10"/>
        <v>1.0555417391229069</v>
      </c>
      <c r="R49" s="4">
        <f t="shared" si="10"/>
        <v>1.0599398297025857</v>
      </c>
      <c r="S49" s="4">
        <f t="shared" si="10"/>
        <v>1.0643562456596798</v>
      </c>
      <c r="T49" s="4">
        <f t="shared" si="10"/>
        <v>1.0687910633499285</v>
      </c>
      <c r="U49" s="4">
        <f t="shared" si="10"/>
        <v>1.0732443594472199</v>
      </c>
      <c r="V49" s="4">
        <f t="shared" si="10"/>
        <v>1.0777162109449165</v>
      </c>
      <c r="W49" s="4">
        <f t="shared" si="10"/>
        <v>1.0822066951571869</v>
      </c>
      <c r="X49" s="4">
        <f t="shared" si="10"/>
        <v>1.0867158897203419</v>
      </c>
      <c r="Y49" s="4">
        <f t="shared" si="10"/>
        <v>1.0912438725941767</v>
      </c>
      <c r="Z49" s="4">
        <f t="shared" si="10"/>
        <v>1.095790722063319</v>
      </c>
      <c r="AA49" s="4">
        <f t="shared" si="10"/>
        <v>1.1003565167385827</v>
      </c>
      <c r="AB49" s="4">
        <f t="shared" si="10"/>
        <v>1.1049413355583269</v>
      </c>
      <c r="AC49" s="4">
        <f t="shared" si="10"/>
        <v>1.1095452577898199</v>
      </c>
      <c r="AD49" s="4">
        <f t="shared" si="10"/>
        <v>1.1141683630306107</v>
      </c>
      <c r="AE49" s="4">
        <f t="shared" si="10"/>
        <v>1.1188107312099049</v>
      </c>
      <c r="AF49" s="4">
        <f t="shared" si="10"/>
        <v>1.1234724425899463</v>
      </c>
      <c r="AG49" s="4">
        <f t="shared" si="10"/>
        <v>1.1281535777674043</v>
      </c>
      <c r="AH49" s="4">
        <f t="shared" si="10"/>
        <v>1.1328542176747685</v>
      </c>
      <c r="AI49" s="4">
        <f t="shared" si="10"/>
        <v>1.1375744435817468</v>
      </c>
      <c r="AJ49" s="4">
        <f t="shared" si="10"/>
        <v>1.1423143370966706</v>
      </c>
      <c r="AK49" s="4">
        <f t="shared" si="10"/>
        <v>1.1470739801679068</v>
      </c>
      <c r="AL49" s="4">
        <f t="shared" si="10"/>
        <v>1.151853455085273</v>
      </c>
      <c r="AM49" s="4">
        <f t="shared" si="10"/>
        <v>1.1566528444814617</v>
      </c>
      <c r="AN49" s="4">
        <f t="shared" si="10"/>
        <v>1.1614722313334678</v>
      </c>
      <c r="AO49" s="4">
        <f t="shared" si="10"/>
        <v>1.1663116989640239</v>
      </c>
      <c r="AP49" s="4">
        <f t="shared" si="10"/>
        <v>1.1711713310430407</v>
      </c>
      <c r="AQ49" s="4">
        <f t="shared" si="10"/>
        <v>1.1760512115890533</v>
      </c>
      <c r="AR49" s="4">
        <f t="shared" si="10"/>
        <v>1.1809514249706743</v>
      </c>
      <c r="AS49" s="4">
        <f t="shared" si="10"/>
        <v>1.185872055908052</v>
      </c>
      <c r="AT49" s="4">
        <f t="shared" si="10"/>
        <v>1.1908131894743355</v>
      </c>
      <c r="AU49" s="4">
        <f t="shared" si="10"/>
        <v>1.1957749110971452</v>
      </c>
      <c r="AV49" s="4">
        <f t="shared" si="10"/>
        <v>1.2007573065600499</v>
      </c>
      <c r="AW49" s="4">
        <f t="shared" si="10"/>
        <v>1.2057604620040501</v>
      </c>
      <c r="AX49" s="4">
        <f t="shared" si="10"/>
        <v>1.210784463929067</v>
      </c>
      <c r="AY49" s="4">
        <f t="shared" si="10"/>
        <v>1.2158293991954381</v>
      </c>
      <c r="AZ49" s="4">
        <f t="shared" si="10"/>
        <v>1.2208953550254191</v>
      </c>
      <c r="BA49" s="4">
        <f t="shared" si="10"/>
        <v>1.2259824190046917</v>
      </c>
      <c r="BB49" s="4">
        <f t="shared" si="10"/>
        <v>1.231090679083878</v>
      </c>
      <c r="BC49" s="4">
        <f t="shared" si="10"/>
        <v>1.2362202235800608</v>
      </c>
      <c r="BD49" s="4">
        <f t="shared" si="10"/>
        <v>1.241371141178311</v>
      </c>
      <c r="BE49" s="4">
        <f t="shared" si="10"/>
        <v>1.2465435209332207</v>
      </c>
      <c r="BF49" s="4">
        <f t="shared" si="10"/>
        <v>1.2517374522704425</v>
      </c>
      <c r="BG49" s="4">
        <f t="shared" si="10"/>
        <v>1.2569530249882359</v>
      </c>
      <c r="BH49" s="4">
        <f t="shared" si="10"/>
        <v>1.2621903292590202</v>
      </c>
      <c r="BI49" s="4">
        <f t="shared" si="10"/>
        <v>1.2674494556309328</v>
      </c>
      <c r="BJ49" s="4">
        <f t="shared" si="10"/>
        <v>1.2727304950293949</v>
      </c>
      <c r="BK49" s="4">
        <f t="shared" si="10"/>
        <v>1.2780335387586841</v>
      </c>
      <c r="BL49" s="4">
        <f t="shared" si="10"/>
        <v>1.2833586785035118</v>
      </c>
    </row>
    <row r="50" spans="1:64" x14ac:dyDescent="0.35">
      <c r="C50" s="2" t="s">
        <v>473</v>
      </c>
      <c r="D50" s="4">
        <f>SUMPRODUCT(E47:BL47/E49:BL49)</f>
        <v>370.45916577246743</v>
      </c>
    </row>
    <row r="52" spans="1:64" x14ac:dyDescent="0.35">
      <c r="B52" s="2" t="s">
        <v>428</v>
      </c>
    </row>
    <row r="53" spans="1:64" x14ac:dyDescent="0.35">
      <c r="C53" s="2" t="s">
        <v>5</v>
      </c>
      <c r="D53" s="4"/>
      <c r="E53" s="4">
        <f t="shared" ref="E53:BL53" si="11">D55</f>
        <v>370.45916577246743</v>
      </c>
      <c r="F53" s="4">
        <f t="shared" si="11"/>
        <v>364.42698805409515</v>
      </c>
      <c r="G53" s="4">
        <f t="shared" si="11"/>
        <v>358.3696762618963</v>
      </c>
      <c r="H53" s="4">
        <f t="shared" si="11"/>
        <v>352.28712567056328</v>
      </c>
      <c r="I53" s="4">
        <f t="shared" si="11"/>
        <v>346.17923111843305</v>
      </c>
      <c r="J53" s="4">
        <f t="shared" si="11"/>
        <v>340.04588700566893</v>
      </c>
      <c r="K53" s="4">
        <f t="shared" si="11"/>
        <v>333.88698729243498</v>
      </c>
      <c r="L53" s="4">
        <f t="shared" si="11"/>
        <v>327.70242549706256</v>
      </c>
      <c r="M53" s="4">
        <f t="shared" si="11"/>
        <v>321.49209469420941</v>
      </c>
      <c r="N53" s="4">
        <f t="shared" si="11"/>
        <v>315.25588751301103</v>
      </c>
      <c r="O53" s="4">
        <f t="shared" si="11"/>
        <v>308.99369613522435</v>
      </c>
      <c r="P53" s="4">
        <f t="shared" si="11"/>
        <v>302.70541229336357</v>
      </c>
      <c r="Q53" s="4">
        <f t="shared" si="11"/>
        <v>296.39092726882836</v>
      </c>
      <c r="R53" s="4">
        <f t="shared" si="11"/>
        <v>290.26477835467068</v>
      </c>
      <c r="S53" s="4">
        <f t="shared" si="11"/>
        <v>284.11310382003734</v>
      </c>
      <c r="T53" s="4">
        <f t="shared" si="11"/>
        <v>277.9357973081764</v>
      </c>
      <c r="U53" s="4">
        <f t="shared" si="11"/>
        <v>271.73275201918267</v>
      </c>
      <c r="V53" s="4">
        <f t="shared" si="11"/>
        <v>265.50386070815148</v>
      </c>
      <c r="W53" s="4">
        <f t="shared" si="11"/>
        <v>259.24901568332433</v>
      </c>
      <c r="X53" s="4">
        <f t="shared" si="11"/>
        <v>252.96810880422706</v>
      </c>
      <c r="Y53" s="4">
        <f t="shared" si="11"/>
        <v>246.66103147980022</v>
      </c>
      <c r="Z53" s="4">
        <f t="shared" si="11"/>
        <v>240.3276746665216</v>
      </c>
      <c r="AA53" s="4">
        <f t="shared" si="11"/>
        <v>233.96792886652099</v>
      </c>
      <c r="AB53" s="4">
        <f t="shared" si="11"/>
        <v>227.58168412568705</v>
      </c>
      <c r="AC53" s="4">
        <f t="shared" si="11"/>
        <v>221.1688300317663</v>
      </c>
      <c r="AD53" s="4">
        <f t="shared" si="11"/>
        <v>215.40227158547009</v>
      </c>
      <c r="AE53" s="4">
        <f t="shared" si="11"/>
        <v>209.61168581231431</v>
      </c>
      <c r="AF53" s="4">
        <f t="shared" si="11"/>
        <v>203.79697259843704</v>
      </c>
      <c r="AG53" s="4">
        <f t="shared" si="11"/>
        <v>197.95803141283528</v>
      </c>
      <c r="AH53" s="4">
        <f t="shared" si="11"/>
        <v>192.09476130562686</v>
      </c>
      <c r="AI53" s="4">
        <f t="shared" si="11"/>
        <v>186.20706090630506</v>
      </c>
      <c r="AJ53" s="4">
        <f t="shared" si="11"/>
        <v>180.2948284219861</v>
      </c>
      <c r="AK53" s="4">
        <f t="shared" si="11"/>
        <v>174.35796163564913</v>
      </c>
      <c r="AL53" s="4">
        <f t="shared" si="11"/>
        <v>168.3963579043691</v>
      </c>
      <c r="AM53" s="4">
        <f t="shared" si="11"/>
        <v>162.40991415754206</v>
      </c>
      <c r="AN53" s="4">
        <f t="shared" si="11"/>
        <v>156.39852689510326</v>
      </c>
      <c r="AO53" s="4">
        <f t="shared" si="11"/>
        <v>150.36209218573762</v>
      </c>
      <c r="AP53" s="4">
        <f t="shared" si="11"/>
        <v>144.37184534762264</v>
      </c>
      <c r="AQ53" s="4">
        <f t="shared" si="11"/>
        <v>138.35663914768219</v>
      </c>
      <c r="AR53" s="4">
        <f t="shared" si="11"/>
        <v>132.3163695885753</v>
      </c>
      <c r="AS53" s="4">
        <f t="shared" si="11"/>
        <v>126.2509322396388</v>
      </c>
      <c r="AT53" s="4">
        <f t="shared" si="11"/>
        <v>120.16022223508173</v>
      </c>
      <c r="AU53" s="4">
        <f t="shared" si="11"/>
        <v>114.04413427217236</v>
      </c>
      <c r="AV53" s="4">
        <f t="shared" si="11"/>
        <v>107.90256260941752</v>
      </c>
      <c r="AW53" s="4">
        <f t="shared" si="11"/>
        <v>101.73540106473453</v>
      </c>
      <c r="AX53" s="4">
        <f t="shared" si="11"/>
        <v>95.542543013615372</v>
      </c>
      <c r="AY53" s="4">
        <f t="shared" si="11"/>
        <v>89.323881387283208</v>
      </c>
      <c r="AZ53" s="4">
        <f t="shared" si="11"/>
        <v>83.079308670841328</v>
      </c>
      <c r="BA53" s="4">
        <f t="shared" si="11"/>
        <v>76.808716901414272</v>
      </c>
      <c r="BB53" s="4">
        <f t="shared" si="11"/>
        <v>70.553352388503498</v>
      </c>
      <c r="BC53" s="4">
        <f t="shared" si="11"/>
        <v>64.271923856788931</v>
      </c>
      <c r="BD53" s="4">
        <f t="shared" si="11"/>
        <v>57.96432270619222</v>
      </c>
      <c r="BE53" s="4">
        <f t="shared" si="11"/>
        <v>51.630439884134688</v>
      </c>
      <c r="BF53" s="4">
        <f t="shared" si="11"/>
        <v>45.270165883651913</v>
      </c>
      <c r="BG53" s="4">
        <f t="shared" si="11"/>
        <v>38.883390741500463</v>
      </c>
      <c r="BH53" s="4">
        <f t="shared" si="11"/>
        <v>32.470004036256718</v>
      </c>
      <c r="BI53" s="4">
        <f t="shared" si="11"/>
        <v>26.029894886407789</v>
      </c>
      <c r="BJ53" s="4">
        <f t="shared" si="11"/>
        <v>19.562951948434488</v>
      </c>
      <c r="BK53" s="4">
        <f t="shared" si="11"/>
        <v>13.069063414886298</v>
      </c>
      <c r="BL53" s="4">
        <f t="shared" si="11"/>
        <v>6.5481170124483237</v>
      </c>
    </row>
    <row r="54" spans="1:64" x14ac:dyDescent="0.35">
      <c r="C54" s="2" t="s">
        <v>28</v>
      </c>
      <c r="D54" s="4"/>
      <c r="E54" s="4">
        <f t="shared" ref="E54:BL54" si="12">E47-E56</f>
        <v>6.032177718372294</v>
      </c>
      <c r="F54" s="4">
        <f t="shared" si="12"/>
        <v>6.0573117921988455</v>
      </c>
      <c r="G54" s="4">
        <f t="shared" si="12"/>
        <v>6.0825505913330069</v>
      </c>
      <c r="H54" s="4">
        <f t="shared" si="12"/>
        <v>6.1078945521302277</v>
      </c>
      <c r="I54" s="4">
        <f t="shared" si="12"/>
        <v>6.133344112764104</v>
      </c>
      <c r="J54" s="4">
        <f t="shared" si="12"/>
        <v>6.1588997132339545</v>
      </c>
      <c r="K54" s="4">
        <f t="shared" si="12"/>
        <v>6.1845617953724297</v>
      </c>
      <c r="L54" s="4">
        <f t="shared" si="12"/>
        <v>6.2103308028531483</v>
      </c>
      <c r="M54" s="4">
        <f t="shared" si="12"/>
        <v>6.2362071811983695</v>
      </c>
      <c r="N54" s="4">
        <f t="shared" si="12"/>
        <v>6.2621913777866958</v>
      </c>
      <c r="O54" s="4">
        <f t="shared" si="12"/>
        <v>6.2882838418608067</v>
      </c>
      <c r="P54" s="4">
        <f t="shared" si="12"/>
        <v>6.3144850245352266</v>
      </c>
      <c r="Q54" s="4">
        <f t="shared" si="12"/>
        <v>6.1261489141576604</v>
      </c>
      <c r="R54" s="4">
        <f t="shared" si="12"/>
        <v>6.151674534633317</v>
      </c>
      <c r="S54" s="4">
        <f t="shared" si="12"/>
        <v>6.177306511860956</v>
      </c>
      <c r="T54" s="4">
        <f t="shared" si="12"/>
        <v>6.2030452889937102</v>
      </c>
      <c r="U54" s="4">
        <f t="shared" si="12"/>
        <v>6.2288913110311839</v>
      </c>
      <c r="V54" s="4">
        <f t="shared" si="12"/>
        <v>6.254845024827147</v>
      </c>
      <c r="W54" s="4">
        <f t="shared" si="12"/>
        <v>6.2809068790972606</v>
      </c>
      <c r="X54" s="4">
        <f t="shared" si="12"/>
        <v>6.3070773244268317</v>
      </c>
      <c r="Y54" s="4">
        <f t="shared" si="12"/>
        <v>6.3333568132786109</v>
      </c>
      <c r="Z54" s="4">
        <f t="shared" si="12"/>
        <v>6.3597458000006046</v>
      </c>
      <c r="AA54" s="4">
        <f t="shared" si="12"/>
        <v>6.3862447408339404</v>
      </c>
      <c r="AB54" s="4">
        <f t="shared" si="12"/>
        <v>6.4128540939207488</v>
      </c>
      <c r="AC54" s="4">
        <f t="shared" si="12"/>
        <v>5.7665584462962123</v>
      </c>
      <c r="AD54" s="4">
        <f t="shared" si="12"/>
        <v>5.7905857731557795</v>
      </c>
      <c r="AE54" s="4">
        <f t="shared" si="12"/>
        <v>5.8147132138772619</v>
      </c>
      <c r="AF54" s="4">
        <f t="shared" si="12"/>
        <v>5.838941185601751</v>
      </c>
      <c r="AG54" s="4">
        <f t="shared" si="12"/>
        <v>5.8632701072084243</v>
      </c>
      <c r="AH54" s="4">
        <f t="shared" si="12"/>
        <v>5.8877003993217931</v>
      </c>
      <c r="AI54" s="4">
        <f t="shared" si="12"/>
        <v>5.9122324843189675</v>
      </c>
      <c r="AJ54" s="4">
        <f t="shared" si="12"/>
        <v>5.9368667863369629</v>
      </c>
      <c r="AK54" s="4">
        <f t="shared" si="12"/>
        <v>5.9616037312800341</v>
      </c>
      <c r="AL54" s="4">
        <f t="shared" si="12"/>
        <v>5.9864437468270335</v>
      </c>
      <c r="AM54" s="4">
        <f t="shared" si="12"/>
        <v>6.0113872624388129</v>
      </c>
      <c r="AN54" s="4">
        <f t="shared" si="12"/>
        <v>6.0364347093656416</v>
      </c>
      <c r="AO54" s="4">
        <f t="shared" si="12"/>
        <v>5.9902468381149827</v>
      </c>
      <c r="AP54" s="4">
        <f t="shared" si="12"/>
        <v>6.0152061999404616</v>
      </c>
      <c r="AQ54" s="4">
        <f t="shared" si="12"/>
        <v>6.0402695591068802</v>
      </c>
      <c r="AR54" s="4">
        <f t="shared" si="12"/>
        <v>6.0654373489364923</v>
      </c>
      <c r="AS54" s="4">
        <f t="shared" si="12"/>
        <v>6.090710004557061</v>
      </c>
      <c r="AT54" s="4">
        <f t="shared" si="12"/>
        <v>6.1160879629093818</v>
      </c>
      <c r="AU54" s="4">
        <f t="shared" si="12"/>
        <v>6.1415716627548376</v>
      </c>
      <c r="AV54" s="4">
        <f t="shared" si="12"/>
        <v>6.1671615446829824</v>
      </c>
      <c r="AW54" s="4">
        <f t="shared" si="12"/>
        <v>6.1928580511191615</v>
      </c>
      <c r="AX54" s="4">
        <f t="shared" si="12"/>
        <v>6.2186616263321586</v>
      </c>
      <c r="AY54" s="4">
        <f t="shared" si="12"/>
        <v>6.2445727164418754</v>
      </c>
      <c r="AZ54" s="4">
        <f t="shared" si="12"/>
        <v>6.2705917694270505</v>
      </c>
      <c r="BA54" s="4">
        <f t="shared" si="12"/>
        <v>6.2553645129107736</v>
      </c>
      <c r="BB54" s="4">
        <f t="shared" si="12"/>
        <v>6.2814285317145684</v>
      </c>
      <c r="BC54" s="4">
        <f t="shared" si="12"/>
        <v>6.3076011505967129</v>
      </c>
      <c r="BD54" s="4">
        <f t="shared" si="12"/>
        <v>6.3338828220575323</v>
      </c>
      <c r="BE54" s="4">
        <f t="shared" si="12"/>
        <v>6.3602740004827716</v>
      </c>
      <c r="BF54" s="4">
        <f t="shared" si="12"/>
        <v>6.3867751421514498</v>
      </c>
      <c r="BG54" s="4">
        <f t="shared" si="12"/>
        <v>6.4133867052437479</v>
      </c>
      <c r="BH54" s="4">
        <f t="shared" si="12"/>
        <v>6.4401091498489302</v>
      </c>
      <c r="BI54" s="4">
        <f t="shared" si="12"/>
        <v>6.4669429379733003</v>
      </c>
      <c r="BJ54" s="4">
        <f t="shared" si="12"/>
        <v>6.4938885335481897</v>
      </c>
      <c r="BK54" s="4">
        <f t="shared" si="12"/>
        <v>6.520946402437974</v>
      </c>
      <c r="BL54" s="4">
        <f t="shared" si="12"/>
        <v>6.5481170124481318</v>
      </c>
    </row>
    <row r="55" spans="1:64" x14ac:dyDescent="0.35">
      <c r="C55" s="34" t="s">
        <v>7</v>
      </c>
      <c r="D55" s="133">
        <f>D50</f>
        <v>370.45916577246743</v>
      </c>
      <c r="E55" s="133">
        <f t="shared" ref="E55:BL55" si="13">E53-E54</f>
        <v>364.42698805409515</v>
      </c>
      <c r="F55" s="133">
        <f t="shared" si="13"/>
        <v>358.3696762618963</v>
      </c>
      <c r="G55" s="133">
        <f t="shared" si="13"/>
        <v>352.28712567056328</v>
      </c>
      <c r="H55" s="133">
        <f t="shared" si="13"/>
        <v>346.17923111843305</v>
      </c>
      <c r="I55" s="133">
        <f t="shared" si="13"/>
        <v>340.04588700566893</v>
      </c>
      <c r="J55" s="133">
        <f t="shared" si="13"/>
        <v>333.88698729243498</v>
      </c>
      <c r="K55" s="133">
        <f t="shared" si="13"/>
        <v>327.70242549706256</v>
      </c>
      <c r="L55" s="133">
        <f t="shared" si="13"/>
        <v>321.49209469420941</v>
      </c>
      <c r="M55" s="133">
        <f t="shared" si="13"/>
        <v>315.25588751301103</v>
      </c>
      <c r="N55" s="133">
        <f t="shared" si="13"/>
        <v>308.99369613522435</v>
      </c>
      <c r="O55" s="133">
        <f t="shared" si="13"/>
        <v>302.70541229336357</v>
      </c>
      <c r="P55" s="133">
        <f t="shared" si="13"/>
        <v>296.39092726882836</v>
      </c>
      <c r="Q55" s="133">
        <f t="shared" si="13"/>
        <v>290.26477835467068</v>
      </c>
      <c r="R55" s="133">
        <f t="shared" si="13"/>
        <v>284.11310382003734</v>
      </c>
      <c r="S55" s="133">
        <f t="shared" si="13"/>
        <v>277.9357973081764</v>
      </c>
      <c r="T55" s="133">
        <f t="shared" si="13"/>
        <v>271.73275201918267</v>
      </c>
      <c r="U55" s="133">
        <f t="shared" si="13"/>
        <v>265.50386070815148</v>
      </c>
      <c r="V55" s="133">
        <f t="shared" si="13"/>
        <v>259.24901568332433</v>
      </c>
      <c r="W55" s="133">
        <f t="shared" si="13"/>
        <v>252.96810880422706</v>
      </c>
      <c r="X55" s="133">
        <f t="shared" si="13"/>
        <v>246.66103147980022</v>
      </c>
      <c r="Y55" s="133">
        <f t="shared" si="13"/>
        <v>240.3276746665216</v>
      </c>
      <c r="Z55" s="133">
        <f t="shared" si="13"/>
        <v>233.96792886652099</v>
      </c>
      <c r="AA55" s="133">
        <f t="shared" si="13"/>
        <v>227.58168412568705</v>
      </c>
      <c r="AB55" s="133">
        <f t="shared" si="13"/>
        <v>221.1688300317663</v>
      </c>
      <c r="AC55" s="133">
        <f t="shared" si="13"/>
        <v>215.40227158547009</v>
      </c>
      <c r="AD55" s="133">
        <f t="shared" si="13"/>
        <v>209.61168581231431</v>
      </c>
      <c r="AE55" s="133">
        <f t="shared" si="13"/>
        <v>203.79697259843704</v>
      </c>
      <c r="AF55" s="133">
        <f t="shared" si="13"/>
        <v>197.95803141283528</v>
      </c>
      <c r="AG55" s="133">
        <f t="shared" si="13"/>
        <v>192.09476130562686</v>
      </c>
      <c r="AH55" s="133">
        <f t="shared" si="13"/>
        <v>186.20706090630506</v>
      </c>
      <c r="AI55" s="133">
        <f t="shared" si="13"/>
        <v>180.2948284219861</v>
      </c>
      <c r="AJ55" s="133">
        <f t="shared" si="13"/>
        <v>174.35796163564913</v>
      </c>
      <c r="AK55" s="133">
        <f t="shared" si="13"/>
        <v>168.3963579043691</v>
      </c>
      <c r="AL55" s="133">
        <f t="shared" si="13"/>
        <v>162.40991415754206</v>
      </c>
      <c r="AM55" s="133">
        <f t="shared" si="13"/>
        <v>156.39852689510326</v>
      </c>
      <c r="AN55" s="133">
        <f t="shared" si="13"/>
        <v>150.36209218573762</v>
      </c>
      <c r="AO55" s="133">
        <f t="shared" si="13"/>
        <v>144.37184534762264</v>
      </c>
      <c r="AP55" s="133">
        <f t="shared" si="13"/>
        <v>138.35663914768219</v>
      </c>
      <c r="AQ55" s="133">
        <f t="shared" si="13"/>
        <v>132.3163695885753</v>
      </c>
      <c r="AR55" s="133">
        <f t="shared" si="13"/>
        <v>126.2509322396388</v>
      </c>
      <c r="AS55" s="133">
        <f t="shared" si="13"/>
        <v>120.16022223508173</v>
      </c>
      <c r="AT55" s="133">
        <f t="shared" si="13"/>
        <v>114.04413427217236</v>
      </c>
      <c r="AU55" s="133">
        <f t="shared" si="13"/>
        <v>107.90256260941752</v>
      </c>
      <c r="AV55" s="133">
        <f t="shared" si="13"/>
        <v>101.73540106473453</v>
      </c>
      <c r="AW55" s="133">
        <f t="shared" si="13"/>
        <v>95.542543013615372</v>
      </c>
      <c r="AX55" s="133">
        <f t="shared" si="13"/>
        <v>89.323881387283208</v>
      </c>
      <c r="AY55" s="133">
        <f t="shared" si="13"/>
        <v>83.079308670841328</v>
      </c>
      <c r="AZ55" s="133">
        <f t="shared" si="13"/>
        <v>76.808716901414272</v>
      </c>
      <c r="BA55" s="133">
        <f t="shared" si="13"/>
        <v>70.553352388503498</v>
      </c>
      <c r="BB55" s="133">
        <f t="shared" si="13"/>
        <v>64.271923856788931</v>
      </c>
      <c r="BC55" s="133">
        <f t="shared" si="13"/>
        <v>57.96432270619222</v>
      </c>
      <c r="BD55" s="133">
        <f t="shared" si="13"/>
        <v>51.630439884134688</v>
      </c>
      <c r="BE55" s="133">
        <f t="shared" si="13"/>
        <v>45.270165883651913</v>
      </c>
      <c r="BF55" s="133">
        <f t="shared" si="13"/>
        <v>38.883390741500463</v>
      </c>
      <c r="BG55" s="133">
        <f t="shared" si="13"/>
        <v>32.470004036256718</v>
      </c>
      <c r="BH55" s="133">
        <f t="shared" si="13"/>
        <v>26.029894886407789</v>
      </c>
      <c r="BI55" s="133">
        <f t="shared" si="13"/>
        <v>19.562951948434488</v>
      </c>
      <c r="BJ55" s="133">
        <f t="shared" si="13"/>
        <v>13.069063414886298</v>
      </c>
      <c r="BK55" s="133">
        <f t="shared" si="13"/>
        <v>6.5481170124483237</v>
      </c>
      <c r="BL55" s="47">
        <f t="shared" si="13"/>
        <v>1.9184653865522705E-13</v>
      </c>
    </row>
    <row r="56" spans="1:64" x14ac:dyDescent="0.35">
      <c r="C56" s="2" t="s">
        <v>8</v>
      </c>
      <c r="D56" s="4"/>
      <c r="E56" s="4">
        <f t="shared" ref="E56:BL56" si="14">E48*E53</f>
        <v>1.543579857385281</v>
      </c>
      <c r="F56" s="4">
        <f t="shared" si="14"/>
        <v>1.5184457835587297</v>
      </c>
      <c r="G56" s="4">
        <f t="shared" si="14"/>
        <v>1.4932069844245679</v>
      </c>
      <c r="H56" s="4">
        <f t="shared" si="14"/>
        <v>1.4678630236273471</v>
      </c>
      <c r="I56" s="4">
        <f t="shared" si="14"/>
        <v>1.4424134629934711</v>
      </c>
      <c r="J56" s="4">
        <f t="shared" si="14"/>
        <v>1.4168578625236206</v>
      </c>
      <c r="K56" s="4">
        <f t="shared" si="14"/>
        <v>1.3911957803851458</v>
      </c>
      <c r="L56" s="4">
        <f t="shared" si="14"/>
        <v>1.3654267729044274</v>
      </c>
      <c r="M56" s="4">
        <f t="shared" si="14"/>
        <v>1.3395503945592058</v>
      </c>
      <c r="N56" s="4">
        <f t="shared" si="14"/>
        <v>1.3135661979708793</v>
      </c>
      <c r="O56" s="4">
        <f t="shared" si="14"/>
        <v>1.2874737338967681</v>
      </c>
      <c r="P56" s="4">
        <f t="shared" si="14"/>
        <v>1.2612725512223482</v>
      </c>
      <c r="Q56" s="4">
        <f t="shared" si="14"/>
        <v>1.2349621969534514</v>
      </c>
      <c r="R56" s="4">
        <f t="shared" si="14"/>
        <v>1.2094365764777946</v>
      </c>
      <c r="S56" s="4">
        <f t="shared" si="14"/>
        <v>1.1838045992501556</v>
      </c>
      <c r="T56" s="4">
        <f t="shared" si="14"/>
        <v>1.1580658221174016</v>
      </c>
      <c r="U56" s="4">
        <f t="shared" si="14"/>
        <v>1.1322198000799277</v>
      </c>
      <c r="V56" s="4">
        <f t="shared" si="14"/>
        <v>1.1062660862839644</v>
      </c>
      <c r="W56" s="4">
        <f t="shared" si="14"/>
        <v>1.0802042320138514</v>
      </c>
      <c r="X56" s="4">
        <f t="shared" si="14"/>
        <v>1.0540337866842795</v>
      </c>
      <c r="Y56" s="4">
        <f t="shared" si="14"/>
        <v>1.0277542978325009</v>
      </c>
      <c r="Z56" s="4">
        <f t="shared" si="14"/>
        <v>1.0013653111105068</v>
      </c>
      <c r="AA56" s="4">
        <f t="shared" si="14"/>
        <v>0.97486637027717082</v>
      </c>
      <c r="AB56" s="4">
        <f t="shared" si="14"/>
        <v>0.94825701719036271</v>
      </c>
      <c r="AC56" s="4">
        <f t="shared" si="14"/>
        <v>0.92153679179902626</v>
      </c>
      <c r="AD56" s="4">
        <f t="shared" si="14"/>
        <v>0.89750946493945871</v>
      </c>
      <c r="AE56" s="4">
        <f t="shared" si="14"/>
        <v>0.87338202421797628</v>
      </c>
      <c r="AF56" s="4">
        <f t="shared" si="14"/>
        <v>0.84915405249348763</v>
      </c>
      <c r="AG56" s="4">
        <f t="shared" si="14"/>
        <v>0.82482513088681364</v>
      </c>
      <c r="AH56" s="4">
        <f t="shared" si="14"/>
        <v>0.80039483877344519</v>
      </c>
      <c r="AI56" s="4">
        <f t="shared" si="14"/>
        <v>0.77586275377627112</v>
      </c>
      <c r="AJ56" s="4">
        <f t="shared" si="14"/>
        <v>0.75122845175827535</v>
      </c>
      <c r="AK56" s="4">
        <f t="shared" si="14"/>
        <v>0.72649150681520469</v>
      </c>
      <c r="AL56" s="4">
        <f t="shared" si="14"/>
        <v>0.70165149126820459</v>
      </c>
      <c r="AM56" s="4">
        <f t="shared" si="14"/>
        <v>0.67670797565642526</v>
      </c>
      <c r="AN56" s="4">
        <f t="shared" si="14"/>
        <v>0.6516605287295969</v>
      </c>
      <c r="AO56" s="4">
        <f t="shared" si="14"/>
        <v>0.62650871744057346</v>
      </c>
      <c r="AP56" s="4">
        <f t="shared" si="14"/>
        <v>0.60154935561509437</v>
      </c>
      <c r="AQ56" s="4">
        <f t="shared" si="14"/>
        <v>0.57648599644867582</v>
      </c>
      <c r="AR56" s="4">
        <f t="shared" si="14"/>
        <v>0.55131820661906372</v>
      </c>
      <c r="AS56" s="4">
        <f t="shared" si="14"/>
        <v>0.52604555099849504</v>
      </c>
      <c r="AT56" s="4">
        <f t="shared" si="14"/>
        <v>0.50066759264617389</v>
      </c>
      <c r="AU56" s="4">
        <f t="shared" si="14"/>
        <v>0.47518389280071816</v>
      </c>
      <c r="AV56" s="4">
        <f t="shared" si="14"/>
        <v>0.44959401087257295</v>
      </c>
      <c r="AW56" s="4">
        <f t="shared" si="14"/>
        <v>0.4238975044363939</v>
      </c>
      <c r="AX56" s="4">
        <f t="shared" si="14"/>
        <v>0.39809392922339737</v>
      </c>
      <c r="AY56" s="4">
        <f t="shared" si="14"/>
        <v>0.37218283911368005</v>
      </c>
      <c r="AZ56" s="4">
        <f t="shared" si="14"/>
        <v>0.34616378612850551</v>
      </c>
      <c r="BA56" s="4">
        <f t="shared" si="14"/>
        <v>0.32003632042255947</v>
      </c>
      <c r="BB56" s="4">
        <f t="shared" si="14"/>
        <v>0.29397230161876459</v>
      </c>
      <c r="BC56" s="4">
        <f t="shared" si="14"/>
        <v>0.26779968273662053</v>
      </c>
      <c r="BD56" s="4">
        <f t="shared" si="14"/>
        <v>0.24151801127580091</v>
      </c>
      <c r="BE56" s="4">
        <f t="shared" si="14"/>
        <v>0.21512683285056119</v>
      </c>
      <c r="BF56" s="4">
        <f t="shared" si="14"/>
        <v>0.18862569118188297</v>
      </c>
      <c r="BG56" s="4">
        <f t="shared" si="14"/>
        <v>0.16201412808958526</v>
      </c>
      <c r="BH56" s="4">
        <f t="shared" si="14"/>
        <v>0.13529168348440299</v>
      </c>
      <c r="BI56" s="4">
        <f t="shared" si="14"/>
        <v>0.10845789536003245</v>
      </c>
      <c r="BJ56" s="4">
        <f t="shared" si="14"/>
        <v>8.1512299785143696E-2</v>
      </c>
      <c r="BK56" s="4">
        <f t="shared" si="14"/>
        <v>5.4454430895359569E-2</v>
      </c>
      <c r="BL56" s="4">
        <f t="shared" si="14"/>
        <v>2.7283820885201347E-2</v>
      </c>
    </row>
    <row r="58" spans="1:64" s="40" customFormat="1" x14ac:dyDescent="0.35">
      <c r="A58" s="40" t="s">
        <v>422</v>
      </c>
      <c r="D58" s="41"/>
    </row>
    <row r="59" spans="1:64" x14ac:dyDescent="0.35">
      <c r="C59" s="1"/>
      <c r="D59" s="20"/>
      <c r="E59" s="1"/>
    </row>
    <row r="60" spans="1:64" x14ac:dyDescent="0.35">
      <c r="C60" s="2" t="s">
        <v>69</v>
      </c>
      <c r="D60" s="38">
        <v>12</v>
      </c>
      <c r="E60" s="1"/>
      <c r="G60" s="2" t="s">
        <v>155</v>
      </c>
    </row>
    <row r="61" spans="1:64" x14ac:dyDescent="0.35">
      <c r="C61" s="34" t="s">
        <v>70</v>
      </c>
      <c r="D61" s="43">
        <v>6</v>
      </c>
      <c r="E61" s="44" t="str">
        <f>CHOOSE(D61,"Monthly","Every Other Month","Quarterly",,,"Semi Annual",,,,,,"Annual")</f>
        <v>Semi Annual</v>
      </c>
      <c r="G61" s="2" t="s">
        <v>114</v>
      </c>
    </row>
    <row r="62" spans="1:64" x14ac:dyDescent="0.35">
      <c r="C62" s="2" t="s">
        <v>71</v>
      </c>
      <c r="D62" s="4">
        <f>12/D61</f>
        <v>2</v>
      </c>
      <c r="E62" s="1"/>
    </row>
    <row r="63" spans="1:64" x14ac:dyDescent="0.35">
      <c r="D63" s="8"/>
      <c r="E63" s="1"/>
    </row>
    <row r="64" spans="1:64" x14ac:dyDescent="0.35">
      <c r="C64" s="2" t="s">
        <v>474</v>
      </c>
      <c r="D64" s="20"/>
      <c r="E64" s="39">
        <v>1</v>
      </c>
      <c r="F64" s="39">
        <v>2</v>
      </c>
      <c r="G64" s="39">
        <v>3</v>
      </c>
      <c r="H64" s="39">
        <v>4</v>
      </c>
      <c r="I64" s="39">
        <v>5</v>
      </c>
      <c r="J64" s="39">
        <v>6</v>
      </c>
      <c r="K64" s="39">
        <v>7</v>
      </c>
      <c r="L64" s="39">
        <v>8</v>
      </c>
      <c r="M64" s="39">
        <v>9</v>
      </c>
      <c r="N64" s="39">
        <v>10</v>
      </c>
      <c r="O64" s="39">
        <v>11</v>
      </c>
      <c r="P64" s="39">
        <v>12</v>
      </c>
      <c r="Q64" s="39">
        <v>13</v>
      </c>
      <c r="R64" s="39">
        <v>14</v>
      </c>
      <c r="S64" s="39">
        <v>15</v>
      </c>
      <c r="T64" s="39">
        <v>16</v>
      </c>
      <c r="U64" s="39">
        <v>17</v>
      </c>
      <c r="V64" s="39">
        <v>18</v>
      </c>
      <c r="W64" s="39">
        <v>19</v>
      </c>
      <c r="X64" s="39">
        <v>20</v>
      </c>
      <c r="Y64" s="39">
        <v>21</v>
      </c>
      <c r="Z64" s="39">
        <v>22</v>
      </c>
      <c r="AA64" s="39">
        <v>23</v>
      </c>
      <c r="AB64" s="39">
        <v>24</v>
      </c>
      <c r="AC64" s="39">
        <v>25</v>
      </c>
      <c r="AD64" s="39">
        <v>26</v>
      </c>
      <c r="AE64" s="39">
        <v>27</v>
      </c>
      <c r="AF64" s="39">
        <v>28</v>
      </c>
      <c r="AG64" s="39">
        <v>29</v>
      </c>
      <c r="AH64" s="39">
        <v>30</v>
      </c>
      <c r="AI64" s="39">
        <v>31</v>
      </c>
      <c r="AJ64" s="39">
        <v>32</v>
      </c>
      <c r="AK64" s="39">
        <v>33</v>
      </c>
      <c r="AL64" s="39">
        <v>34</v>
      </c>
      <c r="AM64" s="39">
        <v>35</v>
      </c>
      <c r="AN64" s="39">
        <v>36</v>
      </c>
      <c r="AO64" s="39">
        <v>37</v>
      </c>
      <c r="AP64" s="39">
        <v>38</v>
      </c>
      <c r="AQ64" s="39">
        <v>39</v>
      </c>
      <c r="AR64" s="39">
        <v>40</v>
      </c>
      <c r="AS64" s="39">
        <v>41</v>
      </c>
      <c r="AT64" s="39">
        <v>42</v>
      </c>
      <c r="AU64" s="39">
        <v>43</v>
      </c>
      <c r="AV64" s="39">
        <v>44</v>
      </c>
      <c r="AW64" s="39">
        <v>45</v>
      </c>
      <c r="AX64" s="39">
        <v>46</v>
      </c>
      <c r="AY64" s="39">
        <v>47</v>
      </c>
      <c r="AZ64" s="39">
        <v>48</v>
      </c>
      <c r="BA64" s="39">
        <v>49</v>
      </c>
      <c r="BB64" s="39">
        <v>50</v>
      </c>
      <c r="BC64" s="39">
        <v>51</v>
      </c>
      <c r="BD64" s="39">
        <v>52</v>
      </c>
      <c r="BE64" s="39">
        <v>53</v>
      </c>
      <c r="BF64" s="39">
        <v>54</v>
      </c>
      <c r="BG64" s="39">
        <v>55</v>
      </c>
      <c r="BH64" s="39">
        <v>56</v>
      </c>
      <c r="BI64" s="39">
        <v>57</v>
      </c>
      <c r="BJ64" s="39">
        <v>58</v>
      </c>
      <c r="BK64" s="39">
        <v>59</v>
      </c>
      <c r="BL64" s="39">
        <v>60</v>
      </c>
    </row>
    <row r="65" spans="2:64" x14ac:dyDescent="0.35">
      <c r="C65" s="2" t="s">
        <v>429</v>
      </c>
      <c r="E65" s="60"/>
      <c r="F65" s="60"/>
      <c r="G65" s="60"/>
      <c r="H65" s="60"/>
      <c r="I65" s="60"/>
      <c r="J65" s="60"/>
      <c r="K65" s="60"/>
      <c r="L65" s="60"/>
      <c r="M65" s="60"/>
      <c r="N65" s="60"/>
      <c r="O65" s="60"/>
      <c r="P65" s="60"/>
      <c r="Q65" s="60"/>
      <c r="R65" s="60"/>
      <c r="S65" s="60"/>
      <c r="T65" s="60"/>
      <c r="U65" s="60"/>
      <c r="V65" s="60"/>
      <c r="W65" s="60"/>
      <c r="X65" s="60"/>
      <c r="Y65" s="60"/>
      <c r="Z65" s="60"/>
      <c r="AA65" s="60"/>
      <c r="AB65" s="60"/>
      <c r="AC65" s="60"/>
      <c r="AD65" s="60"/>
      <c r="AE65" s="60"/>
      <c r="AF65" s="60"/>
      <c r="AG65" s="60"/>
      <c r="AH65" s="60"/>
      <c r="AI65" s="60"/>
      <c r="AJ65" s="60"/>
      <c r="AK65" s="60"/>
      <c r="AL65" s="60"/>
      <c r="AM65" s="60"/>
      <c r="AN65" s="60"/>
      <c r="AO65" s="60"/>
      <c r="AP65" s="60"/>
      <c r="AQ65" s="60"/>
      <c r="AR65" s="60"/>
      <c r="AS65" s="60"/>
      <c r="AT65" s="60"/>
      <c r="AU65" s="60"/>
      <c r="AV65" s="60"/>
      <c r="AW65" s="60"/>
      <c r="AX65" s="60"/>
      <c r="AY65" s="60"/>
      <c r="AZ65" s="60"/>
      <c r="BA65" s="60"/>
      <c r="BB65" s="60"/>
      <c r="BC65" s="60"/>
      <c r="BD65" s="60"/>
      <c r="BE65" s="60"/>
      <c r="BF65" s="60"/>
      <c r="BG65" s="60"/>
      <c r="BH65" s="60"/>
      <c r="BI65" s="60"/>
      <c r="BJ65" s="60"/>
      <c r="BK65" s="60"/>
      <c r="BL65" s="60"/>
    </row>
    <row r="66" spans="2:64" x14ac:dyDescent="0.35">
      <c r="C66" s="2" t="s">
        <v>29</v>
      </c>
      <c r="D66" s="8">
        <f>D60</f>
        <v>12</v>
      </c>
      <c r="E66" s="60"/>
      <c r="F66" s="60"/>
      <c r="G66" s="60"/>
      <c r="H66" s="60"/>
      <c r="I66" s="60"/>
      <c r="J66" s="60"/>
      <c r="K66" s="60"/>
      <c r="L66" s="60"/>
      <c r="M66" s="60"/>
      <c r="N66" s="60"/>
      <c r="O66" s="60"/>
      <c r="P66" s="60"/>
      <c r="Q66" s="60"/>
      <c r="R66" s="60"/>
      <c r="S66" s="60"/>
      <c r="T66" s="60"/>
      <c r="U66" s="60"/>
      <c r="V66" s="60"/>
      <c r="W66" s="60"/>
      <c r="X66" s="60"/>
      <c r="Y66" s="60"/>
      <c r="Z66" s="60"/>
      <c r="AA66" s="60"/>
      <c r="AB66" s="60"/>
      <c r="AC66" s="60"/>
      <c r="AD66" s="60"/>
      <c r="AE66" s="60"/>
      <c r="AF66" s="60"/>
      <c r="AG66" s="60"/>
      <c r="AH66" s="60"/>
      <c r="AI66" s="60"/>
      <c r="AJ66" s="60"/>
      <c r="AK66" s="60"/>
      <c r="AL66" s="60"/>
      <c r="AM66" s="60"/>
      <c r="AN66" s="60"/>
      <c r="AO66" s="60"/>
      <c r="AP66" s="60"/>
      <c r="AQ66" s="60"/>
      <c r="AR66" s="60"/>
      <c r="AS66" s="60"/>
      <c r="AT66" s="60"/>
      <c r="AU66" s="60"/>
      <c r="AV66" s="60"/>
      <c r="AW66" s="60"/>
      <c r="AX66" s="60"/>
      <c r="AY66" s="60"/>
      <c r="AZ66" s="60"/>
      <c r="BA66" s="60"/>
      <c r="BB66" s="60"/>
      <c r="BC66" s="60"/>
      <c r="BD66" s="60"/>
      <c r="BE66" s="60"/>
      <c r="BF66" s="60"/>
      <c r="BG66" s="60"/>
      <c r="BH66" s="60"/>
      <c r="BI66" s="60"/>
      <c r="BJ66" s="60"/>
      <c r="BK66" s="60"/>
      <c r="BL66" s="60"/>
    </row>
    <row r="67" spans="2:64" x14ac:dyDescent="0.35">
      <c r="C67" s="2" t="s">
        <v>430</v>
      </c>
      <c r="D67" s="20"/>
      <c r="E67" s="60"/>
      <c r="F67" s="60"/>
      <c r="G67" s="60"/>
      <c r="H67" s="60"/>
      <c r="I67" s="60"/>
      <c r="J67" s="60"/>
      <c r="K67" s="60"/>
      <c r="L67" s="60"/>
      <c r="M67" s="60"/>
      <c r="N67" s="60"/>
      <c r="O67" s="60"/>
      <c r="P67" s="60"/>
      <c r="Q67" s="60"/>
      <c r="R67" s="60"/>
      <c r="S67" s="60"/>
      <c r="T67" s="60"/>
      <c r="U67" s="60"/>
      <c r="V67" s="60"/>
      <c r="W67" s="60"/>
      <c r="X67" s="60"/>
      <c r="Y67" s="60"/>
      <c r="Z67" s="60"/>
      <c r="AA67" s="60"/>
      <c r="AB67" s="60"/>
      <c r="AC67" s="60"/>
      <c r="AD67" s="60"/>
      <c r="AE67" s="60"/>
      <c r="AF67" s="60"/>
      <c r="AG67" s="60"/>
      <c r="AH67" s="60"/>
      <c r="AI67" s="60"/>
      <c r="AJ67" s="60"/>
      <c r="AK67" s="60"/>
      <c r="AL67" s="60"/>
      <c r="AM67" s="60"/>
      <c r="AN67" s="60"/>
      <c r="AO67" s="60"/>
      <c r="AP67" s="60"/>
      <c r="AQ67" s="60"/>
      <c r="AR67" s="60"/>
      <c r="AS67" s="60"/>
      <c r="AT67" s="60"/>
      <c r="AU67" s="60"/>
      <c r="AV67" s="60"/>
      <c r="AW67" s="60"/>
      <c r="AX67" s="60"/>
      <c r="AY67" s="60"/>
      <c r="AZ67" s="60"/>
      <c r="BA67" s="60"/>
      <c r="BB67" s="60"/>
      <c r="BC67" s="60"/>
      <c r="BD67" s="60"/>
      <c r="BE67" s="60"/>
      <c r="BF67" s="60"/>
      <c r="BG67" s="60"/>
      <c r="BH67" s="60"/>
      <c r="BI67" s="60"/>
      <c r="BJ67" s="60"/>
      <c r="BK67" s="60"/>
      <c r="BL67" s="60"/>
    </row>
    <row r="68" spans="2:64" x14ac:dyDescent="0.35">
      <c r="E68" s="60"/>
      <c r="F68" s="60"/>
      <c r="G68" s="60"/>
      <c r="H68" s="60"/>
      <c r="I68" s="60"/>
      <c r="J68" s="60"/>
      <c r="K68" s="60"/>
      <c r="L68" s="60"/>
      <c r="M68" s="60"/>
      <c r="N68" s="60"/>
      <c r="O68" s="60"/>
      <c r="P68" s="60"/>
      <c r="Q68" s="60"/>
      <c r="R68" s="60"/>
      <c r="S68" s="60"/>
      <c r="T68" s="60"/>
      <c r="U68" s="60"/>
      <c r="V68" s="60"/>
      <c r="W68" s="60"/>
      <c r="X68" s="60"/>
      <c r="Y68" s="60"/>
      <c r="Z68" s="60"/>
      <c r="AA68" s="60"/>
      <c r="AB68" s="60"/>
      <c r="AC68" s="60"/>
      <c r="AD68" s="60"/>
      <c r="AE68" s="60"/>
      <c r="AF68" s="60"/>
      <c r="AG68" s="60"/>
      <c r="AH68" s="60"/>
      <c r="AI68" s="60"/>
      <c r="AJ68" s="60"/>
      <c r="AK68" s="60"/>
      <c r="AL68" s="60"/>
      <c r="AM68" s="60"/>
      <c r="AN68" s="60"/>
      <c r="AO68" s="60"/>
      <c r="AP68" s="60"/>
      <c r="AQ68" s="60"/>
      <c r="AR68" s="60"/>
      <c r="AS68" s="60"/>
      <c r="AT68" s="60"/>
      <c r="AU68" s="60"/>
      <c r="AV68" s="60"/>
      <c r="AW68" s="60"/>
      <c r="AX68" s="60"/>
      <c r="AY68" s="60"/>
      <c r="AZ68" s="60"/>
      <c r="BA68" s="60"/>
      <c r="BB68" s="60"/>
      <c r="BC68" s="60"/>
      <c r="BD68" s="60"/>
      <c r="BE68" s="60"/>
      <c r="BF68" s="60"/>
      <c r="BG68" s="60"/>
      <c r="BH68" s="60"/>
      <c r="BI68" s="60"/>
      <c r="BJ68" s="60"/>
      <c r="BK68" s="60"/>
      <c r="BL68" s="60"/>
    </row>
    <row r="69" spans="2:64" x14ac:dyDescent="0.35">
      <c r="B69" s="1" t="s">
        <v>461</v>
      </c>
      <c r="E69" s="60"/>
      <c r="F69" s="60"/>
      <c r="G69" s="60"/>
      <c r="H69" s="60"/>
      <c r="I69" s="60"/>
      <c r="J69" s="60"/>
      <c r="K69" s="60"/>
      <c r="L69" s="60"/>
      <c r="M69" s="60"/>
      <c r="N69" s="60"/>
      <c r="O69" s="60"/>
      <c r="P69" s="60"/>
      <c r="Q69" s="60"/>
      <c r="R69" s="60"/>
      <c r="S69" s="60"/>
      <c r="T69" s="60"/>
      <c r="U69" s="60"/>
      <c r="V69" s="60"/>
      <c r="W69" s="60"/>
      <c r="X69" s="60"/>
      <c r="Y69" s="60"/>
      <c r="Z69" s="60"/>
      <c r="AA69" s="60"/>
      <c r="AB69" s="60"/>
      <c r="AC69" s="60"/>
      <c r="AD69" s="60"/>
      <c r="AE69" s="60"/>
      <c r="AF69" s="60"/>
      <c r="AG69" s="60"/>
      <c r="AH69" s="60"/>
      <c r="AI69" s="60"/>
      <c r="AJ69" s="60"/>
      <c r="AK69" s="60"/>
      <c r="AL69" s="60"/>
      <c r="AM69" s="60"/>
      <c r="AN69" s="60"/>
      <c r="AO69" s="60"/>
      <c r="AP69" s="60"/>
      <c r="AQ69" s="60"/>
      <c r="AR69" s="60"/>
      <c r="AS69" s="60"/>
      <c r="AT69" s="60"/>
      <c r="AU69" s="60"/>
      <c r="AV69" s="60"/>
      <c r="AW69" s="60"/>
      <c r="AX69" s="60"/>
      <c r="AY69" s="60"/>
      <c r="AZ69" s="60"/>
      <c r="BA69" s="60"/>
      <c r="BB69" s="60"/>
      <c r="BC69" s="60"/>
      <c r="BD69" s="60"/>
      <c r="BE69" s="60"/>
      <c r="BF69" s="60"/>
      <c r="BG69" s="60"/>
      <c r="BH69" s="60"/>
      <c r="BI69" s="60"/>
      <c r="BJ69" s="60"/>
      <c r="BK69" s="60"/>
      <c r="BL69" s="60"/>
    </row>
    <row r="70" spans="2:64" x14ac:dyDescent="0.35">
      <c r="C70" s="2" t="s">
        <v>462</v>
      </c>
      <c r="E70" s="138"/>
      <c r="F70" s="138"/>
      <c r="G70" s="138"/>
      <c r="H70" s="138"/>
      <c r="I70" s="138"/>
      <c r="J70" s="138"/>
      <c r="K70" s="138"/>
      <c r="L70" s="138"/>
      <c r="M70" s="138"/>
      <c r="N70" s="138"/>
      <c r="O70" s="138"/>
      <c r="P70" s="138"/>
      <c r="Q70" s="138"/>
      <c r="R70" s="138"/>
      <c r="S70" s="138"/>
      <c r="T70" s="138"/>
      <c r="U70" s="138"/>
      <c r="V70" s="138"/>
      <c r="W70" s="138"/>
      <c r="X70" s="138"/>
      <c r="Y70" s="138"/>
      <c r="Z70" s="138"/>
      <c r="AA70" s="138"/>
      <c r="AB70" s="138"/>
      <c r="AC70" s="138"/>
      <c r="AD70" s="138"/>
      <c r="AE70" s="138"/>
      <c r="AF70" s="138"/>
      <c r="AG70" s="138"/>
      <c r="AH70" s="138"/>
      <c r="AI70" s="138"/>
      <c r="AJ70" s="138"/>
      <c r="AK70" s="138"/>
      <c r="AL70" s="138"/>
      <c r="AM70" s="138"/>
      <c r="AN70" s="138"/>
      <c r="AO70" s="138"/>
      <c r="AP70" s="138"/>
      <c r="AQ70" s="138"/>
      <c r="AR70" s="138"/>
      <c r="AS70" s="138"/>
      <c r="AT70" s="138"/>
      <c r="AU70" s="138"/>
      <c r="AV70" s="138"/>
      <c r="AW70" s="138"/>
      <c r="AX70" s="138"/>
      <c r="AY70" s="138"/>
      <c r="AZ70" s="138"/>
      <c r="BA70" s="138"/>
      <c r="BB70" s="138"/>
      <c r="BC70" s="138"/>
      <c r="BD70" s="138"/>
      <c r="BE70" s="138"/>
      <c r="BF70" s="138"/>
      <c r="BG70" s="138"/>
      <c r="BH70" s="138"/>
      <c r="BI70" s="138"/>
      <c r="BJ70" s="138"/>
      <c r="BK70" s="138"/>
      <c r="BL70" s="138"/>
    </row>
    <row r="71" spans="2:64" x14ac:dyDescent="0.35">
      <c r="C71" s="2" t="s">
        <v>463</v>
      </c>
      <c r="D71" s="4">
        <f>D62</f>
        <v>2</v>
      </c>
      <c r="E71" s="61"/>
      <c r="F71" s="61"/>
      <c r="G71" s="61"/>
      <c r="H71" s="61"/>
      <c r="I71" s="61"/>
      <c r="J71" s="61"/>
      <c r="K71" s="61"/>
      <c r="L71" s="61"/>
      <c r="M71" s="61"/>
      <c r="N71" s="61"/>
      <c r="O71" s="61"/>
      <c r="P71" s="61"/>
      <c r="Q71" s="61"/>
      <c r="R71" s="61"/>
      <c r="S71" s="61"/>
      <c r="T71" s="61"/>
      <c r="U71" s="61"/>
      <c r="V71" s="61"/>
      <c r="W71" s="61"/>
      <c r="X71" s="61"/>
      <c r="Y71" s="61"/>
      <c r="Z71" s="61"/>
      <c r="AA71" s="61"/>
      <c r="AB71" s="61"/>
      <c r="AC71" s="61"/>
      <c r="AD71" s="61"/>
      <c r="AE71" s="61"/>
      <c r="AF71" s="61"/>
      <c r="AG71" s="61"/>
      <c r="AH71" s="61"/>
      <c r="AI71" s="61"/>
      <c r="AJ71" s="61"/>
      <c r="AK71" s="61"/>
      <c r="AL71" s="61"/>
      <c r="AM71" s="61"/>
      <c r="AN71" s="61"/>
      <c r="AO71" s="61"/>
      <c r="AP71" s="61"/>
      <c r="AQ71" s="61"/>
      <c r="AR71" s="61"/>
      <c r="AS71" s="61"/>
      <c r="AT71" s="61"/>
      <c r="AU71" s="61"/>
      <c r="AV71" s="61"/>
      <c r="AW71" s="61"/>
      <c r="AX71" s="61"/>
      <c r="AY71" s="61"/>
      <c r="AZ71" s="61"/>
      <c r="BA71" s="61"/>
      <c r="BB71" s="61"/>
      <c r="BC71" s="61"/>
      <c r="BD71" s="61"/>
      <c r="BE71" s="61"/>
      <c r="BF71" s="61"/>
      <c r="BG71" s="61"/>
      <c r="BH71" s="61"/>
      <c r="BI71" s="61"/>
      <c r="BJ71" s="61"/>
      <c r="BK71" s="61"/>
      <c r="BL71" s="61"/>
    </row>
    <row r="72" spans="2:64" x14ac:dyDescent="0.35">
      <c r="C72" s="2" t="s">
        <v>464</v>
      </c>
      <c r="E72" s="138"/>
      <c r="F72" s="138"/>
      <c r="G72" s="138"/>
      <c r="H72" s="138"/>
      <c r="I72" s="138"/>
      <c r="J72" s="138"/>
      <c r="K72" s="138"/>
      <c r="L72" s="138"/>
      <c r="M72" s="138"/>
      <c r="N72" s="138"/>
      <c r="O72" s="138"/>
      <c r="P72" s="138"/>
      <c r="Q72" s="138"/>
      <c r="R72" s="138"/>
      <c r="S72" s="138"/>
      <c r="T72" s="138"/>
      <c r="U72" s="138"/>
      <c r="V72" s="138"/>
      <c r="W72" s="138"/>
      <c r="X72" s="138"/>
      <c r="Y72" s="138"/>
      <c r="Z72" s="138"/>
      <c r="AA72" s="138"/>
      <c r="AB72" s="138"/>
      <c r="AC72" s="138"/>
      <c r="AD72" s="138"/>
      <c r="AE72" s="138"/>
      <c r="AF72" s="138"/>
      <c r="AG72" s="138"/>
      <c r="AH72" s="138"/>
      <c r="AI72" s="138"/>
      <c r="AJ72" s="138"/>
      <c r="AK72" s="138"/>
      <c r="AL72" s="138"/>
      <c r="AM72" s="138"/>
      <c r="AN72" s="138"/>
      <c r="AO72" s="138"/>
      <c r="AP72" s="138"/>
      <c r="AQ72" s="138"/>
      <c r="AR72" s="138"/>
      <c r="AS72" s="138"/>
      <c r="AT72" s="138"/>
      <c r="AU72" s="138"/>
      <c r="AV72" s="138"/>
      <c r="AW72" s="138"/>
      <c r="AX72" s="138"/>
      <c r="AY72" s="138"/>
      <c r="AZ72" s="138"/>
      <c r="BA72" s="138"/>
      <c r="BB72" s="138"/>
      <c r="BC72" s="138"/>
      <c r="BD72" s="138"/>
      <c r="BE72" s="138"/>
      <c r="BF72" s="138"/>
      <c r="BG72" s="138"/>
      <c r="BH72" s="138"/>
      <c r="BI72" s="138"/>
      <c r="BJ72" s="138"/>
      <c r="BK72" s="138"/>
      <c r="BL72" s="138"/>
    </row>
    <row r="73" spans="2:64" x14ac:dyDescent="0.35">
      <c r="C73" s="2" t="s">
        <v>465</v>
      </c>
      <c r="D73" s="4">
        <f>D61</f>
        <v>6</v>
      </c>
      <c r="E73" s="61"/>
      <c r="F73" s="61"/>
      <c r="G73" s="61"/>
      <c r="H73" s="61"/>
      <c r="I73" s="61"/>
      <c r="J73" s="61"/>
      <c r="K73" s="61"/>
      <c r="L73" s="61"/>
      <c r="M73" s="61"/>
      <c r="N73" s="61"/>
      <c r="O73" s="61"/>
      <c r="P73" s="61"/>
      <c r="Q73" s="61"/>
      <c r="R73" s="61"/>
      <c r="S73" s="61"/>
      <c r="T73" s="61"/>
      <c r="U73" s="61"/>
      <c r="V73" s="61"/>
      <c r="W73" s="61"/>
      <c r="X73" s="61"/>
      <c r="Y73" s="61"/>
      <c r="Z73" s="61"/>
      <c r="AA73" s="61"/>
      <c r="AB73" s="61"/>
      <c r="AC73" s="61"/>
      <c r="AD73" s="61"/>
      <c r="AE73" s="61"/>
      <c r="AF73" s="61"/>
      <c r="AG73" s="61"/>
      <c r="AH73" s="61"/>
      <c r="AI73" s="61"/>
      <c r="AJ73" s="61"/>
      <c r="AK73" s="61"/>
      <c r="AL73" s="61"/>
      <c r="AM73" s="61"/>
      <c r="AN73" s="61"/>
      <c r="AO73" s="61"/>
      <c r="AP73" s="61"/>
      <c r="AQ73" s="61"/>
      <c r="AR73" s="61"/>
      <c r="AS73" s="61"/>
      <c r="AT73" s="61"/>
      <c r="AU73" s="61"/>
      <c r="AV73" s="61"/>
      <c r="AW73" s="61"/>
      <c r="AX73" s="61"/>
      <c r="AY73" s="61"/>
      <c r="AZ73" s="61"/>
      <c r="BA73" s="61"/>
      <c r="BB73" s="61"/>
      <c r="BC73" s="61"/>
      <c r="BD73" s="61"/>
      <c r="BE73" s="61"/>
      <c r="BF73" s="61"/>
      <c r="BG73" s="61"/>
      <c r="BH73" s="61"/>
      <c r="BI73" s="61"/>
      <c r="BJ73" s="61"/>
      <c r="BK73" s="61"/>
      <c r="BL73" s="61"/>
    </row>
    <row r="74" spans="2:64" x14ac:dyDescent="0.35">
      <c r="C74" s="2" t="s">
        <v>113</v>
      </c>
      <c r="E74" s="139"/>
      <c r="F74" s="139"/>
      <c r="G74" s="139"/>
      <c r="H74" s="139"/>
      <c r="I74" s="139"/>
      <c r="J74" s="139"/>
      <c r="K74" s="139"/>
      <c r="L74" s="139"/>
      <c r="M74" s="139"/>
      <c r="N74" s="139"/>
      <c r="O74" s="139"/>
      <c r="P74" s="139"/>
      <c r="Q74" s="139"/>
      <c r="R74" s="139"/>
      <c r="S74" s="139"/>
      <c r="T74" s="139"/>
      <c r="U74" s="139"/>
      <c r="V74" s="139"/>
      <c r="W74" s="139"/>
      <c r="X74" s="139"/>
      <c r="Y74" s="139"/>
      <c r="Z74" s="139"/>
      <c r="AA74" s="139"/>
      <c r="AB74" s="139"/>
      <c r="AC74" s="139"/>
      <c r="AD74" s="139"/>
      <c r="AE74" s="139"/>
      <c r="AF74" s="139"/>
      <c r="AG74" s="139"/>
      <c r="AH74" s="139"/>
      <c r="AI74" s="139"/>
      <c r="AJ74" s="139"/>
      <c r="AK74" s="139"/>
      <c r="AL74" s="139"/>
      <c r="AM74" s="139"/>
      <c r="AN74" s="139"/>
      <c r="AO74" s="139"/>
      <c r="AP74" s="139"/>
      <c r="AQ74" s="139"/>
      <c r="AR74" s="139"/>
      <c r="AS74" s="139"/>
      <c r="AT74" s="139"/>
      <c r="AU74" s="139"/>
      <c r="AV74" s="139"/>
      <c r="AW74" s="139"/>
      <c r="AX74" s="139"/>
      <c r="AY74" s="139"/>
      <c r="AZ74" s="139"/>
      <c r="BA74" s="139"/>
      <c r="BB74" s="139"/>
      <c r="BC74" s="139"/>
      <c r="BD74" s="139"/>
      <c r="BE74" s="139"/>
      <c r="BF74" s="139"/>
      <c r="BG74" s="139"/>
      <c r="BH74" s="139"/>
      <c r="BI74" s="139"/>
      <c r="BJ74" s="139"/>
      <c r="BK74" s="139"/>
      <c r="BL74" s="139"/>
    </row>
    <row r="75" spans="2:64" x14ac:dyDescent="0.35">
      <c r="E75" s="139"/>
      <c r="F75" s="139"/>
      <c r="G75" s="139"/>
      <c r="H75" s="139"/>
      <c r="I75" s="139"/>
      <c r="J75" s="139"/>
      <c r="K75" s="139"/>
      <c r="L75" s="139"/>
      <c r="M75" s="139"/>
      <c r="N75" s="139"/>
      <c r="O75" s="139"/>
      <c r="P75" s="139"/>
      <c r="Q75" s="139"/>
      <c r="R75" s="139"/>
      <c r="S75" s="139"/>
      <c r="T75" s="139"/>
      <c r="U75" s="139"/>
      <c r="V75" s="139"/>
      <c r="W75" s="139"/>
      <c r="X75" s="139"/>
      <c r="Y75" s="139"/>
      <c r="Z75" s="139"/>
      <c r="AA75" s="139"/>
      <c r="AB75" s="139"/>
      <c r="AC75" s="139"/>
      <c r="AD75" s="139"/>
      <c r="AE75" s="139"/>
      <c r="AF75" s="139"/>
      <c r="AG75" s="139"/>
      <c r="AH75" s="139"/>
      <c r="AI75" s="139"/>
      <c r="AJ75" s="139"/>
      <c r="AK75" s="139"/>
      <c r="AL75" s="139"/>
      <c r="AM75" s="139"/>
      <c r="AN75" s="139"/>
      <c r="AO75" s="139"/>
      <c r="AP75" s="139"/>
      <c r="AQ75" s="139"/>
      <c r="AR75" s="139"/>
      <c r="AS75" s="139"/>
      <c r="AT75" s="139"/>
      <c r="AU75" s="139"/>
      <c r="AV75" s="139"/>
      <c r="AW75" s="139"/>
      <c r="AX75" s="139"/>
      <c r="AY75" s="139"/>
      <c r="AZ75" s="139"/>
      <c r="BA75" s="139"/>
      <c r="BB75" s="139"/>
      <c r="BC75" s="139"/>
      <c r="BD75" s="139"/>
      <c r="BE75" s="139"/>
      <c r="BF75" s="139"/>
      <c r="BG75" s="139"/>
      <c r="BH75" s="139"/>
      <c r="BI75" s="139"/>
      <c r="BJ75" s="139"/>
      <c r="BK75" s="139"/>
      <c r="BL75" s="139"/>
    </row>
    <row r="76" spans="2:64" x14ac:dyDescent="0.35">
      <c r="C76" s="34" t="s">
        <v>113</v>
      </c>
      <c r="D76" s="57"/>
      <c r="E76" s="140"/>
      <c r="F76" s="140"/>
      <c r="G76" s="140"/>
      <c r="H76" s="140"/>
      <c r="I76" s="140"/>
      <c r="J76" s="140"/>
      <c r="K76" s="140"/>
      <c r="L76" s="140"/>
      <c r="M76" s="140"/>
      <c r="N76" s="140"/>
      <c r="O76" s="140"/>
      <c r="P76" s="140"/>
      <c r="Q76" s="140"/>
      <c r="R76" s="140"/>
      <c r="S76" s="140"/>
      <c r="T76" s="140"/>
      <c r="U76" s="140"/>
      <c r="V76" s="140"/>
      <c r="W76" s="140"/>
      <c r="X76" s="140"/>
      <c r="Y76" s="140"/>
      <c r="Z76" s="140"/>
      <c r="AA76" s="140"/>
      <c r="AB76" s="140"/>
      <c r="AC76" s="140"/>
      <c r="AD76" s="140"/>
      <c r="AE76" s="140"/>
      <c r="AF76" s="140"/>
      <c r="AG76" s="140"/>
      <c r="AH76" s="140"/>
      <c r="AI76" s="140"/>
      <c r="AJ76" s="140"/>
      <c r="AK76" s="140"/>
      <c r="AL76" s="140"/>
      <c r="AM76" s="140"/>
      <c r="AN76" s="140"/>
      <c r="AO76" s="140"/>
      <c r="AP76" s="140"/>
      <c r="AQ76" s="140"/>
      <c r="AR76" s="140"/>
      <c r="AS76" s="140"/>
      <c r="AT76" s="140"/>
      <c r="AU76" s="140"/>
      <c r="AV76" s="140"/>
      <c r="AW76" s="140"/>
      <c r="AX76" s="140"/>
      <c r="AY76" s="140"/>
      <c r="AZ76" s="140"/>
      <c r="BA76" s="140"/>
      <c r="BB76" s="140"/>
      <c r="BC76" s="140"/>
      <c r="BD76" s="140"/>
      <c r="BE76" s="140"/>
      <c r="BF76" s="140"/>
      <c r="BG76" s="140"/>
      <c r="BH76" s="140"/>
      <c r="BI76" s="140"/>
      <c r="BJ76" s="140"/>
      <c r="BK76" s="140"/>
      <c r="BL76" s="141"/>
    </row>
    <row r="77" spans="2:64" x14ac:dyDescent="0.35">
      <c r="E77" s="139"/>
      <c r="F77" s="139"/>
      <c r="G77" s="139"/>
      <c r="H77" s="139"/>
      <c r="I77" s="139"/>
      <c r="J77" s="139"/>
      <c r="K77" s="139"/>
      <c r="L77" s="139"/>
      <c r="M77" s="139"/>
      <c r="N77" s="139"/>
      <c r="O77" s="139"/>
      <c r="P77" s="139"/>
      <c r="Q77" s="139"/>
      <c r="R77" s="139"/>
      <c r="S77" s="139"/>
      <c r="T77" s="139"/>
      <c r="U77" s="139"/>
      <c r="V77" s="139"/>
      <c r="W77" s="139"/>
      <c r="X77" s="139"/>
      <c r="Y77" s="139"/>
      <c r="Z77" s="139"/>
      <c r="AA77" s="139"/>
      <c r="AB77" s="139"/>
      <c r="AC77" s="139"/>
      <c r="AD77" s="139"/>
      <c r="AE77" s="139"/>
      <c r="AF77" s="139"/>
      <c r="AG77" s="139"/>
      <c r="AH77" s="139"/>
      <c r="AI77" s="139"/>
      <c r="AJ77" s="139"/>
      <c r="AK77" s="139"/>
      <c r="AL77" s="139"/>
      <c r="AM77" s="139"/>
      <c r="AN77" s="139"/>
      <c r="AO77" s="139"/>
      <c r="AP77" s="139"/>
      <c r="AQ77" s="139"/>
      <c r="AR77" s="139"/>
      <c r="AS77" s="139"/>
      <c r="AT77" s="139"/>
      <c r="AU77" s="139"/>
      <c r="AV77" s="139"/>
      <c r="AW77" s="139"/>
      <c r="AX77" s="139"/>
      <c r="AY77" s="139"/>
      <c r="AZ77" s="139"/>
      <c r="BA77" s="139"/>
      <c r="BB77" s="139"/>
      <c r="BC77" s="139"/>
      <c r="BD77" s="139"/>
      <c r="BE77" s="139"/>
      <c r="BF77" s="139"/>
      <c r="BG77" s="139"/>
      <c r="BH77" s="139"/>
      <c r="BI77" s="139"/>
      <c r="BJ77" s="139"/>
      <c r="BK77" s="139"/>
      <c r="BL77" s="139"/>
    </row>
    <row r="78" spans="2:64" x14ac:dyDescent="0.35">
      <c r="C78" s="2" t="s">
        <v>459</v>
      </c>
      <c r="E78" s="139" t="e">
        <f t="shared" ref="E78:AJ78" si="15">LOOKUP(E67,6:6,12:12)/$D$60</f>
        <v>#N/A</v>
      </c>
      <c r="F78" s="139" t="e">
        <f t="shared" si="15"/>
        <v>#N/A</v>
      </c>
      <c r="G78" s="139" t="e">
        <f t="shared" si="15"/>
        <v>#N/A</v>
      </c>
      <c r="H78" s="139" t="e">
        <f t="shared" si="15"/>
        <v>#N/A</v>
      </c>
      <c r="I78" s="139" t="e">
        <f t="shared" si="15"/>
        <v>#N/A</v>
      </c>
      <c r="J78" s="139" t="e">
        <f t="shared" si="15"/>
        <v>#N/A</v>
      </c>
      <c r="K78" s="139" t="e">
        <f t="shared" si="15"/>
        <v>#N/A</v>
      </c>
      <c r="L78" s="139" t="e">
        <f t="shared" si="15"/>
        <v>#N/A</v>
      </c>
      <c r="M78" s="139" t="e">
        <f t="shared" si="15"/>
        <v>#N/A</v>
      </c>
      <c r="N78" s="139" t="e">
        <f t="shared" si="15"/>
        <v>#N/A</v>
      </c>
      <c r="O78" s="139" t="e">
        <f t="shared" si="15"/>
        <v>#N/A</v>
      </c>
      <c r="P78" s="139" t="e">
        <f t="shared" si="15"/>
        <v>#N/A</v>
      </c>
      <c r="Q78" s="139" t="e">
        <f t="shared" si="15"/>
        <v>#N/A</v>
      </c>
      <c r="R78" s="139" t="e">
        <f t="shared" si="15"/>
        <v>#N/A</v>
      </c>
      <c r="S78" s="139" t="e">
        <f t="shared" si="15"/>
        <v>#N/A</v>
      </c>
      <c r="T78" s="139" t="e">
        <f t="shared" si="15"/>
        <v>#N/A</v>
      </c>
      <c r="U78" s="139" t="e">
        <f t="shared" si="15"/>
        <v>#N/A</v>
      </c>
      <c r="V78" s="139" t="e">
        <f t="shared" si="15"/>
        <v>#N/A</v>
      </c>
      <c r="W78" s="139" t="e">
        <f t="shared" si="15"/>
        <v>#N/A</v>
      </c>
      <c r="X78" s="139" t="e">
        <f t="shared" si="15"/>
        <v>#N/A</v>
      </c>
      <c r="Y78" s="139" t="e">
        <f t="shared" si="15"/>
        <v>#N/A</v>
      </c>
      <c r="Z78" s="139" t="e">
        <f t="shared" si="15"/>
        <v>#N/A</v>
      </c>
      <c r="AA78" s="139" t="e">
        <f t="shared" si="15"/>
        <v>#N/A</v>
      </c>
      <c r="AB78" s="139" t="e">
        <f t="shared" si="15"/>
        <v>#N/A</v>
      </c>
      <c r="AC78" s="139" t="e">
        <f t="shared" si="15"/>
        <v>#N/A</v>
      </c>
      <c r="AD78" s="139" t="e">
        <f t="shared" si="15"/>
        <v>#N/A</v>
      </c>
      <c r="AE78" s="139" t="e">
        <f t="shared" si="15"/>
        <v>#N/A</v>
      </c>
      <c r="AF78" s="139" t="e">
        <f t="shared" si="15"/>
        <v>#N/A</v>
      </c>
      <c r="AG78" s="139" t="e">
        <f t="shared" si="15"/>
        <v>#N/A</v>
      </c>
      <c r="AH78" s="139" t="e">
        <f t="shared" si="15"/>
        <v>#N/A</v>
      </c>
      <c r="AI78" s="139" t="e">
        <f t="shared" si="15"/>
        <v>#N/A</v>
      </c>
      <c r="AJ78" s="139" t="e">
        <f t="shared" si="15"/>
        <v>#N/A</v>
      </c>
      <c r="AK78" s="139" t="e">
        <f t="shared" ref="AK78:BL78" si="16">LOOKUP(AK67,6:6,12:12)/$D$60</f>
        <v>#N/A</v>
      </c>
      <c r="AL78" s="139" t="e">
        <f t="shared" si="16"/>
        <v>#N/A</v>
      </c>
      <c r="AM78" s="139" t="e">
        <f t="shared" si="16"/>
        <v>#N/A</v>
      </c>
      <c r="AN78" s="139" t="e">
        <f t="shared" si="16"/>
        <v>#N/A</v>
      </c>
      <c r="AO78" s="139" t="e">
        <f t="shared" si="16"/>
        <v>#N/A</v>
      </c>
      <c r="AP78" s="139" t="e">
        <f t="shared" si="16"/>
        <v>#N/A</v>
      </c>
      <c r="AQ78" s="139" t="e">
        <f t="shared" si="16"/>
        <v>#N/A</v>
      </c>
      <c r="AR78" s="139" t="e">
        <f t="shared" si="16"/>
        <v>#N/A</v>
      </c>
      <c r="AS78" s="139" t="e">
        <f t="shared" si="16"/>
        <v>#N/A</v>
      </c>
      <c r="AT78" s="139" t="e">
        <f t="shared" si="16"/>
        <v>#N/A</v>
      </c>
      <c r="AU78" s="139" t="e">
        <f t="shared" si="16"/>
        <v>#N/A</v>
      </c>
      <c r="AV78" s="139" t="e">
        <f t="shared" si="16"/>
        <v>#N/A</v>
      </c>
      <c r="AW78" s="139" t="e">
        <f t="shared" si="16"/>
        <v>#N/A</v>
      </c>
      <c r="AX78" s="139" t="e">
        <f t="shared" si="16"/>
        <v>#N/A</v>
      </c>
      <c r="AY78" s="139" t="e">
        <f t="shared" si="16"/>
        <v>#N/A</v>
      </c>
      <c r="AZ78" s="139" t="e">
        <f t="shared" si="16"/>
        <v>#N/A</v>
      </c>
      <c r="BA78" s="139" t="e">
        <f t="shared" si="16"/>
        <v>#N/A</v>
      </c>
      <c r="BB78" s="139" t="e">
        <f t="shared" si="16"/>
        <v>#N/A</v>
      </c>
      <c r="BC78" s="139" t="e">
        <f t="shared" si="16"/>
        <v>#N/A</v>
      </c>
      <c r="BD78" s="139" t="e">
        <f t="shared" si="16"/>
        <v>#N/A</v>
      </c>
      <c r="BE78" s="139" t="e">
        <f t="shared" si="16"/>
        <v>#N/A</v>
      </c>
      <c r="BF78" s="139" t="e">
        <f t="shared" si="16"/>
        <v>#N/A</v>
      </c>
      <c r="BG78" s="139" t="e">
        <f t="shared" si="16"/>
        <v>#N/A</v>
      </c>
      <c r="BH78" s="139" t="e">
        <f t="shared" si="16"/>
        <v>#N/A</v>
      </c>
      <c r="BI78" s="139" t="e">
        <f t="shared" si="16"/>
        <v>#N/A</v>
      </c>
      <c r="BJ78" s="139" t="e">
        <f t="shared" si="16"/>
        <v>#N/A</v>
      </c>
      <c r="BK78" s="139" t="e">
        <f t="shared" si="16"/>
        <v>#N/A</v>
      </c>
      <c r="BL78" s="139" t="e">
        <f t="shared" si="16"/>
        <v>#N/A</v>
      </c>
    </row>
    <row r="79" spans="2:64" x14ac:dyDescent="0.35">
      <c r="E79" s="60"/>
      <c r="F79" s="60"/>
      <c r="G79" s="60"/>
      <c r="H79" s="60"/>
      <c r="I79" s="60"/>
      <c r="J79" s="60"/>
      <c r="K79" s="60"/>
      <c r="L79" s="60"/>
      <c r="M79" s="60"/>
      <c r="N79" s="60"/>
      <c r="O79" s="60"/>
      <c r="P79" s="60"/>
      <c r="Q79" s="60"/>
      <c r="R79" s="60"/>
      <c r="S79" s="60"/>
      <c r="T79" s="60"/>
      <c r="U79" s="60"/>
      <c r="V79" s="60"/>
      <c r="W79" s="60"/>
      <c r="X79" s="60"/>
      <c r="Y79" s="60"/>
      <c r="Z79" s="60"/>
      <c r="AA79" s="60"/>
      <c r="AB79" s="60"/>
      <c r="AC79" s="60"/>
      <c r="AD79" s="60"/>
      <c r="AE79" s="60"/>
      <c r="AF79" s="60"/>
      <c r="AG79" s="60"/>
      <c r="AH79" s="60"/>
      <c r="AI79" s="60"/>
      <c r="AJ79" s="60"/>
      <c r="AK79" s="60"/>
      <c r="AL79" s="60"/>
      <c r="AM79" s="60"/>
      <c r="AN79" s="60"/>
      <c r="AO79" s="60"/>
      <c r="AP79" s="60"/>
      <c r="AQ79" s="60"/>
      <c r="AR79" s="60"/>
      <c r="AS79" s="60"/>
      <c r="AT79" s="60"/>
      <c r="AU79" s="60"/>
      <c r="AV79" s="60"/>
      <c r="AW79" s="60"/>
      <c r="AX79" s="60"/>
      <c r="AY79" s="60"/>
      <c r="AZ79" s="60"/>
      <c r="BA79" s="60"/>
      <c r="BB79" s="60"/>
      <c r="BC79" s="60"/>
      <c r="BD79" s="60"/>
      <c r="BE79" s="60"/>
      <c r="BF79" s="60"/>
      <c r="BG79" s="60"/>
      <c r="BH79" s="60"/>
      <c r="BI79" s="60"/>
      <c r="BJ79" s="60"/>
      <c r="BK79" s="60"/>
      <c r="BL79" s="60"/>
    </row>
    <row r="80" spans="2:64" x14ac:dyDescent="0.35">
      <c r="C80" s="27" t="s">
        <v>431</v>
      </c>
      <c r="D80" s="42">
        <f>(1+$E$12/D62)^(1/D61)-1</f>
        <v>4.1239154651442345E-3</v>
      </c>
      <c r="E80" s="60"/>
      <c r="F80" s="60" t="str">
        <f ca="1">_xlfn.FORMULATEXT(D80)</f>
        <v>=(1+$E$12/D62)^(1/D61)-1</v>
      </c>
      <c r="G80" s="60"/>
      <c r="H80" s="60"/>
      <c r="I80" s="60"/>
      <c r="J80" s="123" t="s">
        <v>112</v>
      </c>
      <c r="K80" s="60"/>
      <c r="L80" s="60"/>
      <c r="M80" s="60"/>
      <c r="N80" s="60"/>
      <c r="O80" s="60"/>
      <c r="P80" s="60"/>
      <c r="Q80" s="60"/>
      <c r="R80" s="60"/>
      <c r="S80" s="60"/>
      <c r="T80" s="60"/>
      <c r="U80" s="60"/>
      <c r="V80" s="60"/>
      <c r="W80" s="60"/>
      <c r="X80" s="60"/>
      <c r="Y80" s="60"/>
      <c r="Z80" s="60"/>
      <c r="AA80" s="60"/>
      <c r="AB80" s="60"/>
      <c r="AC80" s="60"/>
      <c r="AD80" s="60"/>
      <c r="AE80" s="60"/>
      <c r="AF80" s="60"/>
      <c r="AG80" s="60"/>
      <c r="AH80" s="60"/>
      <c r="AI80" s="60"/>
      <c r="AJ80" s="60"/>
      <c r="AK80" s="60"/>
      <c r="AL80" s="60"/>
      <c r="AM80" s="60"/>
      <c r="AN80" s="60"/>
      <c r="AO80" s="60"/>
      <c r="AP80" s="60"/>
      <c r="AQ80" s="60"/>
      <c r="AR80" s="60"/>
      <c r="AS80" s="60"/>
      <c r="AT80" s="60"/>
      <c r="AU80" s="60"/>
      <c r="AV80" s="60"/>
      <c r="AW80" s="60"/>
      <c r="AX80" s="60"/>
      <c r="AY80" s="60"/>
      <c r="AZ80" s="60"/>
      <c r="BA80" s="60"/>
      <c r="BB80" s="60"/>
      <c r="BC80" s="60"/>
      <c r="BD80" s="60"/>
      <c r="BE80" s="60"/>
      <c r="BF80" s="60"/>
      <c r="BG80" s="60"/>
      <c r="BH80" s="60"/>
      <c r="BI80" s="60"/>
      <c r="BJ80" s="60"/>
      <c r="BK80" s="60"/>
      <c r="BL80" s="60"/>
    </row>
    <row r="81" spans="2:64" x14ac:dyDescent="0.35">
      <c r="D81" s="12"/>
      <c r="E81" s="60"/>
      <c r="F81" s="60"/>
      <c r="G81" s="60"/>
      <c r="H81" s="60"/>
      <c r="I81" s="60"/>
      <c r="J81" s="60"/>
      <c r="K81" s="60"/>
      <c r="L81" s="60"/>
      <c r="M81" s="60"/>
      <c r="N81" s="60"/>
      <c r="O81" s="60"/>
      <c r="P81" s="60"/>
      <c r="Q81" s="60"/>
      <c r="R81" s="60"/>
      <c r="S81" s="60"/>
      <c r="T81" s="60"/>
      <c r="U81" s="60"/>
      <c r="V81" s="60"/>
      <c r="W81" s="60"/>
      <c r="X81" s="60"/>
      <c r="Y81" s="60"/>
      <c r="Z81" s="60"/>
      <c r="AA81" s="60"/>
      <c r="AB81" s="60"/>
      <c r="AC81" s="60"/>
      <c r="AD81" s="60"/>
      <c r="AE81" s="60"/>
      <c r="AF81" s="60"/>
      <c r="AG81" s="60"/>
      <c r="AH81" s="60"/>
      <c r="AI81" s="60"/>
      <c r="AJ81" s="60"/>
      <c r="AK81" s="60"/>
      <c r="AL81" s="60"/>
      <c r="AM81" s="60"/>
      <c r="AN81" s="60"/>
      <c r="AO81" s="60"/>
      <c r="AP81" s="60"/>
      <c r="AQ81" s="60"/>
      <c r="AR81" s="60"/>
      <c r="AS81" s="60"/>
      <c r="AT81" s="60"/>
      <c r="AU81" s="60"/>
      <c r="AV81" s="60"/>
      <c r="AW81" s="60"/>
      <c r="AX81" s="60"/>
      <c r="AY81" s="60"/>
      <c r="AZ81" s="60"/>
      <c r="BA81" s="60"/>
      <c r="BB81" s="60"/>
      <c r="BC81" s="60"/>
      <c r="BD81" s="60"/>
      <c r="BE81" s="60"/>
      <c r="BF81" s="60"/>
      <c r="BG81" s="60"/>
      <c r="BH81" s="60"/>
      <c r="BI81" s="60"/>
      <c r="BJ81" s="60"/>
      <c r="BK81" s="60"/>
      <c r="BL81" s="60"/>
    </row>
    <row r="82" spans="2:64" x14ac:dyDescent="0.35">
      <c r="C82" s="2" t="s">
        <v>66</v>
      </c>
      <c r="D82" s="12"/>
      <c r="E82" s="61" t="e">
        <f t="shared" ref="E82:AJ82" si="17">LOOKUP(E67,6:6,9:9)/$D$60</f>
        <v>#N/A</v>
      </c>
      <c r="F82" s="61" t="e">
        <f t="shared" si="17"/>
        <v>#N/A</v>
      </c>
      <c r="G82" s="61" t="e">
        <f t="shared" si="17"/>
        <v>#N/A</v>
      </c>
      <c r="H82" s="61" t="e">
        <f t="shared" si="17"/>
        <v>#N/A</v>
      </c>
      <c r="I82" s="61" t="e">
        <f t="shared" si="17"/>
        <v>#N/A</v>
      </c>
      <c r="J82" s="61" t="e">
        <f t="shared" si="17"/>
        <v>#N/A</v>
      </c>
      <c r="K82" s="61" t="e">
        <f t="shared" si="17"/>
        <v>#N/A</v>
      </c>
      <c r="L82" s="61" t="e">
        <f t="shared" si="17"/>
        <v>#N/A</v>
      </c>
      <c r="M82" s="61" t="e">
        <f t="shared" si="17"/>
        <v>#N/A</v>
      </c>
      <c r="N82" s="61" t="e">
        <f t="shared" si="17"/>
        <v>#N/A</v>
      </c>
      <c r="O82" s="61" t="e">
        <f t="shared" si="17"/>
        <v>#N/A</v>
      </c>
      <c r="P82" s="61" t="e">
        <f t="shared" si="17"/>
        <v>#N/A</v>
      </c>
      <c r="Q82" s="61" t="e">
        <f t="shared" si="17"/>
        <v>#N/A</v>
      </c>
      <c r="R82" s="61" t="e">
        <f t="shared" si="17"/>
        <v>#N/A</v>
      </c>
      <c r="S82" s="61" t="e">
        <f t="shared" si="17"/>
        <v>#N/A</v>
      </c>
      <c r="T82" s="61" t="e">
        <f t="shared" si="17"/>
        <v>#N/A</v>
      </c>
      <c r="U82" s="61" t="e">
        <f t="shared" si="17"/>
        <v>#N/A</v>
      </c>
      <c r="V82" s="61" t="e">
        <f t="shared" si="17"/>
        <v>#N/A</v>
      </c>
      <c r="W82" s="61" t="e">
        <f t="shared" si="17"/>
        <v>#N/A</v>
      </c>
      <c r="X82" s="61" t="e">
        <f t="shared" si="17"/>
        <v>#N/A</v>
      </c>
      <c r="Y82" s="61" t="e">
        <f t="shared" si="17"/>
        <v>#N/A</v>
      </c>
      <c r="Z82" s="61" t="e">
        <f t="shared" si="17"/>
        <v>#N/A</v>
      </c>
      <c r="AA82" s="61" t="e">
        <f t="shared" si="17"/>
        <v>#N/A</v>
      </c>
      <c r="AB82" s="61" t="e">
        <f t="shared" si="17"/>
        <v>#N/A</v>
      </c>
      <c r="AC82" s="61" t="e">
        <f t="shared" si="17"/>
        <v>#N/A</v>
      </c>
      <c r="AD82" s="61" t="e">
        <f t="shared" si="17"/>
        <v>#N/A</v>
      </c>
      <c r="AE82" s="61" t="e">
        <f t="shared" si="17"/>
        <v>#N/A</v>
      </c>
      <c r="AF82" s="61" t="e">
        <f t="shared" si="17"/>
        <v>#N/A</v>
      </c>
      <c r="AG82" s="61" t="e">
        <f t="shared" si="17"/>
        <v>#N/A</v>
      </c>
      <c r="AH82" s="61" t="e">
        <f t="shared" si="17"/>
        <v>#N/A</v>
      </c>
      <c r="AI82" s="61" t="e">
        <f t="shared" si="17"/>
        <v>#N/A</v>
      </c>
      <c r="AJ82" s="61" t="e">
        <f t="shared" si="17"/>
        <v>#N/A</v>
      </c>
      <c r="AK82" s="61" t="e">
        <f t="shared" ref="AK82:BL82" si="18">LOOKUP(AK67,6:6,9:9)/$D$60</f>
        <v>#N/A</v>
      </c>
      <c r="AL82" s="61" t="e">
        <f t="shared" si="18"/>
        <v>#N/A</v>
      </c>
      <c r="AM82" s="61" t="e">
        <f t="shared" si="18"/>
        <v>#N/A</v>
      </c>
      <c r="AN82" s="61" t="e">
        <f t="shared" si="18"/>
        <v>#N/A</v>
      </c>
      <c r="AO82" s="61" t="e">
        <f t="shared" si="18"/>
        <v>#N/A</v>
      </c>
      <c r="AP82" s="61" t="e">
        <f t="shared" si="18"/>
        <v>#N/A</v>
      </c>
      <c r="AQ82" s="61" t="e">
        <f t="shared" si="18"/>
        <v>#N/A</v>
      </c>
      <c r="AR82" s="61" t="e">
        <f t="shared" si="18"/>
        <v>#N/A</v>
      </c>
      <c r="AS82" s="61" t="e">
        <f t="shared" si="18"/>
        <v>#N/A</v>
      </c>
      <c r="AT82" s="61" t="e">
        <f t="shared" si="18"/>
        <v>#N/A</v>
      </c>
      <c r="AU82" s="61" t="e">
        <f t="shared" si="18"/>
        <v>#N/A</v>
      </c>
      <c r="AV82" s="61" t="e">
        <f t="shared" si="18"/>
        <v>#N/A</v>
      </c>
      <c r="AW82" s="61" t="e">
        <f t="shared" si="18"/>
        <v>#N/A</v>
      </c>
      <c r="AX82" s="61" t="e">
        <f t="shared" si="18"/>
        <v>#N/A</v>
      </c>
      <c r="AY82" s="61" t="e">
        <f t="shared" si="18"/>
        <v>#N/A</v>
      </c>
      <c r="AZ82" s="61" t="e">
        <f t="shared" si="18"/>
        <v>#N/A</v>
      </c>
      <c r="BA82" s="61" t="e">
        <f t="shared" si="18"/>
        <v>#N/A</v>
      </c>
      <c r="BB82" s="61" t="e">
        <f t="shared" si="18"/>
        <v>#N/A</v>
      </c>
      <c r="BC82" s="61" t="e">
        <f t="shared" si="18"/>
        <v>#N/A</v>
      </c>
      <c r="BD82" s="61" t="e">
        <f t="shared" si="18"/>
        <v>#N/A</v>
      </c>
      <c r="BE82" s="61" t="e">
        <f t="shared" si="18"/>
        <v>#N/A</v>
      </c>
      <c r="BF82" s="61" t="e">
        <f t="shared" si="18"/>
        <v>#N/A</v>
      </c>
      <c r="BG82" s="61" t="e">
        <f t="shared" si="18"/>
        <v>#N/A</v>
      </c>
      <c r="BH82" s="61" t="e">
        <f t="shared" si="18"/>
        <v>#N/A</v>
      </c>
      <c r="BI82" s="61" t="e">
        <f t="shared" si="18"/>
        <v>#N/A</v>
      </c>
      <c r="BJ82" s="61" t="e">
        <f t="shared" si="18"/>
        <v>#N/A</v>
      </c>
      <c r="BK82" s="61" t="e">
        <f t="shared" si="18"/>
        <v>#N/A</v>
      </c>
      <c r="BL82" s="61" t="e">
        <f t="shared" si="18"/>
        <v>#N/A</v>
      </c>
    </row>
    <row r="83" spans="2:64" x14ac:dyDescent="0.35">
      <c r="C83" s="2" t="s">
        <v>1</v>
      </c>
      <c r="D83" s="12"/>
      <c r="E83" s="61" t="e">
        <f t="shared" ref="E83:AJ83" si="19">LOOKUP(E67,6:6,10:10)</f>
        <v>#N/A</v>
      </c>
      <c r="F83" s="61" t="e">
        <f t="shared" si="19"/>
        <v>#N/A</v>
      </c>
      <c r="G83" s="61" t="e">
        <f t="shared" si="19"/>
        <v>#N/A</v>
      </c>
      <c r="H83" s="61" t="e">
        <f t="shared" si="19"/>
        <v>#N/A</v>
      </c>
      <c r="I83" s="61" t="e">
        <f t="shared" si="19"/>
        <v>#N/A</v>
      </c>
      <c r="J83" s="61" t="e">
        <f t="shared" si="19"/>
        <v>#N/A</v>
      </c>
      <c r="K83" s="61" t="e">
        <f t="shared" si="19"/>
        <v>#N/A</v>
      </c>
      <c r="L83" s="61" t="e">
        <f t="shared" si="19"/>
        <v>#N/A</v>
      </c>
      <c r="M83" s="61" t="e">
        <f t="shared" si="19"/>
        <v>#N/A</v>
      </c>
      <c r="N83" s="61" t="e">
        <f t="shared" si="19"/>
        <v>#N/A</v>
      </c>
      <c r="O83" s="61" t="e">
        <f t="shared" si="19"/>
        <v>#N/A</v>
      </c>
      <c r="P83" s="61" t="e">
        <f t="shared" si="19"/>
        <v>#N/A</v>
      </c>
      <c r="Q83" s="61" t="e">
        <f t="shared" si="19"/>
        <v>#N/A</v>
      </c>
      <c r="R83" s="61" t="e">
        <f t="shared" si="19"/>
        <v>#N/A</v>
      </c>
      <c r="S83" s="61" t="e">
        <f t="shared" si="19"/>
        <v>#N/A</v>
      </c>
      <c r="T83" s="61" t="e">
        <f t="shared" si="19"/>
        <v>#N/A</v>
      </c>
      <c r="U83" s="61" t="e">
        <f t="shared" si="19"/>
        <v>#N/A</v>
      </c>
      <c r="V83" s="61" t="e">
        <f t="shared" si="19"/>
        <v>#N/A</v>
      </c>
      <c r="W83" s="61" t="e">
        <f t="shared" si="19"/>
        <v>#N/A</v>
      </c>
      <c r="X83" s="61" t="e">
        <f t="shared" si="19"/>
        <v>#N/A</v>
      </c>
      <c r="Y83" s="61" t="e">
        <f t="shared" si="19"/>
        <v>#N/A</v>
      </c>
      <c r="Z83" s="61" t="e">
        <f t="shared" si="19"/>
        <v>#N/A</v>
      </c>
      <c r="AA83" s="61" t="e">
        <f t="shared" si="19"/>
        <v>#N/A</v>
      </c>
      <c r="AB83" s="61" t="e">
        <f t="shared" si="19"/>
        <v>#N/A</v>
      </c>
      <c r="AC83" s="61" t="e">
        <f t="shared" si="19"/>
        <v>#N/A</v>
      </c>
      <c r="AD83" s="61" t="e">
        <f t="shared" si="19"/>
        <v>#N/A</v>
      </c>
      <c r="AE83" s="61" t="e">
        <f t="shared" si="19"/>
        <v>#N/A</v>
      </c>
      <c r="AF83" s="61" t="e">
        <f t="shared" si="19"/>
        <v>#N/A</v>
      </c>
      <c r="AG83" s="61" t="e">
        <f t="shared" si="19"/>
        <v>#N/A</v>
      </c>
      <c r="AH83" s="61" t="e">
        <f t="shared" si="19"/>
        <v>#N/A</v>
      </c>
      <c r="AI83" s="61" t="e">
        <f t="shared" si="19"/>
        <v>#N/A</v>
      </c>
      <c r="AJ83" s="61" t="e">
        <f t="shared" si="19"/>
        <v>#N/A</v>
      </c>
      <c r="AK83" s="61" t="e">
        <f t="shared" ref="AK83:BL83" si="20">LOOKUP(AK67,6:6,10:10)</f>
        <v>#N/A</v>
      </c>
      <c r="AL83" s="61" t="e">
        <f t="shared" si="20"/>
        <v>#N/A</v>
      </c>
      <c r="AM83" s="61" t="e">
        <f t="shared" si="20"/>
        <v>#N/A</v>
      </c>
      <c r="AN83" s="61" t="e">
        <f t="shared" si="20"/>
        <v>#N/A</v>
      </c>
      <c r="AO83" s="61" t="e">
        <f t="shared" si="20"/>
        <v>#N/A</v>
      </c>
      <c r="AP83" s="61" t="e">
        <f t="shared" si="20"/>
        <v>#N/A</v>
      </c>
      <c r="AQ83" s="61" t="e">
        <f t="shared" si="20"/>
        <v>#N/A</v>
      </c>
      <c r="AR83" s="61" t="e">
        <f t="shared" si="20"/>
        <v>#N/A</v>
      </c>
      <c r="AS83" s="61" t="e">
        <f t="shared" si="20"/>
        <v>#N/A</v>
      </c>
      <c r="AT83" s="61" t="e">
        <f t="shared" si="20"/>
        <v>#N/A</v>
      </c>
      <c r="AU83" s="61" t="e">
        <f t="shared" si="20"/>
        <v>#N/A</v>
      </c>
      <c r="AV83" s="61" t="e">
        <f t="shared" si="20"/>
        <v>#N/A</v>
      </c>
      <c r="AW83" s="61" t="e">
        <f t="shared" si="20"/>
        <v>#N/A</v>
      </c>
      <c r="AX83" s="61" t="e">
        <f t="shared" si="20"/>
        <v>#N/A</v>
      </c>
      <c r="AY83" s="61" t="e">
        <f t="shared" si="20"/>
        <v>#N/A</v>
      </c>
      <c r="AZ83" s="61" t="e">
        <f t="shared" si="20"/>
        <v>#N/A</v>
      </c>
      <c r="BA83" s="61" t="e">
        <f t="shared" si="20"/>
        <v>#N/A</v>
      </c>
      <c r="BB83" s="61" t="e">
        <f t="shared" si="20"/>
        <v>#N/A</v>
      </c>
      <c r="BC83" s="61" t="e">
        <f t="shared" si="20"/>
        <v>#N/A</v>
      </c>
      <c r="BD83" s="61" t="e">
        <f t="shared" si="20"/>
        <v>#N/A</v>
      </c>
      <c r="BE83" s="61" t="e">
        <f t="shared" si="20"/>
        <v>#N/A</v>
      </c>
      <c r="BF83" s="61" t="e">
        <f t="shared" si="20"/>
        <v>#N/A</v>
      </c>
      <c r="BG83" s="61" t="e">
        <f t="shared" si="20"/>
        <v>#N/A</v>
      </c>
      <c r="BH83" s="61" t="e">
        <f t="shared" si="20"/>
        <v>#N/A</v>
      </c>
      <c r="BI83" s="61" t="e">
        <f t="shared" si="20"/>
        <v>#N/A</v>
      </c>
      <c r="BJ83" s="61" t="e">
        <f t="shared" si="20"/>
        <v>#N/A</v>
      </c>
      <c r="BK83" s="61" t="e">
        <f t="shared" si="20"/>
        <v>#N/A</v>
      </c>
      <c r="BL83" s="61" t="e">
        <f t="shared" si="20"/>
        <v>#N/A</v>
      </c>
    </row>
    <row r="84" spans="2:64" x14ac:dyDescent="0.35">
      <c r="C84" s="2" t="s">
        <v>3</v>
      </c>
      <c r="D84" s="12"/>
      <c r="E84" s="61" t="e">
        <f t="shared" ref="E84:BL84" si="21">E82/E83</f>
        <v>#N/A</v>
      </c>
      <c r="F84" s="61" t="e">
        <f t="shared" si="21"/>
        <v>#N/A</v>
      </c>
      <c r="G84" s="61" t="e">
        <f t="shared" si="21"/>
        <v>#N/A</v>
      </c>
      <c r="H84" s="61" t="e">
        <f t="shared" si="21"/>
        <v>#N/A</v>
      </c>
      <c r="I84" s="61" t="e">
        <f t="shared" si="21"/>
        <v>#N/A</v>
      </c>
      <c r="J84" s="61" t="e">
        <f t="shared" si="21"/>
        <v>#N/A</v>
      </c>
      <c r="K84" s="61" t="e">
        <f t="shared" si="21"/>
        <v>#N/A</v>
      </c>
      <c r="L84" s="61" t="e">
        <f t="shared" si="21"/>
        <v>#N/A</v>
      </c>
      <c r="M84" s="61" t="e">
        <f t="shared" si="21"/>
        <v>#N/A</v>
      </c>
      <c r="N84" s="61" t="e">
        <f t="shared" si="21"/>
        <v>#N/A</v>
      </c>
      <c r="O84" s="61" t="e">
        <f t="shared" si="21"/>
        <v>#N/A</v>
      </c>
      <c r="P84" s="61" t="e">
        <f t="shared" si="21"/>
        <v>#N/A</v>
      </c>
      <c r="Q84" s="61" t="e">
        <f t="shared" si="21"/>
        <v>#N/A</v>
      </c>
      <c r="R84" s="61" t="e">
        <f t="shared" si="21"/>
        <v>#N/A</v>
      </c>
      <c r="S84" s="61" t="e">
        <f t="shared" si="21"/>
        <v>#N/A</v>
      </c>
      <c r="T84" s="61" t="e">
        <f t="shared" si="21"/>
        <v>#N/A</v>
      </c>
      <c r="U84" s="61" t="e">
        <f t="shared" si="21"/>
        <v>#N/A</v>
      </c>
      <c r="V84" s="61" t="e">
        <f t="shared" si="21"/>
        <v>#N/A</v>
      </c>
      <c r="W84" s="61" t="e">
        <f t="shared" si="21"/>
        <v>#N/A</v>
      </c>
      <c r="X84" s="61" t="e">
        <f t="shared" si="21"/>
        <v>#N/A</v>
      </c>
      <c r="Y84" s="61" t="e">
        <f t="shared" si="21"/>
        <v>#N/A</v>
      </c>
      <c r="Z84" s="61" t="e">
        <f t="shared" si="21"/>
        <v>#N/A</v>
      </c>
      <c r="AA84" s="61" t="e">
        <f t="shared" si="21"/>
        <v>#N/A</v>
      </c>
      <c r="AB84" s="61" t="e">
        <f t="shared" si="21"/>
        <v>#N/A</v>
      </c>
      <c r="AC84" s="61" t="e">
        <f t="shared" si="21"/>
        <v>#N/A</v>
      </c>
      <c r="AD84" s="61" t="e">
        <f t="shared" si="21"/>
        <v>#N/A</v>
      </c>
      <c r="AE84" s="61" t="e">
        <f t="shared" si="21"/>
        <v>#N/A</v>
      </c>
      <c r="AF84" s="61" t="e">
        <f t="shared" si="21"/>
        <v>#N/A</v>
      </c>
      <c r="AG84" s="61" t="e">
        <f t="shared" si="21"/>
        <v>#N/A</v>
      </c>
      <c r="AH84" s="61" t="e">
        <f t="shared" si="21"/>
        <v>#N/A</v>
      </c>
      <c r="AI84" s="61" t="e">
        <f t="shared" si="21"/>
        <v>#N/A</v>
      </c>
      <c r="AJ84" s="61" t="e">
        <f t="shared" si="21"/>
        <v>#N/A</v>
      </c>
      <c r="AK84" s="61" t="e">
        <f t="shared" si="21"/>
        <v>#N/A</v>
      </c>
      <c r="AL84" s="61" t="e">
        <f t="shared" si="21"/>
        <v>#N/A</v>
      </c>
      <c r="AM84" s="61" t="e">
        <f t="shared" si="21"/>
        <v>#N/A</v>
      </c>
      <c r="AN84" s="61" t="e">
        <f t="shared" si="21"/>
        <v>#N/A</v>
      </c>
      <c r="AO84" s="61" t="e">
        <f t="shared" si="21"/>
        <v>#N/A</v>
      </c>
      <c r="AP84" s="61" t="e">
        <f t="shared" si="21"/>
        <v>#N/A</v>
      </c>
      <c r="AQ84" s="61" t="e">
        <f t="shared" si="21"/>
        <v>#N/A</v>
      </c>
      <c r="AR84" s="61" t="e">
        <f t="shared" si="21"/>
        <v>#N/A</v>
      </c>
      <c r="AS84" s="61" t="e">
        <f t="shared" si="21"/>
        <v>#N/A</v>
      </c>
      <c r="AT84" s="61" t="e">
        <f t="shared" si="21"/>
        <v>#N/A</v>
      </c>
      <c r="AU84" s="61" t="e">
        <f t="shared" si="21"/>
        <v>#N/A</v>
      </c>
      <c r="AV84" s="61" t="e">
        <f t="shared" si="21"/>
        <v>#N/A</v>
      </c>
      <c r="AW84" s="61" t="e">
        <f t="shared" si="21"/>
        <v>#N/A</v>
      </c>
      <c r="AX84" s="61" t="e">
        <f t="shared" si="21"/>
        <v>#N/A</v>
      </c>
      <c r="AY84" s="61" t="e">
        <f t="shared" si="21"/>
        <v>#N/A</v>
      </c>
      <c r="AZ84" s="61" t="e">
        <f t="shared" si="21"/>
        <v>#N/A</v>
      </c>
      <c r="BA84" s="61" t="e">
        <f t="shared" si="21"/>
        <v>#N/A</v>
      </c>
      <c r="BB84" s="61" t="e">
        <f t="shared" si="21"/>
        <v>#N/A</v>
      </c>
      <c r="BC84" s="61" t="e">
        <f t="shared" si="21"/>
        <v>#N/A</v>
      </c>
      <c r="BD84" s="61" t="e">
        <f t="shared" si="21"/>
        <v>#N/A</v>
      </c>
      <c r="BE84" s="61" t="e">
        <f t="shared" si="21"/>
        <v>#N/A</v>
      </c>
      <c r="BF84" s="61" t="e">
        <f t="shared" si="21"/>
        <v>#N/A</v>
      </c>
      <c r="BG84" s="61" t="e">
        <f t="shared" si="21"/>
        <v>#N/A</v>
      </c>
      <c r="BH84" s="61" t="e">
        <f t="shared" si="21"/>
        <v>#N/A</v>
      </c>
      <c r="BI84" s="61" t="e">
        <f t="shared" si="21"/>
        <v>#N/A</v>
      </c>
      <c r="BJ84" s="61" t="e">
        <f t="shared" si="21"/>
        <v>#N/A</v>
      </c>
      <c r="BK84" s="61" t="e">
        <f t="shared" si="21"/>
        <v>#N/A</v>
      </c>
      <c r="BL84" s="61" t="e">
        <f t="shared" si="21"/>
        <v>#N/A</v>
      </c>
    </row>
    <row r="85" spans="2:64" x14ac:dyDescent="0.35">
      <c r="C85" s="2" t="s">
        <v>477</v>
      </c>
      <c r="D85" s="12"/>
      <c r="E85" s="61" t="e">
        <f t="shared" ref="E85:BL85" si="22">E84*$D$61</f>
        <v>#N/A</v>
      </c>
      <c r="F85" s="61" t="e">
        <f t="shared" si="22"/>
        <v>#N/A</v>
      </c>
      <c r="G85" s="61" t="e">
        <f t="shared" si="22"/>
        <v>#N/A</v>
      </c>
      <c r="H85" s="61" t="e">
        <f t="shared" si="22"/>
        <v>#N/A</v>
      </c>
      <c r="I85" s="61" t="e">
        <f t="shared" si="22"/>
        <v>#N/A</v>
      </c>
      <c r="J85" s="61" t="e">
        <f t="shared" si="22"/>
        <v>#N/A</v>
      </c>
      <c r="K85" s="61" t="e">
        <f t="shared" si="22"/>
        <v>#N/A</v>
      </c>
      <c r="L85" s="61" t="e">
        <f t="shared" si="22"/>
        <v>#N/A</v>
      </c>
      <c r="M85" s="61" t="e">
        <f t="shared" si="22"/>
        <v>#N/A</v>
      </c>
      <c r="N85" s="61" t="e">
        <f t="shared" si="22"/>
        <v>#N/A</v>
      </c>
      <c r="O85" s="61" t="e">
        <f t="shared" si="22"/>
        <v>#N/A</v>
      </c>
      <c r="P85" s="61" t="e">
        <f t="shared" si="22"/>
        <v>#N/A</v>
      </c>
      <c r="Q85" s="61" t="e">
        <f t="shared" si="22"/>
        <v>#N/A</v>
      </c>
      <c r="R85" s="61" t="e">
        <f t="shared" si="22"/>
        <v>#N/A</v>
      </c>
      <c r="S85" s="61" t="e">
        <f t="shared" si="22"/>
        <v>#N/A</v>
      </c>
      <c r="T85" s="61" t="e">
        <f t="shared" si="22"/>
        <v>#N/A</v>
      </c>
      <c r="U85" s="61" t="e">
        <f t="shared" si="22"/>
        <v>#N/A</v>
      </c>
      <c r="V85" s="61" t="e">
        <f t="shared" si="22"/>
        <v>#N/A</v>
      </c>
      <c r="W85" s="61" t="e">
        <f t="shared" si="22"/>
        <v>#N/A</v>
      </c>
      <c r="X85" s="61" t="e">
        <f t="shared" si="22"/>
        <v>#N/A</v>
      </c>
      <c r="Y85" s="61" t="e">
        <f t="shared" si="22"/>
        <v>#N/A</v>
      </c>
      <c r="Z85" s="61" t="e">
        <f t="shared" si="22"/>
        <v>#N/A</v>
      </c>
      <c r="AA85" s="61" t="e">
        <f t="shared" si="22"/>
        <v>#N/A</v>
      </c>
      <c r="AB85" s="61" t="e">
        <f t="shared" si="22"/>
        <v>#N/A</v>
      </c>
      <c r="AC85" s="61" t="e">
        <f t="shared" si="22"/>
        <v>#N/A</v>
      </c>
      <c r="AD85" s="61" t="e">
        <f t="shared" si="22"/>
        <v>#N/A</v>
      </c>
      <c r="AE85" s="61" t="e">
        <f t="shared" si="22"/>
        <v>#N/A</v>
      </c>
      <c r="AF85" s="61" t="e">
        <f t="shared" si="22"/>
        <v>#N/A</v>
      </c>
      <c r="AG85" s="61" t="e">
        <f t="shared" si="22"/>
        <v>#N/A</v>
      </c>
      <c r="AH85" s="61" t="e">
        <f t="shared" si="22"/>
        <v>#N/A</v>
      </c>
      <c r="AI85" s="61" t="e">
        <f t="shared" si="22"/>
        <v>#N/A</v>
      </c>
      <c r="AJ85" s="61" t="e">
        <f t="shared" si="22"/>
        <v>#N/A</v>
      </c>
      <c r="AK85" s="61" t="e">
        <f t="shared" si="22"/>
        <v>#N/A</v>
      </c>
      <c r="AL85" s="61" t="e">
        <f t="shared" si="22"/>
        <v>#N/A</v>
      </c>
      <c r="AM85" s="61" t="e">
        <f t="shared" si="22"/>
        <v>#N/A</v>
      </c>
      <c r="AN85" s="61" t="e">
        <f t="shared" si="22"/>
        <v>#N/A</v>
      </c>
      <c r="AO85" s="61" t="e">
        <f t="shared" si="22"/>
        <v>#N/A</v>
      </c>
      <c r="AP85" s="61" t="e">
        <f t="shared" si="22"/>
        <v>#N/A</v>
      </c>
      <c r="AQ85" s="61" t="e">
        <f t="shared" si="22"/>
        <v>#N/A</v>
      </c>
      <c r="AR85" s="61" t="e">
        <f t="shared" si="22"/>
        <v>#N/A</v>
      </c>
      <c r="AS85" s="61" t="e">
        <f t="shared" si="22"/>
        <v>#N/A</v>
      </c>
      <c r="AT85" s="61" t="e">
        <f t="shared" si="22"/>
        <v>#N/A</v>
      </c>
      <c r="AU85" s="61" t="e">
        <f t="shared" si="22"/>
        <v>#N/A</v>
      </c>
      <c r="AV85" s="61" t="e">
        <f t="shared" si="22"/>
        <v>#N/A</v>
      </c>
      <c r="AW85" s="61" t="e">
        <f t="shared" si="22"/>
        <v>#N/A</v>
      </c>
      <c r="AX85" s="61" t="e">
        <f t="shared" si="22"/>
        <v>#N/A</v>
      </c>
      <c r="AY85" s="61" t="e">
        <f t="shared" si="22"/>
        <v>#N/A</v>
      </c>
      <c r="AZ85" s="61" t="e">
        <f t="shared" si="22"/>
        <v>#N/A</v>
      </c>
      <c r="BA85" s="61" t="e">
        <f t="shared" si="22"/>
        <v>#N/A</v>
      </c>
      <c r="BB85" s="61" t="e">
        <f t="shared" si="22"/>
        <v>#N/A</v>
      </c>
      <c r="BC85" s="61" t="e">
        <f t="shared" si="22"/>
        <v>#N/A</v>
      </c>
      <c r="BD85" s="61" t="e">
        <f t="shared" si="22"/>
        <v>#N/A</v>
      </c>
      <c r="BE85" s="61" t="e">
        <f t="shared" si="22"/>
        <v>#N/A</v>
      </c>
      <c r="BF85" s="61" t="e">
        <f t="shared" si="22"/>
        <v>#N/A</v>
      </c>
      <c r="BG85" s="61" t="e">
        <f t="shared" si="22"/>
        <v>#N/A</v>
      </c>
      <c r="BH85" s="61" t="e">
        <f t="shared" si="22"/>
        <v>#N/A</v>
      </c>
      <c r="BI85" s="61" t="e">
        <f t="shared" si="22"/>
        <v>#N/A</v>
      </c>
      <c r="BJ85" s="61" t="e">
        <f t="shared" si="22"/>
        <v>#N/A</v>
      </c>
      <c r="BK85" s="61" t="e">
        <f t="shared" si="22"/>
        <v>#N/A</v>
      </c>
      <c r="BL85" s="61" t="e">
        <f t="shared" si="22"/>
        <v>#N/A</v>
      </c>
    </row>
    <row r="86" spans="2:64" x14ac:dyDescent="0.35">
      <c r="D86" s="12"/>
      <c r="E86" s="60"/>
      <c r="F86" s="60"/>
      <c r="G86" s="60"/>
      <c r="H86" s="60"/>
      <c r="I86" s="60"/>
      <c r="J86" s="60"/>
      <c r="K86" s="60"/>
      <c r="L86" s="60"/>
      <c r="M86" s="60"/>
      <c r="N86" s="60"/>
      <c r="O86" s="60"/>
      <c r="P86" s="60"/>
      <c r="Q86" s="60"/>
      <c r="R86" s="60"/>
      <c r="S86" s="60"/>
      <c r="T86" s="60"/>
      <c r="U86" s="60"/>
      <c r="V86" s="60"/>
      <c r="W86" s="60"/>
      <c r="X86" s="60"/>
      <c r="Y86" s="60"/>
      <c r="Z86" s="60"/>
      <c r="AA86" s="60"/>
      <c r="AB86" s="60"/>
      <c r="AC86" s="60"/>
      <c r="AD86" s="60"/>
      <c r="AE86" s="60"/>
      <c r="AF86" s="60"/>
      <c r="AG86" s="60"/>
      <c r="AH86" s="60"/>
      <c r="AI86" s="60"/>
      <c r="AJ86" s="60"/>
      <c r="AK86" s="60"/>
      <c r="AL86" s="60"/>
      <c r="AM86" s="60"/>
      <c r="AN86" s="60"/>
      <c r="AO86" s="60"/>
      <c r="AP86" s="60"/>
      <c r="AQ86" s="60"/>
      <c r="AR86" s="60"/>
      <c r="AS86" s="60"/>
      <c r="AT86" s="60"/>
      <c r="AU86" s="60"/>
      <c r="AV86" s="60"/>
      <c r="AW86" s="60"/>
      <c r="AX86" s="60"/>
      <c r="AY86" s="60"/>
      <c r="AZ86" s="60"/>
      <c r="BA86" s="60"/>
      <c r="BB86" s="60"/>
      <c r="BC86" s="60"/>
      <c r="BD86" s="60"/>
      <c r="BE86" s="60"/>
      <c r="BF86" s="60"/>
      <c r="BG86" s="60"/>
      <c r="BH86" s="60"/>
      <c r="BI86" s="60"/>
      <c r="BJ86" s="60"/>
      <c r="BK86" s="60"/>
      <c r="BL86" s="60"/>
    </row>
    <row r="87" spans="2:64" x14ac:dyDescent="0.35">
      <c r="B87" s="1" t="s">
        <v>32</v>
      </c>
      <c r="E87" s="60"/>
      <c r="F87" s="60"/>
      <c r="G87" s="60"/>
      <c r="H87" s="60"/>
      <c r="I87" s="60"/>
      <c r="J87" s="60"/>
      <c r="K87" s="60"/>
      <c r="L87" s="60"/>
      <c r="M87" s="60"/>
      <c r="N87" s="60"/>
      <c r="O87" s="60"/>
      <c r="P87" s="60"/>
      <c r="Q87" s="60"/>
      <c r="R87" s="60"/>
      <c r="S87" s="60"/>
      <c r="T87" s="60"/>
      <c r="U87" s="60"/>
      <c r="V87" s="60"/>
      <c r="W87" s="60"/>
      <c r="X87" s="60"/>
      <c r="Y87" s="60"/>
      <c r="Z87" s="60"/>
      <c r="AA87" s="60"/>
      <c r="AB87" s="60"/>
      <c r="AC87" s="60"/>
      <c r="AD87" s="60"/>
      <c r="AE87" s="60"/>
      <c r="AF87" s="60"/>
      <c r="AG87" s="60"/>
      <c r="AH87" s="60"/>
      <c r="AI87" s="60"/>
      <c r="AJ87" s="60"/>
      <c r="AK87" s="60"/>
      <c r="AL87" s="60"/>
      <c r="AM87" s="60"/>
      <c r="AN87" s="60"/>
      <c r="AO87" s="60"/>
      <c r="AP87" s="60"/>
      <c r="AQ87" s="60"/>
      <c r="AR87" s="60"/>
      <c r="AS87" s="60"/>
      <c r="AT87" s="60"/>
      <c r="AU87" s="60"/>
      <c r="AV87" s="60"/>
      <c r="AW87" s="60"/>
      <c r="AX87" s="60"/>
      <c r="AY87" s="60"/>
      <c r="AZ87" s="60"/>
      <c r="BA87" s="60"/>
      <c r="BB87" s="60"/>
      <c r="BC87" s="60"/>
      <c r="BD87" s="60"/>
      <c r="BE87" s="60"/>
      <c r="BF87" s="60"/>
      <c r="BG87" s="60"/>
      <c r="BH87" s="60"/>
      <c r="BI87" s="60"/>
      <c r="BJ87" s="60"/>
      <c r="BK87" s="60"/>
      <c r="BL87" s="60"/>
    </row>
    <row r="88" spans="2:64" x14ac:dyDescent="0.35">
      <c r="C88" s="2" t="s">
        <v>73</v>
      </c>
      <c r="E88" s="65" t="e">
        <f t="shared" ref="E88:BL88" si="23">E85-E90</f>
        <v>#N/A</v>
      </c>
      <c r="F88" s="65" t="e">
        <f t="shared" si="23"/>
        <v>#N/A</v>
      </c>
      <c r="G88" s="65" t="e">
        <f t="shared" si="23"/>
        <v>#N/A</v>
      </c>
      <c r="H88" s="65" t="e">
        <f t="shared" si="23"/>
        <v>#N/A</v>
      </c>
      <c r="I88" s="65" t="e">
        <f t="shared" si="23"/>
        <v>#N/A</v>
      </c>
      <c r="J88" s="65" t="e">
        <f t="shared" si="23"/>
        <v>#N/A</v>
      </c>
      <c r="K88" s="65" t="e">
        <f t="shared" si="23"/>
        <v>#N/A</v>
      </c>
      <c r="L88" s="65" t="e">
        <f t="shared" si="23"/>
        <v>#N/A</v>
      </c>
      <c r="M88" s="65" t="e">
        <f t="shared" si="23"/>
        <v>#N/A</v>
      </c>
      <c r="N88" s="65" t="e">
        <f t="shared" si="23"/>
        <v>#N/A</v>
      </c>
      <c r="O88" s="65" t="e">
        <f t="shared" si="23"/>
        <v>#N/A</v>
      </c>
      <c r="P88" s="65" t="e">
        <f t="shared" si="23"/>
        <v>#N/A</v>
      </c>
      <c r="Q88" s="65" t="e">
        <f t="shared" si="23"/>
        <v>#N/A</v>
      </c>
      <c r="R88" s="65" t="e">
        <f t="shared" si="23"/>
        <v>#N/A</v>
      </c>
      <c r="S88" s="65" t="e">
        <f t="shared" si="23"/>
        <v>#N/A</v>
      </c>
      <c r="T88" s="65" t="e">
        <f t="shared" si="23"/>
        <v>#N/A</v>
      </c>
      <c r="U88" s="65" t="e">
        <f t="shared" si="23"/>
        <v>#N/A</v>
      </c>
      <c r="V88" s="65" t="e">
        <f t="shared" si="23"/>
        <v>#N/A</v>
      </c>
      <c r="W88" s="65" t="e">
        <f t="shared" si="23"/>
        <v>#N/A</v>
      </c>
      <c r="X88" s="65" t="e">
        <f t="shared" si="23"/>
        <v>#N/A</v>
      </c>
      <c r="Y88" s="65" t="e">
        <f t="shared" si="23"/>
        <v>#N/A</v>
      </c>
      <c r="Z88" s="65" t="e">
        <f t="shared" si="23"/>
        <v>#N/A</v>
      </c>
      <c r="AA88" s="65" t="e">
        <f t="shared" si="23"/>
        <v>#N/A</v>
      </c>
      <c r="AB88" s="65" t="e">
        <f t="shared" si="23"/>
        <v>#N/A</v>
      </c>
      <c r="AC88" s="65" t="e">
        <f t="shared" si="23"/>
        <v>#N/A</v>
      </c>
      <c r="AD88" s="65" t="e">
        <f t="shared" si="23"/>
        <v>#N/A</v>
      </c>
      <c r="AE88" s="65" t="e">
        <f t="shared" si="23"/>
        <v>#N/A</v>
      </c>
      <c r="AF88" s="65" t="e">
        <f t="shared" si="23"/>
        <v>#N/A</v>
      </c>
      <c r="AG88" s="65" t="e">
        <f t="shared" si="23"/>
        <v>#N/A</v>
      </c>
      <c r="AH88" s="65" t="e">
        <f t="shared" si="23"/>
        <v>#N/A</v>
      </c>
      <c r="AI88" s="65" t="e">
        <f t="shared" si="23"/>
        <v>#N/A</v>
      </c>
      <c r="AJ88" s="65" t="e">
        <f t="shared" si="23"/>
        <v>#N/A</v>
      </c>
      <c r="AK88" s="65" t="e">
        <f t="shared" si="23"/>
        <v>#N/A</v>
      </c>
      <c r="AL88" s="65" t="e">
        <f t="shared" si="23"/>
        <v>#N/A</v>
      </c>
      <c r="AM88" s="65" t="e">
        <f t="shared" si="23"/>
        <v>#N/A</v>
      </c>
      <c r="AN88" s="65" t="e">
        <f t="shared" si="23"/>
        <v>#N/A</v>
      </c>
      <c r="AO88" s="65" t="e">
        <f t="shared" si="23"/>
        <v>#N/A</v>
      </c>
      <c r="AP88" s="65" t="e">
        <f t="shared" si="23"/>
        <v>#N/A</v>
      </c>
      <c r="AQ88" s="65" t="e">
        <f t="shared" si="23"/>
        <v>#N/A</v>
      </c>
      <c r="AR88" s="65" t="e">
        <f t="shared" si="23"/>
        <v>#N/A</v>
      </c>
      <c r="AS88" s="65" t="e">
        <f t="shared" si="23"/>
        <v>#N/A</v>
      </c>
      <c r="AT88" s="65" t="e">
        <f t="shared" si="23"/>
        <v>#N/A</v>
      </c>
      <c r="AU88" s="65" t="e">
        <f t="shared" si="23"/>
        <v>#N/A</v>
      </c>
      <c r="AV88" s="65" t="e">
        <f t="shared" si="23"/>
        <v>#N/A</v>
      </c>
      <c r="AW88" s="65" t="e">
        <f t="shared" si="23"/>
        <v>#N/A</v>
      </c>
      <c r="AX88" s="65" t="e">
        <f t="shared" si="23"/>
        <v>#N/A</v>
      </c>
      <c r="AY88" s="65" t="e">
        <f t="shared" si="23"/>
        <v>#N/A</v>
      </c>
      <c r="AZ88" s="65" t="e">
        <f t="shared" si="23"/>
        <v>#N/A</v>
      </c>
      <c r="BA88" s="65" t="e">
        <f t="shared" si="23"/>
        <v>#N/A</v>
      </c>
      <c r="BB88" s="65" t="e">
        <f t="shared" si="23"/>
        <v>#N/A</v>
      </c>
      <c r="BC88" s="65" t="e">
        <f t="shared" si="23"/>
        <v>#N/A</v>
      </c>
      <c r="BD88" s="65" t="e">
        <f t="shared" si="23"/>
        <v>#N/A</v>
      </c>
      <c r="BE88" s="65" t="e">
        <f t="shared" si="23"/>
        <v>#N/A</v>
      </c>
      <c r="BF88" s="65" t="e">
        <f t="shared" si="23"/>
        <v>#N/A</v>
      </c>
      <c r="BG88" s="65" t="e">
        <f t="shared" si="23"/>
        <v>#N/A</v>
      </c>
      <c r="BH88" s="65" t="e">
        <f t="shared" si="23"/>
        <v>#N/A</v>
      </c>
      <c r="BI88" s="65" t="e">
        <f t="shared" si="23"/>
        <v>#N/A</v>
      </c>
      <c r="BJ88" s="65" t="e">
        <f t="shared" si="23"/>
        <v>#N/A</v>
      </c>
      <c r="BK88" s="65" t="e">
        <f t="shared" si="23"/>
        <v>#N/A</v>
      </c>
      <c r="BL88" s="65" t="e">
        <f t="shared" si="23"/>
        <v>#N/A</v>
      </c>
    </row>
    <row r="90" spans="2:64" x14ac:dyDescent="0.35">
      <c r="C90" s="2" t="s">
        <v>5</v>
      </c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/>
      <c r="AF90" s="11"/>
      <c r="AG90" s="11"/>
      <c r="AH90" s="11"/>
      <c r="AI90" s="11"/>
      <c r="AJ90" s="11"/>
      <c r="AK90" s="11"/>
      <c r="AL90" s="11"/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  <c r="AY90" s="11"/>
      <c r="AZ90" s="11"/>
      <c r="BA90" s="11"/>
      <c r="BB90" s="11"/>
      <c r="BC90" s="11"/>
      <c r="BD90" s="11"/>
      <c r="BE90" s="11"/>
      <c r="BF90" s="11"/>
      <c r="BG90" s="11"/>
      <c r="BH90" s="11"/>
      <c r="BI90" s="11"/>
      <c r="BJ90" s="11"/>
      <c r="BK90" s="11"/>
      <c r="BL90" s="11"/>
    </row>
    <row r="91" spans="2:64" x14ac:dyDescent="0.35">
      <c r="C91" s="2" t="s">
        <v>33</v>
      </c>
      <c r="E91" s="142"/>
      <c r="F91" s="142"/>
      <c r="G91" s="142"/>
      <c r="H91" s="142"/>
      <c r="I91" s="142"/>
      <c r="J91" s="142"/>
      <c r="K91" s="142"/>
      <c r="L91" s="142"/>
      <c r="M91" s="142"/>
      <c r="N91" s="142"/>
      <c r="O91" s="142"/>
      <c r="P91" s="142"/>
      <c r="Q91" s="142"/>
      <c r="R91" s="142"/>
      <c r="S91" s="142"/>
      <c r="T91" s="142"/>
      <c r="U91" s="142"/>
      <c r="V91" s="142"/>
      <c r="W91" s="142"/>
      <c r="X91" s="142"/>
      <c r="Y91" s="142"/>
      <c r="Z91" s="142"/>
      <c r="AA91" s="142"/>
      <c r="AB91" s="142"/>
      <c r="AC91" s="142"/>
      <c r="AD91" s="142"/>
      <c r="AE91" s="142"/>
      <c r="AF91" s="142"/>
      <c r="AG91" s="142"/>
      <c r="AH91" s="142"/>
      <c r="AI91" s="142"/>
      <c r="AJ91" s="142"/>
      <c r="AK91" s="142"/>
      <c r="AL91" s="142"/>
      <c r="AM91" s="142"/>
      <c r="AN91" s="142"/>
      <c r="AO91" s="142"/>
      <c r="AP91" s="142"/>
      <c r="AQ91" s="142"/>
      <c r="AR91" s="142"/>
      <c r="AS91" s="142"/>
      <c r="AT91" s="142"/>
      <c r="AU91" s="142"/>
      <c r="AV91" s="142"/>
      <c r="AW91" s="142"/>
      <c r="AX91" s="142"/>
      <c r="AY91" s="142"/>
      <c r="AZ91" s="142"/>
      <c r="BA91" s="142"/>
      <c r="BB91" s="142"/>
      <c r="BC91" s="142"/>
      <c r="BD91" s="142"/>
      <c r="BE91" s="142"/>
      <c r="BF91" s="142"/>
      <c r="BG91" s="142"/>
      <c r="BH91" s="142"/>
      <c r="BI91" s="142"/>
      <c r="BJ91" s="142"/>
      <c r="BK91" s="142"/>
      <c r="BL91" s="142"/>
    </row>
    <row r="92" spans="2:64" x14ac:dyDescent="0.35">
      <c r="C92" s="2" t="s">
        <v>67</v>
      </c>
      <c r="E92" s="142"/>
      <c r="F92" s="142"/>
      <c r="G92" s="142"/>
      <c r="H92" s="142"/>
      <c r="I92" s="142"/>
      <c r="J92" s="142"/>
      <c r="K92" s="142"/>
      <c r="L92" s="142"/>
      <c r="M92" s="142"/>
      <c r="N92" s="142"/>
      <c r="O92" s="142"/>
      <c r="P92" s="142"/>
      <c r="Q92" s="142"/>
      <c r="R92" s="142"/>
      <c r="S92" s="142"/>
      <c r="T92" s="142"/>
      <c r="U92" s="142"/>
      <c r="V92" s="142"/>
      <c r="W92" s="142"/>
      <c r="X92" s="142"/>
      <c r="Y92" s="142"/>
      <c r="Z92" s="142"/>
      <c r="AA92" s="142"/>
      <c r="AB92" s="142"/>
      <c r="AC92" s="142"/>
      <c r="AD92" s="142"/>
      <c r="AE92" s="142"/>
      <c r="AF92" s="142"/>
      <c r="AG92" s="142"/>
      <c r="AH92" s="142"/>
      <c r="AI92" s="142"/>
      <c r="AJ92" s="142"/>
      <c r="AK92" s="142"/>
      <c r="AL92" s="142"/>
      <c r="AM92" s="142"/>
      <c r="AN92" s="142"/>
      <c r="AO92" s="142"/>
      <c r="AP92" s="142"/>
      <c r="AQ92" s="142"/>
      <c r="AR92" s="142"/>
      <c r="AS92" s="142"/>
      <c r="AT92" s="142"/>
      <c r="AU92" s="142"/>
      <c r="AV92" s="142"/>
      <c r="AW92" s="142"/>
      <c r="AX92" s="142"/>
      <c r="AY92" s="142"/>
      <c r="AZ92" s="142"/>
      <c r="BA92" s="142"/>
      <c r="BB92" s="142"/>
      <c r="BC92" s="142"/>
      <c r="BD92" s="142"/>
      <c r="BE92" s="142"/>
      <c r="BF92" s="142"/>
      <c r="BG92" s="142"/>
      <c r="BH92" s="142"/>
      <c r="BI92" s="142"/>
      <c r="BJ92" s="142"/>
      <c r="BK92" s="142"/>
      <c r="BL92" s="142"/>
    </row>
    <row r="93" spans="2:64" x14ac:dyDescent="0.35">
      <c r="C93" s="2" t="s">
        <v>7</v>
      </c>
      <c r="E93" s="142"/>
      <c r="F93" s="142"/>
      <c r="G93" s="142"/>
      <c r="H93" s="142"/>
      <c r="I93" s="142"/>
      <c r="J93" s="142"/>
      <c r="K93" s="142"/>
      <c r="L93" s="142"/>
      <c r="M93" s="142"/>
      <c r="N93" s="142"/>
      <c r="O93" s="142"/>
      <c r="P93" s="142"/>
      <c r="Q93" s="142"/>
      <c r="R93" s="142"/>
      <c r="S93" s="142"/>
      <c r="T93" s="142"/>
      <c r="U93" s="142"/>
      <c r="V93" s="142"/>
      <c r="W93" s="142"/>
      <c r="X93" s="142"/>
      <c r="Y93" s="142"/>
      <c r="Z93" s="142"/>
      <c r="AA93" s="142"/>
      <c r="AB93" s="142"/>
      <c r="AC93" s="142"/>
      <c r="AD93" s="142"/>
      <c r="AE93" s="142"/>
      <c r="AF93" s="142"/>
      <c r="AG93" s="142"/>
      <c r="AH93" s="142"/>
      <c r="AI93" s="142"/>
      <c r="AJ93" s="142"/>
      <c r="AK93" s="142"/>
      <c r="AL93" s="142"/>
      <c r="AM93" s="142"/>
      <c r="AN93" s="142"/>
      <c r="AO93" s="142"/>
      <c r="AP93" s="142"/>
      <c r="AQ93" s="142"/>
      <c r="AR93" s="142"/>
      <c r="AS93" s="142"/>
      <c r="AT93" s="142"/>
      <c r="AU93" s="142"/>
      <c r="AV93" s="142"/>
      <c r="AW93" s="142"/>
      <c r="AX93" s="142"/>
      <c r="AY93" s="142"/>
      <c r="AZ93" s="142"/>
      <c r="BA93" s="142"/>
      <c r="BB93" s="142"/>
      <c r="BC93" s="142"/>
      <c r="BD93" s="142"/>
      <c r="BE93" s="142"/>
      <c r="BF93" s="142"/>
      <c r="BG93" s="142"/>
      <c r="BH93" s="142"/>
      <c r="BI93" s="142"/>
      <c r="BJ93" s="142"/>
      <c r="BK93" s="142"/>
      <c r="BL93" s="142"/>
    </row>
    <row r="94" spans="2:64" x14ac:dyDescent="0.35"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  <c r="AK94" s="11"/>
      <c r="AL94" s="11"/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  <c r="AY94" s="11"/>
      <c r="AZ94" s="11"/>
      <c r="BA94" s="11"/>
      <c r="BB94" s="11"/>
      <c r="BC94" s="11"/>
      <c r="BD94" s="11"/>
      <c r="BE94" s="11"/>
      <c r="BF94" s="11"/>
      <c r="BG94" s="11"/>
      <c r="BH94" s="11"/>
      <c r="BI94" s="11"/>
      <c r="BJ94" s="11"/>
      <c r="BK94" s="11"/>
      <c r="BL94" s="11"/>
    </row>
    <row r="95" spans="2:64" x14ac:dyDescent="0.35">
      <c r="C95" s="2" t="s">
        <v>475</v>
      </c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</row>
    <row r="96" spans="2:64" x14ac:dyDescent="0.35">
      <c r="C96" s="2" t="s">
        <v>156</v>
      </c>
      <c r="D96" s="38">
        <v>1</v>
      </c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</row>
    <row r="98" spans="2:64" x14ac:dyDescent="0.35">
      <c r="C98" s="2" t="s">
        <v>478</v>
      </c>
      <c r="D98" s="143"/>
    </row>
    <row r="99" spans="2:64" x14ac:dyDescent="0.35">
      <c r="C99" s="2" t="s">
        <v>27</v>
      </c>
    </row>
    <row r="100" spans="2:64" x14ac:dyDescent="0.35">
      <c r="E100" s="2" t="s">
        <v>115</v>
      </c>
    </row>
    <row r="101" spans="2:64" x14ac:dyDescent="0.35">
      <c r="B101" s="1" t="s">
        <v>68</v>
      </c>
    </row>
    <row r="103" spans="2:64" x14ac:dyDescent="0.35">
      <c r="C103" s="2" t="s">
        <v>5</v>
      </c>
      <c r="E103" s="4">
        <f t="shared" ref="E103:BL103" si="24">D105</f>
        <v>0</v>
      </c>
      <c r="F103" s="4" t="e">
        <f t="shared" si="24"/>
        <v>#N/A</v>
      </c>
      <c r="G103" s="4" t="e">
        <f t="shared" si="24"/>
        <v>#N/A</v>
      </c>
      <c r="H103" s="4" t="e">
        <f t="shared" si="24"/>
        <v>#N/A</v>
      </c>
      <c r="I103" s="4" t="e">
        <f t="shared" si="24"/>
        <v>#N/A</v>
      </c>
      <c r="J103" s="4" t="e">
        <f t="shared" si="24"/>
        <v>#N/A</v>
      </c>
      <c r="K103" s="4" t="e">
        <f t="shared" si="24"/>
        <v>#N/A</v>
      </c>
      <c r="L103" s="4" t="e">
        <f t="shared" si="24"/>
        <v>#N/A</v>
      </c>
      <c r="M103" s="4" t="e">
        <f t="shared" si="24"/>
        <v>#N/A</v>
      </c>
      <c r="N103" s="4" t="e">
        <f t="shared" si="24"/>
        <v>#N/A</v>
      </c>
      <c r="O103" s="4" t="e">
        <f t="shared" si="24"/>
        <v>#N/A</v>
      </c>
      <c r="P103" s="4" t="e">
        <f t="shared" si="24"/>
        <v>#N/A</v>
      </c>
      <c r="Q103" s="4" t="e">
        <f t="shared" si="24"/>
        <v>#N/A</v>
      </c>
      <c r="R103" s="4" t="e">
        <f t="shared" si="24"/>
        <v>#N/A</v>
      </c>
      <c r="S103" s="4" t="e">
        <f t="shared" si="24"/>
        <v>#N/A</v>
      </c>
      <c r="T103" s="4" t="e">
        <f t="shared" si="24"/>
        <v>#N/A</v>
      </c>
      <c r="U103" s="4" t="e">
        <f t="shared" si="24"/>
        <v>#N/A</v>
      </c>
      <c r="V103" s="4" t="e">
        <f t="shared" si="24"/>
        <v>#N/A</v>
      </c>
      <c r="W103" s="4" t="e">
        <f t="shared" si="24"/>
        <v>#N/A</v>
      </c>
      <c r="X103" s="4" t="e">
        <f t="shared" si="24"/>
        <v>#N/A</v>
      </c>
      <c r="Y103" s="4" t="e">
        <f t="shared" si="24"/>
        <v>#N/A</v>
      </c>
      <c r="Z103" s="4" t="e">
        <f t="shared" si="24"/>
        <v>#N/A</v>
      </c>
      <c r="AA103" s="4" t="e">
        <f t="shared" si="24"/>
        <v>#N/A</v>
      </c>
      <c r="AB103" s="4" t="e">
        <f t="shared" si="24"/>
        <v>#N/A</v>
      </c>
      <c r="AC103" s="4" t="e">
        <f t="shared" si="24"/>
        <v>#N/A</v>
      </c>
      <c r="AD103" s="4" t="e">
        <f t="shared" si="24"/>
        <v>#N/A</v>
      </c>
      <c r="AE103" s="4" t="e">
        <f t="shared" si="24"/>
        <v>#N/A</v>
      </c>
      <c r="AF103" s="4" t="e">
        <f t="shared" si="24"/>
        <v>#N/A</v>
      </c>
      <c r="AG103" s="4" t="e">
        <f t="shared" si="24"/>
        <v>#N/A</v>
      </c>
      <c r="AH103" s="4" t="e">
        <f t="shared" si="24"/>
        <v>#N/A</v>
      </c>
      <c r="AI103" s="4" t="e">
        <f t="shared" si="24"/>
        <v>#N/A</v>
      </c>
      <c r="AJ103" s="4" t="e">
        <f t="shared" si="24"/>
        <v>#N/A</v>
      </c>
      <c r="AK103" s="4" t="e">
        <f t="shared" si="24"/>
        <v>#N/A</v>
      </c>
      <c r="AL103" s="4" t="e">
        <f t="shared" si="24"/>
        <v>#N/A</v>
      </c>
      <c r="AM103" s="4" t="e">
        <f t="shared" si="24"/>
        <v>#N/A</v>
      </c>
      <c r="AN103" s="4" t="e">
        <f t="shared" si="24"/>
        <v>#N/A</v>
      </c>
      <c r="AO103" s="4" t="e">
        <f t="shared" si="24"/>
        <v>#N/A</v>
      </c>
      <c r="AP103" s="4" t="e">
        <f t="shared" si="24"/>
        <v>#N/A</v>
      </c>
      <c r="AQ103" s="4" t="e">
        <f t="shared" si="24"/>
        <v>#N/A</v>
      </c>
      <c r="AR103" s="4" t="e">
        <f t="shared" si="24"/>
        <v>#N/A</v>
      </c>
      <c r="AS103" s="4" t="e">
        <f t="shared" si="24"/>
        <v>#N/A</v>
      </c>
      <c r="AT103" s="4" t="e">
        <f t="shared" si="24"/>
        <v>#N/A</v>
      </c>
      <c r="AU103" s="4" t="e">
        <f t="shared" si="24"/>
        <v>#N/A</v>
      </c>
      <c r="AV103" s="4" t="e">
        <f t="shared" si="24"/>
        <v>#N/A</v>
      </c>
      <c r="AW103" s="4" t="e">
        <f t="shared" si="24"/>
        <v>#N/A</v>
      </c>
      <c r="AX103" s="4" t="e">
        <f t="shared" si="24"/>
        <v>#N/A</v>
      </c>
      <c r="AY103" s="4" t="e">
        <f t="shared" si="24"/>
        <v>#N/A</v>
      </c>
      <c r="AZ103" s="4" t="e">
        <f t="shared" si="24"/>
        <v>#N/A</v>
      </c>
      <c r="BA103" s="4" t="e">
        <f t="shared" si="24"/>
        <v>#N/A</v>
      </c>
      <c r="BB103" s="4" t="e">
        <f t="shared" si="24"/>
        <v>#N/A</v>
      </c>
      <c r="BC103" s="4" t="e">
        <f t="shared" si="24"/>
        <v>#N/A</v>
      </c>
      <c r="BD103" s="4" t="e">
        <f t="shared" si="24"/>
        <v>#N/A</v>
      </c>
      <c r="BE103" s="4" t="e">
        <f t="shared" si="24"/>
        <v>#N/A</v>
      </c>
      <c r="BF103" s="4" t="e">
        <f t="shared" si="24"/>
        <v>#N/A</v>
      </c>
      <c r="BG103" s="4" t="e">
        <f t="shared" si="24"/>
        <v>#N/A</v>
      </c>
      <c r="BH103" s="4" t="e">
        <f t="shared" si="24"/>
        <v>#N/A</v>
      </c>
      <c r="BI103" s="4" t="e">
        <f t="shared" si="24"/>
        <v>#N/A</v>
      </c>
      <c r="BJ103" s="4" t="e">
        <f t="shared" si="24"/>
        <v>#N/A</v>
      </c>
      <c r="BK103" s="4" t="e">
        <f t="shared" si="24"/>
        <v>#N/A</v>
      </c>
      <c r="BL103" s="4" t="e">
        <f t="shared" si="24"/>
        <v>#N/A</v>
      </c>
    </row>
    <row r="104" spans="2:64" x14ac:dyDescent="0.35">
      <c r="C104" s="2" t="s">
        <v>74</v>
      </c>
      <c r="E104" s="4" t="e">
        <f t="shared" ref="E104:BL104" si="25">E95-E106</f>
        <v>#N/A</v>
      </c>
      <c r="F104" s="4" t="e">
        <f t="shared" si="25"/>
        <v>#N/A</v>
      </c>
      <c r="G104" s="4" t="e">
        <f t="shared" si="25"/>
        <v>#N/A</v>
      </c>
      <c r="H104" s="4" t="e">
        <f t="shared" si="25"/>
        <v>#N/A</v>
      </c>
      <c r="I104" s="4" t="e">
        <f t="shared" si="25"/>
        <v>#N/A</v>
      </c>
      <c r="J104" s="4" t="e">
        <f t="shared" si="25"/>
        <v>#N/A</v>
      </c>
      <c r="K104" s="4" t="e">
        <f t="shared" si="25"/>
        <v>#N/A</v>
      </c>
      <c r="L104" s="4" t="e">
        <f t="shared" si="25"/>
        <v>#N/A</v>
      </c>
      <c r="M104" s="4" t="e">
        <f t="shared" si="25"/>
        <v>#N/A</v>
      </c>
      <c r="N104" s="4" t="e">
        <f t="shared" si="25"/>
        <v>#N/A</v>
      </c>
      <c r="O104" s="4" t="e">
        <f t="shared" si="25"/>
        <v>#N/A</v>
      </c>
      <c r="P104" s="4" t="e">
        <f t="shared" si="25"/>
        <v>#N/A</v>
      </c>
      <c r="Q104" s="4" t="e">
        <f t="shared" si="25"/>
        <v>#N/A</v>
      </c>
      <c r="R104" s="4" t="e">
        <f t="shared" si="25"/>
        <v>#N/A</v>
      </c>
      <c r="S104" s="4" t="e">
        <f t="shared" si="25"/>
        <v>#N/A</v>
      </c>
      <c r="T104" s="4" t="e">
        <f t="shared" si="25"/>
        <v>#N/A</v>
      </c>
      <c r="U104" s="4" t="e">
        <f t="shared" si="25"/>
        <v>#N/A</v>
      </c>
      <c r="V104" s="4" t="e">
        <f t="shared" si="25"/>
        <v>#N/A</v>
      </c>
      <c r="W104" s="4" t="e">
        <f t="shared" si="25"/>
        <v>#N/A</v>
      </c>
      <c r="X104" s="4" t="e">
        <f t="shared" si="25"/>
        <v>#N/A</v>
      </c>
      <c r="Y104" s="4" t="e">
        <f t="shared" si="25"/>
        <v>#N/A</v>
      </c>
      <c r="Z104" s="4" t="e">
        <f t="shared" si="25"/>
        <v>#N/A</v>
      </c>
      <c r="AA104" s="4" t="e">
        <f t="shared" si="25"/>
        <v>#N/A</v>
      </c>
      <c r="AB104" s="4" t="e">
        <f t="shared" si="25"/>
        <v>#N/A</v>
      </c>
      <c r="AC104" s="4" t="e">
        <f t="shared" si="25"/>
        <v>#N/A</v>
      </c>
      <c r="AD104" s="4" t="e">
        <f t="shared" si="25"/>
        <v>#N/A</v>
      </c>
      <c r="AE104" s="4" t="e">
        <f t="shared" si="25"/>
        <v>#N/A</v>
      </c>
      <c r="AF104" s="4" t="e">
        <f t="shared" si="25"/>
        <v>#N/A</v>
      </c>
      <c r="AG104" s="4" t="e">
        <f t="shared" si="25"/>
        <v>#N/A</v>
      </c>
      <c r="AH104" s="4" t="e">
        <f t="shared" si="25"/>
        <v>#N/A</v>
      </c>
      <c r="AI104" s="4" t="e">
        <f t="shared" si="25"/>
        <v>#N/A</v>
      </c>
      <c r="AJ104" s="4" t="e">
        <f t="shared" si="25"/>
        <v>#N/A</v>
      </c>
      <c r="AK104" s="4" t="e">
        <f t="shared" si="25"/>
        <v>#N/A</v>
      </c>
      <c r="AL104" s="4" t="e">
        <f t="shared" si="25"/>
        <v>#N/A</v>
      </c>
      <c r="AM104" s="4" t="e">
        <f t="shared" si="25"/>
        <v>#N/A</v>
      </c>
      <c r="AN104" s="4" t="e">
        <f t="shared" si="25"/>
        <v>#N/A</v>
      </c>
      <c r="AO104" s="4" t="e">
        <f t="shared" si="25"/>
        <v>#N/A</v>
      </c>
      <c r="AP104" s="4" t="e">
        <f t="shared" si="25"/>
        <v>#N/A</v>
      </c>
      <c r="AQ104" s="4" t="e">
        <f t="shared" si="25"/>
        <v>#N/A</v>
      </c>
      <c r="AR104" s="4" t="e">
        <f t="shared" si="25"/>
        <v>#N/A</v>
      </c>
      <c r="AS104" s="4" t="e">
        <f t="shared" si="25"/>
        <v>#N/A</v>
      </c>
      <c r="AT104" s="4" t="e">
        <f t="shared" si="25"/>
        <v>#N/A</v>
      </c>
      <c r="AU104" s="4" t="e">
        <f t="shared" si="25"/>
        <v>#N/A</v>
      </c>
      <c r="AV104" s="4" t="e">
        <f t="shared" si="25"/>
        <v>#N/A</v>
      </c>
      <c r="AW104" s="4" t="e">
        <f t="shared" si="25"/>
        <v>#N/A</v>
      </c>
      <c r="AX104" s="4" t="e">
        <f t="shared" si="25"/>
        <v>#N/A</v>
      </c>
      <c r="AY104" s="4" t="e">
        <f t="shared" si="25"/>
        <v>#N/A</v>
      </c>
      <c r="AZ104" s="4" t="e">
        <f t="shared" si="25"/>
        <v>#N/A</v>
      </c>
      <c r="BA104" s="4" t="e">
        <f t="shared" si="25"/>
        <v>#N/A</v>
      </c>
      <c r="BB104" s="4" t="e">
        <f t="shared" si="25"/>
        <v>#N/A</v>
      </c>
      <c r="BC104" s="4" t="e">
        <f t="shared" si="25"/>
        <v>#N/A</v>
      </c>
      <c r="BD104" s="4" t="e">
        <f t="shared" si="25"/>
        <v>#N/A</v>
      </c>
      <c r="BE104" s="4" t="e">
        <f t="shared" si="25"/>
        <v>#N/A</v>
      </c>
      <c r="BF104" s="4" t="e">
        <f t="shared" si="25"/>
        <v>#N/A</v>
      </c>
      <c r="BG104" s="4" t="e">
        <f t="shared" si="25"/>
        <v>#N/A</v>
      </c>
      <c r="BH104" s="4" t="e">
        <f t="shared" si="25"/>
        <v>#N/A</v>
      </c>
      <c r="BI104" s="4" t="e">
        <f t="shared" si="25"/>
        <v>#N/A</v>
      </c>
      <c r="BJ104" s="4" t="e">
        <f t="shared" si="25"/>
        <v>#N/A</v>
      </c>
      <c r="BK104" s="4" t="e">
        <f t="shared" si="25"/>
        <v>#N/A</v>
      </c>
      <c r="BL104" s="4" t="e">
        <f t="shared" si="25"/>
        <v>#N/A</v>
      </c>
    </row>
    <row r="105" spans="2:64" x14ac:dyDescent="0.35">
      <c r="C105" s="34" t="s">
        <v>7</v>
      </c>
      <c r="D105" s="133">
        <f>D98</f>
        <v>0</v>
      </c>
      <c r="E105" s="133" t="e">
        <f t="shared" ref="E105:BL105" si="26">E103-E104</f>
        <v>#N/A</v>
      </c>
      <c r="F105" s="133" t="e">
        <f t="shared" si="26"/>
        <v>#N/A</v>
      </c>
      <c r="G105" s="133" t="e">
        <f t="shared" si="26"/>
        <v>#N/A</v>
      </c>
      <c r="H105" s="133" t="e">
        <f t="shared" si="26"/>
        <v>#N/A</v>
      </c>
      <c r="I105" s="133" t="e">
        <f t="shared" si="26"/>
        <v>#N/A</v>
      </c>
      <c r="J105" s="133" t="e">
        <f t="shared" si="26"/>
        <v>#N/A</v>
      </c>
      <c r="K105" s="133" t="e">
        <f t="shared" si="26"/>
        <v>#N/A</v>
      </c>
      <c r="L105" s="133" t="e">
        <f t="shared" si="26"/>
        <v>#N/A</v>
      </c>
      <c r="M105" s="133" t="e">
        <f t="shared" si="26"/>
        <v>#N/A</v>
      </c>
      <c r="N105" s="133" t="e">
        <f t="shared" si="26"/>
        <v>#N/A</v>
      </c>
      <c r="O105" s="133" t="e">
        <f t="shared" si="26"/>
        <v>#N/A</v>
      </c>
      <c r="P105" s="133" t="e">
        <f t="shared" si="26"/>
        <v>#N/A</v>
      </c>
      <c r="Q105" s="133" t="e">
        <f t="shared" si="26"/>
        <v>#N/A</v>
      </c>
      <c r="R105" s="133" t="e">
        <f t="shared" si="26"/>
        <v>#N/A</v>
      </c>
      <c r="S105" s="133" t="e">
        <f t="shared" si="26"/>
        <v>#N/A</v>
      </c>
      <c r="T105" s="133" t="e">
        <f t="shared" si="26"/>
        <v>#N/A</v>
      </c>
      <c r="U105" s="133" t="e">
        <f t="shared" si="26"/>
        <v>#N/A</v>
      </c>
      <c r="V105" s="133" t="e">
        <f t="shared" si="26"/>
        <v>#N/A</v>
      </c>
      <c r="W105" s="133" t="e">
        <f t="shared" si="26"/>
        <v>#N/A</v>
      </c>
      <c r="X105" s="133" t="e">
        <f t="shared" si="26"/>
        <v>#N/A</v>
      </c>
      <c r="Y105" s="133" t="e">
        <f t="shared" si="26"/>
        <v>#N/A</v>
      </c>
      <c r="Z105" s="133" t="e">
        <f t="shared" si="26"/>
        <v>#N/A</v>
      </c>
      <c r="AA105" s="133" t="e">
        <f t="shared" si="26"/>
        <v>#N/A</v>
      </c>
      <c r="AB105" s="133" t="e">
        <f t="shared" si="26"/>
        <v>#N/A</v>
      </c>
      <c r="AC105" s="133" t="e">
        <f t="shared" si="26"/>
        <v>#N/A</v>
      </c>
      <c r="AD105" s="133" t="e">
        <f t="shared" si="26"/>
        <v>#N/A</v>
      </c>
      <c r="AE105" s="133" t="e">
        <f t="shared" si="26"/>
        <v>#N/A</v>
      </c>
      <c r="AF105" s="133" t="e">
        <f t="shared" si="26"/>
        <v>#N/A</v>
      </c>
      <c r="AG105" s="133" t="e">
        <f t="shared" si="26"/>
        <v>#N/A</v>
      </c>
      <c r="AH105" s="133" t="e">
        <f t="shared" si="26"/>
        <v>#N/A</v>
      </c>
      <c r="AI105" s="133" t="e">
        <f t="shared" si="26"/>
        <v>#N/A</v>
      </c>
      <c r="AJ105" s="133" t="e">
        <f t="shared" si="26"/>
        <v>#N/A</v>
      </c>
      <c r="AK105" s="133" t="e">
        <f t="shared" si="26"/>
        <v>#N/A</v>
      </c>
      <c r="AL105" s="133" t="e">
        <f t="shared" si="26"/>
        <v>#N/A</v>
      </c>
      <c r="AM105" s="133" t="e">
        <f t="shared" si="26"/>
        <v>#N/A</v>
      </c>
      <c r="AN105" s="133" t="e">
        <f t="shared" si="26"/>
        <v>#N/A</v>
      </c>
      <c r="AO105" s="133" t="e">
        <f t="shared" si="26"/>
        <v>#N/A</v>
      </c>
      <c r="AP105" s="133" t="e">
        <f t="shared" si="26"/>
        <v>#N/A</v>
      </c>
      <c r="AQ105" s="133" t="e">
        <f t="shared" si="26"/>
        <v>#N/A</v>
      </c>
      <c r="AR105" s="133" t="e">
        <f t="shared" si="26"/>
        <v>#N/A</v>
      </c>
      <c r="AS105" s="133" t="e">
        <f t="shared" si="26"/>
        <v>#N/A</v>
      </c>
      <c r="AT105" s="133" t="e">
        <f t="shared" si="26"/>
        <v>#N/A</v>
      </c>
      <c r="AU105" s="133" t="e">
        <f t="shared" si="26"/>
        <v>#N/A</v>
      </c>
      <c r="AV105" s="133" t="e">
        <f t="shared" si="26"/>
        <v>#N/A</v>
      </c>
      <c r="AW105" s="133" t="e">
        <f t="shared" si="26"/>
        <v>#N/A</v>
      </c>
      <c r="AX105" s="133" t="e">
        <f t="shared" si="26"/>
        <v>#N/A</v>
      </c>
      <c r="AY105" s="133" t="e">
        <f t="shared" si="26"/>
        <v>#N/A</v>
      </c>
      <c r="AZ105" s="133" t="e">
        <f t="shared" si="26"/>
        <v>#N/A</v>
      </c>
      <c r="BA105" s="133" t="e">
        <f t="shared" si="26"/>
        <v>#N/A</v>
      </c>
      <c r="BB105" s="133" t="e">
        <f t="shared" si="26"/>
        <v>#N/A</v>
      </c>
      <c r="BC105" s="133" t="e">
        <f t="shared" si="26"/>
        <v>#N/A</v>
      </c>
      <c r="BD105" s="133" t="e">
        <f t="shared" si="26"/>
        <v>#N/A</v>
      </c>
      <c r="BE105" s="133" t="e">
        <f t="shared" si="26"/>
        <v>#N/A</v>
      </c>
      <c r="BF105" s="133" t="e">
        <f t="shared" si="26"/>
        <v>#N/A</v>
      </c>
      <c r="BG105" s="133" t="e">
        <f t="shared" si="26"/>
        <v>#N/A</v>
      </c>
      <c r="BH105" s="133" t="e">
        <f t="shared" si="26"/>
        <v>#N/A</v>
      </c>
      <c r="BI105" s="133" t="e">
        <f t="shared" si="26"/>
        <v>#N/A</v>
      </c>
      <c r="BJ105" s="133" t="e">
        <f t="shared" si="26"/>
        <v>#N/A</v>
      </c>
      <c r="BK105" s="133" t="e">
        <f t="shared" si="26"/>
        <v>#N/A</v>
      </c>
      <c r="BL105" s="47" t="e">
        <f t="shared" si="26"/>
        <v>#N/A</v>
      </c>
    </row>
    <row r="106" spans="2:64" x14ac:dyDescent="0.35">
      <c r="E106" s="4" t="e">
        <f t="shared" ref="E106:AJ106" si="27">E103*E78*E65*$D$61</f>
        <v>#N/A</v>
      </c>
      <c r="F106" s="4" t="e">
        <f t="shared" si="27"/>
        <v>#N/A</v>
      </c>
      <c r="G106" s="4" t="e">
        <f t="shared" si="27"/>
        <v>#N/A</v>
      </c>
      <c r="H106" s="4" t="e">
        <f t="shared" si="27"/>
        <v>#N/A</v>
      </c>
      <c r="I106" s="4" t="e">
        <f t="shared" si="27"/>
        <v>#N/A</v>
      </c>
      <c r="J106" s="4" t="e">
        <f t="shared" si="27"/>
        <v>#N/A</v>
      </c>
      <c r="K106" s="4" t="e">
        <f t="shared" si="27"/>
        <v>#N/A</v>
      </c>
      <c r="L106" s="4" t="e">
        <f t="shared" si="27"/>
        <v>#N/A</v>
      </c>
      <c r="M106" s="4" t="e">
        <f t="shared" si="27"/>
        <v>#N/A</v>
      </c>
      <c r="N106" s="4" t="e">
        <f t="shared" si="27"/>
        <v>#N/A</v>
      </c>
      <c r="O106" s="4" t="e">
        <f t="shared" si="27"/>
        <v>#N/A</v>
      </c>
      <c r="P106" s="4" t="e">
        <f t="shared" si="27"/>
        <v>#N/A</v>
      </c>
      <c r="Q106" s="4" t="e">
        <f t="shared" si="27"/>
        <v>#N/A</v>
      </c>
      <c r="R106" s="4" t="e">
        <f t="shared" si="27"/>
        <v>#N/A</v>
      </c>
      <c r="S106" s="4" t="e">
        <f t="shared" si="27"/>
        <v>#N/A</v>
      </c>
      <c r="T106" s="4" t="e">
        <f t="shared" si="27"/>
        <v>#N/A</v>
      </c>
      <c r="U106" s="4" t="e">
        <f t="shared" si="27"/>
        <v>#N/A</v>
      </c>
      <c r="V106" s="4" t="e">
        <f t="shared" si="27"/>
        <v>#N/A</v>
      </c>
      <c r="W106" s="4" t="e">
        <f t="shared" si="27"/>
        <v>#N/A</v>
      </c>
      <c r="X106" s="4" t="e">
        <f t="shared" si="27"/>
        <v>#N/A</v>
      </c>
      <c r="Y106" s="4" t="e">
        <f t="shared" si="27"/>
        <v>#N/A</v>
      </c>
      <c r="Z106" s="4" t="e">
        <f t="shared" si="27"/>
        <v>#N/A</v>
      </c>
      <c r="AA106" s="4" t="e">
        <f t="shared" si="27"/>
        <v>#N/A</v>
      </c>
      <c r="AB106" s="4" t="e">
        <f t="shared" si="27"/>
        <v>#N/A</v>
      </c>
      <c r="AC106" s="4" t="e">
        <f t="shared" si="27"/>
        <v>#N/A</v>
      </c>
      <c r="AD106" s="4" t="e">
        <f t="shared" si="27"/>
        <v>#N/A</v>
      </c>
      <c r="AE106" s="4" t="e">
        <f t="shared" si="27"/>
        <v>#N/A</v>
      </c>
      <c r="AF106" s="4" t="e">
        <f t="shared" si="27"/>
        <v>#N/A</v>
      </c>
      <c r="AG106" s="4" t="e">
        <f t="shared" si="27"/>
        <v>#N/A</v>
      </c>
      <c r="AH106" s="4" t="e">
        <f t="shared" si="27"/>
        <v>#N/A</v>
      </c>
      <c r="AI106" s="4" t="e">
        <f t="shared" si="27"/>
        <v>#N/A</v>
      </c>
      <c r="AJ106" s="4" t="e">
        <f t="shared" si="27"/>
        <v>#N/A</v>
      </c>
      <c r="AK106" s="4" t="e">
        <f t="shared" ref="AK106:BL106" si="28">AK103*AK78*AK65*$D$61</f>
        <v>#N/A</v>
      </c>
      <c r="AL106" s="4" t="e">
        <f t="shared" si="28"/>
        <v>#N/A</v>
      </c>
      <c r="AM106" s="4" t="e">
        <f t="shared" si="28"/>
        <v>#N/A</v>
      </c>
      <c r="AN106" s="4" t="e">
        <f t="shared" si="28"/>
        <v>#N/A</v>
      </c>
      <c r="AO106" s="4" t="e">
        <f t="shared" si="28"/>
        <v>#N/A</v>
      </c>
      <c r="AP106" s="4" t="e">
        <f t="shared" si="28"/>
        <v>#N/A</v>
      </c>
      <c r="AQ106" s="4" t="e">
        <f t="shared" si="28"/>
        <v>#N/A</v>
      </c>
      <c r="AR106" s="4" t="e">
        <f t="shared" si="28"/>
        <v>#N/A</v>
      </c>
      <c r="AS106" s="4" t="e">
        <f t="shared" si="28"/>
        <v>#N/A</v>
      </c>
      <c r="AT106" s="4" t="e">
        <f t="shared" si="28"/>
        <v>#N/A</v>
      </c>
      <c r="AU106" s="4" t="e">
        <f t="shared" si="28"/>
        <v>#N/A</v>
      </c>
      <c r="AV106" s="4" t="e">
        <f t="shared" si="28"/>
        <v>#N/A</v>
      </c>
      <c r="AW106" s="4" t="e">
        <f t="shared" si="28"/>
        <v>#N/A</v>
      </c>
      <c r="AX106" s="4" t="e">
        <f t="shared" si="28"/>
        <v>#N/A</v>
      </c>
      <c r="AY106" s="4" t="e">
        <f t="shared" si="28"/>
        <v>#N/A</v>
      </c>
      <c r="AZ106" s="4" t="e">
        <f t="shared" si="28"/>
        <v>#N/A</v>
      </c>
      <c r="BA106" s="4" t="e">
        <f t="shared" si="28"/>
        <v>#N/A</v>
      </c>
      <c r="BB106" s="4" t="e">
        <f t="shared" si="28"/>
        <v>#N/A</v>
      </c>
      <c r="BC106" s="4" t="e">
        <f t="shared" si="28"/>
        <v>#N/A</v>
      </c>
      <c r="BD106" s="4" t="e">
        <f t="shared" si="28"/>
        <v>#N/A</v>
      </c>
      <c r="BE106" s="4" t="e">
        <f t="shared" si="28"/>
        <v>#N/A</v>
      </c>
      <c r="BF106" s="4" t="e">
        <f t="shared" si="28"/>
        <v>#N/A</v>
      </c>
      <c r="BG106" s="4" t="e">
        <f t="shared" si="28"/>
        <v>#N/A</v>
      </c>
      <c r="BH106" s="4" t="e">
        <f t="shared" si="28"/>
        <v>#N/A</v>
      </c>
      <c r="BI106" s="4" t="e">
        <f t="shared" si="28"/>
        <v>#N/A</v>
      </c>
      <c r="BJ106" s="4" t="e">
        <f t="shared" si="28"/>
        <v>#N/A</v>
      </c>
      <c r="BK106" s="4" t="e">
        <f t="shared" si="28"/>
        <v>#N/A</v>
      </c>
      <c r="BL106" s="4" t="e">
        <f t="shared" si="28"/>
        <v>#N/A</v>
      </c>
    </row>
    <row r="108" spans="2:64" x14ac:dyDescent="0.35">
      <c r="C108" s="2" t="s">
        <v>75</v>
      </c>
      <c r="D108" s="39">
        <v>5</v>
      </c>
    </row>
    <row r="109" spans="2:64" x14ac:dyDescent="0.35">
      <c r="C109" s="2" t="s">
        <v>76</v>
      </c>
      <c r="D109" s="2">
        <f>D108*D60</f>
        <v>60</v>
      </c>
    </row>
    <row r="110" spans="2:64" x14ac:dyDescent="0.35">
      <c r="C110" s="2" t="s">
        <v>47</v>
      </c>
      <c r="D110" s="4" t="e">
        <f>LOOKUP(D109,64:64,105:105)</f>
        <v>#N/A</v>
      </c>
    </row>
    <row r="112" spans="2:64" x14ac:dyDescent="0.35"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/>
      <c r="BL112" s="4"/>
    </row>
  </sheetData>
  <conditionalFormatting sqref="E65:BL65 E76:BL79">
    <cfRule type="containsText" dxfId="2" priority="2" operator="containsText" text="F">
      <formula>NOT(ISERROR(SEARCH("F",E65)))</formula>
    </cfRule>
    <cfRule type="containsText" dxfId="1" priority="3" operator="containsText" text="T">
      <formula>NOT(ISERROR(SEARCH("T",E65)))</formula>
    </cfRule>
  </conditionalFormatting>
  <conditionalFormatting sqref="E64:BL106">
    <cfRule type="expression" dxfId="0" priority="1">
      <formula>E$65=TRUE</formula>
    </cfRule>
  </conditionalFormatting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4"/>
  <dimension ref="C1:J35"/>
  <sheetViews>
    <sheetView zoomScale="70" zoomScaleNormal="70" workbookViewId="0">
      <pane xSplit="5" ySplit="3" topLeftCell="F4" activePane="bottomRight" state="frozen"/>
      <selection pane="topRight" activeCell="F1" sqref="F1"/>
      <selection pane="bottomLeft" activeCell="A4" sqref="A4"/>
      <selection pane="bottomRight" activeCell="L17" sqref="L17"/>
    </sheetView>
  </sheetViews>
  <sheetFormatPr defaultColWidth="9.1796875" defaultRowHeight="14.5" x14ac:dyDescent="0.35"/>
  <cols>
    <col min="1" max="2" width="2" style="66" customWidth="1"/>
    <col min="3" max="3" width="27.6328125" style="66" customWidth="1"/>
    <col min="4" max="4" width="10.7265625" style="66" customWidth="1"/>
    <col min="5" max="16384" width="9.1796875" style="66"/>
  </cols>
  <sheetData>
    <row r="1" spans="3:10" ht="26" x14ac:dyDescent="0.6">
      <c r="C1" s="89" t="s">
        <v>168</v>
      </c>
    </row>
    <row r="2" spans="3:10" ht="26" x14ac:dyDescent="0.6">
      <c r="C2" s="89" t="s">
        <v>433</v>
      </c>
    </row>
    <row r="3" spans="3:10" ht="26" x14ac:dyDescent="0.6">
      <c r="C3" s="89" t="s">
        <v>586</v>
      </c>
    </row>
    <row r="5" spans="3:10" x14ac:dyDescent="0.35">
      <c r="C5" s="66" t="s">
        <v>24</v>
      </c>
      <c r="E5" s="74">
        <v>0.1</v>
      </c>
    </row>
    <row r="6" spans="3:10" x14ac:dyDescent="0.35">
      <c r="C6" s="66" t="s">
        <v>9</v>
      </c>
      <c r="E6" s="75">
        <v>1.5</v>
      </c>
    </row>
    <row r="7" spans="3:10" x14ac:dyDescent="0.35">
      <c r="C7" s="66" t="s">
        <v>423</v>
      </c>
      <c r="E7" s="75">
        <v>20</v>
      </c>
    </row>
    <row r="9" spans="3:10" x14ac:dyDescent="0.35">
      <c r="C9" s="66" t="s">
        <v>66</v>
      </c>
      <c r="E9" s="76">
        <v>100</v>
      </c>
      <c r="F9" s="71">
        <f>E9+20</f>
        <v>120</v>
      </c>
      <c r="G9" s="71">
        <f>F9+20</f>
        <v>140</v>
      </c>
      <c r="H9" s="71">
        <f>G9+20</f>
        <v>160</v>
      </c>
      <c r="I9" s="71">
        <f>H9+20</f>
        <v>180</v>
      </c>
      <c r="J9" s="71">
        <f>I9+20</f>
        <v>200</v>
      </c>
    </row>
    <row r="10" spans="3:10" x14ac:dyDescent="0.35">
      <c r="C10" s="66" t="s">
        <v>587</v>
      </c>
      <c r="E10" s="71">
        <f t="shared" ref="E10:J10" si="0">E9/$E$6</f>
        <v>66.666666666666671</v>
      </c>
      <c r="F10" s="71">
        <f t="shared" si="0"/>
        <v>80</v>
      </c>
      <c r="G10" s="71">
        <f t="shared" si="0"/>
        <v>93.333333333333329</v>
      </c>
      <c r="H10" s="71">
        <f t="shared" si="0"/>
        <v>106.66666666666667</v>
      </c>
      <c r="I10" s="71">
        <f t="shared" si="0"/>
        <v>120</v>
      </c>
      <c r="J10" s="71">
        <f t="shared" si="0"/>
        <v>133.33333333333334</v>
      </c>
    </row>
    <row r="11" spans="3:10" x14ac:dyDescent="0.35">
      <c r="C11" s="66" t="s">
        <v>161</v>
      </c>
      <c r="E11" s="71">
        <f t="shared" ref="E11:J11" si="1">$E$7</f>
        <v>20</v>
      </c>
      <c r="F11" s="71">
        <f t="shared" si="1"/>
        <v>20</v>
      </c>
      <c r="G11" s="71">
        <f t="shared" si="1"/>
        <v>20</v>
      </c>
      <c r="H11" s="71">
        <f t="shared" si="1"/>
        <v>20</v>
      </c>
      <c r="I11" s="71">
        <f t="shared" si="1"/>
        <v>20</v>
      </c>
      <c r="J11" s="71">
        <f t="shared" si="1"/>
        <v>20</v>
      </c>
    </row>
    <row r="12" spans="3:10" x14ac:dyDescent="0.35">
      <c r="E12" s="71"/>
      <c r="F12" s="71"/>
      <c r="G12" s="71"/>
      <c r="H12" s="71"/>
      <c r="I12" s="71"/>
      <c r="J12" s="71"/>
    </row>
    <row r="13" spans="3:10" x14ac:dyDescent="0.35">
      <c r="C13" s="66" t="s">
        <v>588</v>
      </c>
      <c r="D13" s="71">
        <f>NPV(E5,E10:J10)</f>
        <v>419.472995849423</v>
      </c>
      <c r="E13" s="71"/>
      <c r="F13" s="71"/>
      <c r="G13" s="71"/>
      <c r="H13" s="71"/>
      <c r="I13" s="71"/>
      <c r="J13" s="71"/>
    </row>
    <row r="14" spans="3:10" x14ac:dyDescent="0.35">
      <c r="C14" s="66" t="s">
        <v>327</v>
      </c>
      <c r="D14" s="71">
        <f>NPV(E5,E11:J11)</f>
        <v>87.10521398924449</v>
      </c>
    </row>
    <row r="15" spans="3:10" x14ac:dyDescent="0.35">
      <c r="C15" s="66" t="s">
        <v>589</v>
      </c>
      <c r="D15" s="71">
        <f>D13-D14</f>
        <v>332.36778186017852</v>
      </c>
    </row>
    <row r="17" spans="3:10" x14ac:dyDescent="0.35">
      <c r="C17" s="66" t="s">
        <v>108</v>
      </c>
    </row>
    <row r="18" spans="3:10" x14ac:dyDescent="0.35">
      <c r="C18" s="66" t="s">
        <v>5</v>
      </c>
      <c r="E18" s="71">
        <f t="shared" ref="E18:J18" si="2">D20</f>
        <v>332.36778186017858</v>
      </c>
      <c r="F18" s="71">
        <f t="shared" si="2"/>
        <v>318.93789337952978</v>
      </c>
      <c r="G18" s="71">
        <f t="shared" si="2"/>
        <v>290.83168271748275</v>
      </c>
      <c r="H18" s="71">
        <f t="shared" si="2"/>
        <v>246.5815176558977</v>
      </c>
      <c r="I18" s="71">
        <f t="shared" si="2"/>
        <v>184.57300275482081</v>
      </c>
      <c r="J18" s="71">
        <f t="shared" si="2"/>
        <v>103.03030303030289</v>
      </c>
    </row>
    <row r="19" spans="3:10" x14ac:dyDescent="0.35">
      <c r="C19" s="66" t="s">
        <v>74</v>
      </c>
      <c r="E19" s="71">
        <f t="shared" ref="E19:J19" si="3">E10-E21-E11</f>
        <v>13.429888480648813</v>
      </c>
      <c r="F19" s="71">
        <f t="shared" si="3"/>
        <v>28.106210662047019</v>
      </c>
      <c r="G19" s="71">
        <f t="shared" si="3"/>
        <v>44.250165061585051</v>
      </c>
      <c r="H19" s="71">
        <f t="shared" si="3"/>
        <v>62.008514901076893</v>
      </c>
      <c r="I19" s="71">
        <f t="shared" si="3"/>
        <v>81.542699724517917</v>
      </c>
      <c r="J19" s="71">
        <f t="shared" si="3"/>
        <v>103.03030303030306</v>
      </c>
    </row>
    <row r="20" spans="3:10" x14ac:dyDescent="0.35">
      <c r="C20" s="66" t="s">
        <v>7</v>
      </c>
      <c r="D20" s="71">
        <f>D30</f>
        <v>332.36778186017858</v>
      </c>
      <c r="E20" s="71">
        <f t="shared" ref="E20:J20" si="4">E18-E19</f>
        <v>318.93789337952978</v>
      </c>
      <c r="F20" s="71">
        <f t="shared" si="4"/>
        <v>290.83168271748275</v>
      </c>
      <c r="G20" s="71">
        <f t="shared" si="4"/>
        <v>246.5815176558977</v>
      </c>
      <c r="H20" s="71">
        <f t="shared" si="4"/>
        <v>184.57300275482081</v>
      </c>
      <c r="I20" s="71">
        <f t="shared" si="4"/>
        <v>103.03030303030289</v>
      </c>
      <c r="J20" s="72">
        <f t="shared" si="4"/>
        <v>-1.7053025658242404E-13</v>
      </c>
    </row>
    <row r="21" spans="3:10" x14ac:dyDescent="0.35">
      <c r="C21" s="66" t="s">
        <v>8</v>
      </c>
      <c r="D21" s="181">
        <f>E5</f>
        <v>0.1</v>
      </c>
      <c r="E21" s="71">
        <f t="shared" ref="E21:J21" si="5">E18*$E$5</f>
        <v>33.236778186017858</v>
      </c>
      <c r="F21" s="71">
        <f t="shared" si="5"/>
        <v>31.893789337952981</v>
      </c>
      <c r="G21" s="71">
        <f t="shared" si="5"/>
        <v>29.083168271748278</v>
      </c>
      <c r="H21" s="71">
        <f t="shared" si="5"/>
        <v>24.658151765589771</v>
      </c>
      <c r="I21" s="71">
        <f t="shared" si="5"/>
        <v>18.45730027548208</v>
      </c>
      <c r="J21" s="71">
        <f t="shared" si="5"/>
        <v>10.30303030303029</v>
      </c>
    </row>
    <row r="23" spans="3:10" x14ac:dyDescent="0.35">
      <c r="C23" s="66" t="s">
        <v>2</v>
      </c>
    </row>
    <row r="24" spans="3:10" x14ac:dyDescent="0.35">
      <c r="C24" s="66" t="s">
        <v>8</v>
      </c>
      <c r="E24" s="71">
        <f t="shared" ref="E24:J24" si="6">E21</f>
        <v>33.236778186017858</v>
      </c>
      <c r="F24" s="71">
        <f t="shared" si="6"/>
        <v>31.893789337952981</v>
      </c>
      <c r="G24" s="71">
        <f t="shared" si="6"/>
        <v>29.083168271748278</v>
      </c>
      <c r="H24" s="71">
        <f t="shared" si="6"/>
        <v>24.658151765589771</v>
      </c>
      <c r="I24" s="71">
        <f t="shared" si="6"/>
        <v>18.45730027548208</v>
      </c>
      <c r="J24" s="71">
        <f t="shared" si="6"/>
        <v>10.30303030303029</v>
      </c>
    </row>
    <row r="25" spans="3:10" x14ac:dyDescent="0.35">
      <c r="C25" s="66" t="s">
        <v>161</v>
      </c>
      <c r="D25" s="66">
        <f>E7</f>
        <v>20</v>
      </c>
      <c r="E25" s="71">
        <f t="shared" ref="E25:J25" si="7">E11</f>
        <v>20</v>
      </c>
      <c r="F25" s="71">
        <f t="shared" si="7"/>
        <v>20</v>
      </c>
      <c r="G25" s="71">
        <f t="shared" si="7"/>
        <v>20</v>
      </c>
      <c r="H25" s="71">
        <f t="shared" si="7"/>
        <v>20</v>
      </c>
      <c r="I25" s="71">
        <f t="shared" si="7"/>
        <v>20</v>
      </c>
      <c r="J25" s="71">
        <f t="shared" si="7"/>
        <v>20</v>
      </c>
    </row>
    <row r="26" spans="3:10" x14ac:dyDescent="0.35">
      <c r="C26" s="66" t="s">
        <v>28</v>
      </c>
      <c r="E26" s="71">
        <f t="shared" ref="E26:J26" si="8">E19</f>
        <v>13.429888480648813</v>
      </c>
      <c r="F26" s="71">
        <f t="shared" si="8"/>
        <v>28.106210662047019</v>
      </c>
      <c r="G26" s="71">
        <f t="shared" si="8"/>
        <v>44.250165061585051</v>
      </c>
      <c r="H26" s="71">
        <f t="shared" si="8"/>
        <v>62.008514901076893</v>
      </c>
      <c r="I26" s="71">
        <f t="shared" si="8"/>
        <v>81.542699724517917</v>
      </c>
      <c r="J26" s="71">
        <f t="shared" si="8"/>
        <v>103.03030303030306</v>
      </c>
    </row>
    <row r="27" spans="3:10" x14ac:dyDescent="0.35">
      <c r="C27" s="66" t="s">
        <v>9</v>
      </c>
      <c r="E27" s="71">
        <f t="shared" ref="E27:J27" si="9">E9/(E21+E19+E11)</f>
        <v>1.5</v>
      </c>
      <c r="F27" s="71">
        <f t="shared" si="9"/>
        <v>1.5</v>
      </c>
      <c r="G27" s="71">
        <f t="shared" si="9"/>
        <v>1.5</v>
      </c>
      <c r="H27" s="71">
        <f t="shared" si="9"/>
        <v>1.5000000000000002</v>
      </c>
      <c r="I27" s="71">
        <f t="shared" si="9"/>
        <v>1.5</v>
      </c>
      <c r="J27" s="71">
        <f t="shared" si="9"/>
        <v>1.5</v>
      </c>
    </row>
    <row r="29" spans="3:10" x14ac:dyDescent="0.35">
      <c r="C29" s="66" t="s">
        <v>177</v>
      </c>
      <c r="E29" s="71">
        <f t="shared" ref="E29:J29" si="10">E10-E11</f>
        <v>46.666666666666671</v>
      </c>
      <c r="F29" s="71">
        <f t="shared" si="10"/>
        <v>60</v>
      </c>
      <c r="G29" s="71">
        <f t="shared" si="10"/>
        <v>73.333333333333329</v>
      </c>
      <c r="H29" s="71">
        <f t="shared" si="10"/>
        <v>86.666666666666671</v>
      </c>
      <c r="I29" s="71">
        <f t="shared" si="10"/>
        <v>100</v>
      </c>
      <c r="J29" s="71">
        <f t="shared" si="10"/>
        <v>113.33333333333334</v>
      </c>
    </row>
    <row r="30" spans="3:10" x14ac:dyDescent="0.35">
      <c r="C30" s="66" t="s">
        <v>26</v>
      </c>
      <c r="D30" s="73">
        <f>NPV(E5,E29:J29)</f>
        <v>332.36778186017858</v>
      </c>
      <c r="E30" s="71"/>
      <c r="F30" s="71"/>
      <c r="G30" s="71"/>
      <c r="H30" s="71"/>
      <c r="I30" s="71"/>
      <c r="J30" s="71"/>
    </row>
    <row r="32" spans="3:10" x14ac:dyDescent="0.35">
      <c r="C32" s="66" t="s">
        <v>166</v>
      </c>
    </row>
    <row r="33" spans="3:3" x14ac:dyDescent="0.35">
      <c r="C33" s="66" t="s">
        <v>167</v>
      </c>
    </row>
    <row r="34" spans="3:3" x14ac:dyDescent="0.35">
      <c r="C34" s="66" t="s">
        <v>168</v>
      </c>
    </row>
    <row r="35" spans="3:3" x14ac:dyDescent="0.35">
      <c r="C35" s="66" t="s">
        <v>178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>
    <tabColor rgb="FFFFFF00"/>
  </sheetPr>
  <dimension ref="C1:K31"/>
  <sheetViews>
    <sheetView zoomScale="80" zoomScaleNormal="80" workbookViewId="0">
      <pane xSplit="5" ySplit="3" topLeftCell="F4" activePane="bottomRight" state="frozen"/>
      <selection pane="topRight" activeCell="F1" sqref="F1"/>
      <selection pane="bottomLeft" activeCell="A4" sqref="A4"/>
      <selection pane="bottomRight"/>
    </sheetView>
  </sheetViews>
  <sheetFormatPr defaultColWidth="9.1796875" defaultRowHeight="14.5" x14ac:dyDescent="0.35"/>
  <cols>
    <col min="1" max="2" width="2" style="66" customWidth="1"/>
    <col min="3" max="3" width="37.54296875" style="66" customWidth="1"/>
    <col min="4" max="4" width="10.7265625" style="66" customWidth="1"/>
    <col min="5" max="16384" width="9.1796875" style="66"/>
  </cols>
  <sheetData>
    <row r="1" spans="3:11" ht="26" x14ac:dyDescent="0.6">
      <c r="C1" s="89" t="s">
        <v>432</v>
      </c>
    </row>
    <row r="2" spans="3:11" ht="26" x14ac:dyDescent="0.6">
      <c r="C2" s="89" t="s">
        <v>483</v>
      </c>
    </row>
    <row r="3" spans="3:11" ht="26" x14ac:dyDescent="0.6">
      <c r="C3" s="89" t="s">
        <v>482</v>
      </c>
    </row>
    <row r="4" spans="3:11" x14ac:dyDescent="0.35">
      <c r="C4" s="66" t="s">
        <v>43</v>
      </c>
      <c r="E4" s="74">
        <v>0.05</v>
      </c>
    </row>
    <row r="5" spans="3:11" x14ac:dyDescent="0.35">
      <c r="C5" s="66" t="s">
        <v>9</v>
      </c>
      <c r="E5" s="75">
        <v>1.5</v>
      </c>
    </row>
    <row r="6" spans="3:11" x14ac:dyDescent="0.35">
      <c r="C6" s="66" t="s">
        <v>423</v>
      </c>
      <c r="E6" s="75">
        <v>20</v>
      </c>
    </row>
    <row r="8" spans="3:11" x14ac:dyDescent="0.35">
      <c r="C8" s="66" t="s">
        <v>66</v>
      </c>
      <c r="F8" s="76">
        <v>100</v>
      </c>
      <c r="G8" s="71">
        <f>F8+20</f>
        <v>120</v>
      </c>
      <c r="H8" s="71">
        <f>G8+20</f>
        <v>140</v>
      </c>
      <c r="I8" s="71">
        <f>H8+20</f>
        <v>160</v>
      </c>
      <c r="J8" s="71">
        <f>I8+20</f>
        <v>180</v>
      </c>
      <c r="K8" s="71">
        <f>J8+20</f>
        <v>200</v>
      </c>
    </row>
    <row r="9" spans="3:11" x14ac:dyDescent="0.35">
      <c r="C9" s="66" t="s">
        <v>23</v>
      </c>
      <c r="E9" s="66">
        <f>E5</f>
        <v>1.5</v>
      </c>
      <c r="F9" s="90"/>
      <c r="G9" s="90"/>
      <c r="H9" s="90"/>
      <c r="I9" s="90"/>
      <c r="J9" s="90"/>
      <c r="K9" s="90"/>
    </row>
    <row r="10" spans="3:11" x14ac:dyDescent="0.35">
      <c r="C10" s="66" t="s">
        <v>479</v>
      </c>
      <c r="F10" s="71">
        <f t="shared" ref="F10:K10" si="0">$E$6</f>
        <v>20</v>
      </c>
      <c r="G10" s="71">
        <f t="shared" si="0"/>
        <v>20</v>
      </c>
      <c r="H10" s="71">
        <f t="shared" si="0"/>
        <v>20</v>
      </c>
      <c r="I10" s="71">
        <f t="shared" si="0"/>
        <v>20</v>
      </c>
      <c r="J10" s="71">
        <f t="shared" si="0"/>
        <v>20</v>
      </c>
      <c r="K10" s="71">
        <f t="shared" si="0"/>
        <v>20</v>
      </c>
    </row>
    <row r="12" spans="3:11" x14ac:dyDescent="0.35">
      <c r="C12" s="66" t="s">
        <v>68</v>
      </c>
    </row>
    <row r="13" spans="3:11" x14ac:dyDescent="0.35">
      <c r="C13" s="66" t="s">
        <v>5</v>
      </c>
      <c r="F13" s="71">
        <f t="shared" ref="F13:K13" si="1">E15</f>
        <v>0</v>
      </c>
      <c r="G13" s="71">
        <f t="shared" si="1"/>
        <v>0</v>
      </c>
      <c r="H13" s="71">
        <f t="shared" si="1"/>
        <v>0</v>
      </c>
      <c r="I13" s="71">
        <f t="shared" si="1"/>
        <v>0</v>
      </c>
      <c r="J13" s="71">
        <f t="shared" si="1"/>
        <v>0</v>
      </c>
      <c r="K13" s="71">
        <f t="shared" si="1"/>
        <v>0</v>
      </c>
    </row>
    <row r="14" spans="3:11" x14ac:dyDescent="0.35">
      <c r="C14" s="66" t="s">
        <v>480</v>
      </c>
      <c r="F14" s="90"/>
      <c r="G14" s="90"/>
      <c r="H14" s="90"/>
      <c r="I14" s="90"/>
      <c r="J14" s="90"/>
      <c r="K14" s="90"/>
    </row>
    <row r="15" spans="3:11" x14ac:dyDescent="0.35">
      <c r="C15" s="144" t="s">
        <v>7</v>
      </c>
      <c r="D15" s="145"/>
      <c r="E15" s="146">
        <f>E26</f>
        <v>0</v>
      </c>
      <c r="F15" s="146">
        <f t="shared" ref="F15:K15" si="2">F13-F14</f>
        <v>0</v>
      </c>
      <c r="G15" s="146">
        <f t="shared" si="2"/>
        <v>0</v>
      </c>
      <c r="H15" s="146">
        <f t="shared" si="2"/>
        <v>0</v>
      </c>
      <c r="I15" s="146">
        <f t="shared" si="2"/>
        <v>0</v>
      </c>
      <c r="J15" s="146">
        <f t="shared" si="2"/>
        <v>0</v>
      </c>
      <c r="K15" s="147">
        <f t="shared" si="2"/>
        <v>0</v>
      </c>
    </row>
    <row r="16" spans="3:11" x14ac:dyDescent="0.35">
      <c r="C16" s="66" t="s">
        <v>8</v>
      </c>
      <c r="F16" s="71">
        <f t="shared" ref="F16:K16" si="3">F13*$E$4</f>
        <v>0</v>
      </c>
      <c r="G16" s="71">
        <f t="shared" si="3"/>
        <v>0</v>
      </c>
      <c r="H16" s="71">
        <f t="shared" si="3"/>
        <v>0</v>
      </c>
      <c r="I16" s="71">
        <f t="shared" si="3"/>
        <v>0</v>
      </c>
      <c r="J16" s="71">
        <f t="shared" si="3"/>
        <v>0</v>
      </c>
      <c r="K16" s="71">
        <f t="shared" si="3"/>
        <v>0</v>
      </c>
    </row>
    <row r="18" spans="3:11" x14ac:dyDescent="0.35">
      <c r="C18" s="66" t="s">
        <v>2</v>
      </c>
      <c r="F18" s="71">
        <f t="shared" ref="F18:K18" si="4">F8</f>
        <v>100</v>
      </c>
      <c r="G18" s="71">
        <f t="shared" si="4"/>
        <v>120</v>
      </c>
      <c r="H18" s="71">
        <f t="shared" si="4"/>
        <v>140</v>
      </c>
      <c r="I18" s="71">
        <f t="shared" si="4"/>
        <v>160</v>
      </c>
      <c r="J18" s="71">
        <f t="shared" si="4"/>
        <v>180</v>
      </c>
      <c r="K18" s="71">
        <f t="shared" si="4"/>
        <v>200</v>
      </c>
    </row>
    <row r="19" spans="3:11" x14ac:dyDescent="0.35">
      <c r="C19" s="66" t="s">
        <v>8</v>
      </c>
      <c r="F19" s="90"/>
      <c r="G19" s="90"/>
      <c r="H19" s="90"/>
      <c r="I19" s="90"/>
      <c r="J19" s="90"/>
      <c r="K19" s="90"/>
    </row>
    <row r="20" spans="3:11" x14ac:dyDescent="0.35">
      <c r="C20" s="66" t="s">
        <v>479</v>
      </c>
      <c r="F20" s="90"/>
      <c r="G20" s="90"/>
      <c r="H20" s="90"/>
      <c r="I20" s="90"/>
      <c r="J20" s="90"/>
      <c r="K20" s="90"/>
    </row>
    <row r="21" spans="3:11" x14ac:dyDescent="0.35">
      <c r="C21" s="66" t="s">
        <v>28</v>
      </c>
      <c r="F21" s="90"/>
      <c r="G21" s="90"/>
      <c r="H21" s="90"/>
      <c r="I21" s="90"/>
      <c r="J21" s="90"/>
      <c r="K21" s="90"/>
    </row>
    <row r="22" spans="3:11" ht="15" thickBot="1" x14ac:dyDescent="0.4">
      <c r="C22" s="91" t="s">
        <v>173</v>
      </c>
      <c r="D22" s="91"/>
      <c r="E22" s="91"/>
      <c r="F22" s="93"/>
      <c r="G22" s="93"/>
      <c r="H22" s="93"/>
      <c r="I22" s="93"/>
      <c r="J22" s="93"/>
      <c r="K22" s="93"/>
    </row>
    <row r="23" spans="3:11" x14ac:dyDescent="0.35">
      <c r="C23" s="66" t="s">
        <v>9</v>
      </c>
      <c r="F23" s="90"/>
      <c r="G23" s="90"/>
      <c r="H23" s="90"/>
      <c r="I23" s="90"/>
      <c r="J23" s="90"/>
      <c r="K23" s="90"/>
    </row>
    <row r="25" spans="3:11" x14ac:dyDescent="0.35">
      <c r="C25" s="66" t="s">
        <v>481</v>
      </c>
      <c r="F25" s="90"/>
      <c r="G25" s="90"/>
      <c r="H25" s="90"/>
      <c r="I25" s="90"/>
      <c r="J25" s="90"/>
      <c r="K25" s="90"/>
    </row>
    <row r="26" spans="3:11" x14ac:dyDescent="0.35">
      <c r="C26" s="66" t="s">
        <v>218</v>
      </c>
      <c r="E26" s="90"/>
      <c r="F26" s="71"/>
      <c r="G26" s="71"/>
      <c r="H26" s="71"/>
      <c r="I26" s="71"/>
      <c r="J26" s="71"/>
      <c r="K26" s="71"/>
    </row>
    <row r="28" spans="3:11" x14ac:dyDescent="0.35">
      <c r="C28" s="66" t="s">
        <v>166</v>
      </c>
    </row>
    <row r="29" spans="3:11" x14ac:dyDescent="0.35">
      <c r="C29" s="66" t="s">
        <v>167</v>
      </c>
    </row>
    <row r="30" spans="3:11" x14ac:dyDescent="0.35">
      <c r="C30" s="66" t="s">
        <v>168</v>
      </c>
    </row>
    <row r="31" spans="3:11" x14ac:dyDescent="0.35">
      <c r="C31" s="66" t="s">
        <v>178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8"/>
  <dimension ref="B1:K49"/>
  <sheetViews>
    <sheetView zoomScale="80" zoomScaleNormal="80"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G22" sqref="G22"/>
    </sheetView>
  </sheetViews>
  <sheetFormatPr defaultColWidth="9.1796875" defaultRowHeight="14.5" x14ac:dyDescent="0.35"/>
  <cols>
    <col min="1" max="2" width="2.54296875" style="66" customWidth="1"/>
    <col min="3" max="3" width="29.1796875" style="66" customWidth="1"/>
    <col min="4" max="4" width="9.7265625" style="66" customWidth="1"/>
    <col min="5" max="16384" width="9.1796875" style="66"/>
  </cols>
  <sheetData>
    <row r="1" spans="2:10" ht="26" x14ac:dyDescent="0.6">
      <c r="C1" s="89" t="s">
        <v>214</v>
      </c>
    </row>
    <row r="2" spans="2:10" ht="26" x14ac:dyDescent="0.6">
      <c r="C2" s="89" t="s">
        <v>224</v>
      </c>
    </row>
    <row r="3" spans="2:10" ht="26" x14ac:dyDescent="0.6">
      <c r="C3" s="89" t="s">
        <v>226</v>
      </c>
    </row>
    <row r="5" spans="2:10" x14ac:dyDescent="0.35">
      <c r="C5" s="66" t="s">
        <v>43</v>
      </c>
      <c r="E5" s="74">
        <v>7.0000000000000007E-2</v>
      </c>
    </row>
    <row r="6" spans="2:10" x14ac:dyDescent="0.35">
      <c r="C6" s="66" t="s">
        <v>9</v>
      </c>
      <c r="E6" s="75">
        <v>1.2</v>
      </c>
    </row>
    <row r="7" spans="2:10" x14ac:dyDescent="0.35">
      <c r="C7" s="66" t="s">
        <v>159</v>
      </c>
      <c r="E7" s="75">
        <v>10</v>
      </c>
    </row>
    <row r="8" spans="2:10" x14ac:dyDescent="0.35">
      <c r="C8" s="66" t="s">
        <v>170</v>
      </c>
      <c r="E8" s="75">
        <v>1</v>
      </c>
    </row>
    <row r="9" spans="2:10" x14ac:dyDescent="0.35">
      <c r="C9" s="66" t="s">
        <v>171</v>
      </c>
      <c r="E9" s="77">
        <v>0.03</v>
      </c>
    </row>
    <row r="11" spans="2:10" x14ac:dyDescent="0.35">
      <c r="C11" s="66" t="s">
        <v>66</v>
      </c>
      <c r="E11" s="76">
        <v>100</v>
      </c>
      <c r="F11" s="71">
        <f>E11+20</f>
        <v>120</v>
      </c>
      <c r="G11" s="71">
        <f>F11+20</f>
        <v>140</v>
      </c>
      <c r="H11" s="71">
        <f>G11+20</f>
        <v>160</v>
      </c>
      <c r="I11" s="71">
        <f>H11+20</f>
        <v>180</v>
      </c>
      <c r="J11" s="71">
        <f>I11+20</f>
        <v>200</v>
      </c>
    </row>
    <row r="12" spans="2:10" x14ac:dyDescent="0.35">
      <c r="C12" s="66" t="s">
        <v>23</v>
      </c>
      <c r="D12" s="66">
        <f>E6</f>
        <v>1.2</v>
      </c>
      <c r="E12" s="71">
        <f t="shared" ref="E12:J12" si="0">E11/$D$12</f>
        <v>83.333333333333343</v>
      </c>
      <c r="F12" s="71">
        <f t="shared" si="0"/>
        <v>100</v>
      </c>
      <c r="G12" s="71">
        <f t="shared" si="0"/>
        <v>116.66666666666667</v>
      </c>
      <c r="H12" s="71">
        <f t="shared" si="0"/>
        <v>133.33333333333334</v>
      </c>
      <c r="I12" s="71">
        <f t="shared" si="0"/>
        <v>150</v>
      </c>
      <c r="J12" s="71">
        <f t="shared" si="0"/>
        <v>166.66666666666669</v>
      </c>
    </row>
    <row r="13" spans="2:10" x14ac:dyDescent="0.35">
      <c r="C13" s="66" t="s">
        <v>161</v>
      </c>
      <c r="D13" s="66">
        <f>E7</f>
        <v>10</v>
      </c>
      <c r="E13" s="71">
        <f t="shared" ref="E13:J13" si="1">$D$13</f>
        <v>10</v>
      </c>
      <c r="F13" s="71">
        <f t="shared" si="1"/>
        <v>10</v>
      </c>
      <c r="G13" s="71">
        <f t="shared" si="1"/>
        <v>10</v>
      </c>
      <c r="H13" s="71">
        <f t="shared" si="1"/>
        <v>10</v>
      </c>
      <c r="I13" s="71">
        <f t="shared" si="1"/>
        <v>10</v>
      </c>
      <c r="J13" s="71">
        <f t="shared" si="1"/>
        <v>10</v>
      </c>
    </row>
    <row r="14" spans="2:10" x14ac:dyDescent="0.35">
      <c r="C14" s="66" t="s">
        <v>171</v>
      </c>
      <c r="E14" s="71">
        <f t="shared" ref="E14:J14" si="2">E36</f>
        <v>2.5</v>
      </c>
      <c r="F14" s="71">
        <f t="shared" si="2"/>
        <v>3</v>
      </c>
      <c r="G14" s="71">
        <f t="shared" si="2"/>
        <v>3.5000000000000004</v>
      </c>
      <c r="H14" s="71">
        <f t="shared" si="2"/>
        <v>4</v>
      </c>
      <c r="I14" s="71">
        <f t="shared" si="2"/>
        <v>4.5</v>
      </c>
      <c r="J14" s="71">
        <f t="shared" si="2"/>
        <v>4.9999999999999991</v>
      </c>
    </row>
    <row r="16" spans="2:10" x14ac:dyDescent="0.35">
      <c r="B16" s="66" t="s">
        <v>68</v>
      </c>
    </row>
    <row r="17" spans="3:10" x14ac:dyDescent="0.35">
      <c r="C17" s="66" t="s">
        <v>5</v>
      </c>
      <c r="E17" s="71">
        <f t="shared" ref="E17:J17" si="3">D19</f>
        <v>515.11363717592894</v>
      </c>
      <c r="F17" s="71">
        <f t="shared" si="3"/>
        <v>480.33825844491065</v>
      </c>
      <c r="G17" s="71">
        <f t="shared" si="3"/>
        <v>426.9619365360544</v>
      </c>
      <c r="H17" s="71">
        <f t="shared" si="3"/>
        <v>353.68260542691155</v>
      </c>
      <c r="I17" s="71">
        <f t="shared" si="3"/>
        <v>259.10705447346203</v>
      </c>
      <c r="J17" s="71">
        <f t="shared" si="3"/>
        <v>141.74454828660436</v>
      </c>
    </row>
    <row r="18" spans="3:10" x14ac:dyDescent="0.35">
      <c r="C18" s="66" t="s">
        <v>74</v>
      </c>
      <c r="E18" s="71">
        <f t="shared" ref="E18:J18" si="4">E12-E20-E13-E14</f>
        <v>34.775378731018314</v>
      </c>
      <c r="F18" s="71">
        <f t="shared" si="4"/>
        <v>53.376321908856255</v>
      </c>
      <c r="G18" s="71">
        <f t="shared" si="4"/>
        <v>73.279331109142859</v>
      </c>
      <c r="H18" s="71">
        <f t="shared" si="4"/>
        <v>94.575550953449536</v>
      </c>
      <c r="I18" s="71">
        <f t="shared" si="4"/>
        <v>117.36250618685767</v>
      </c>
      <c r="J18" s="71">
        <f t="shared" si="4"/>
        <v>141.74454828660438</v>
      </c>
    </row>
    <row r="19" spans="3:10" x14ac:dyDescent="0.35">
      <c r="C19" s="66" t="s">
        <v>7</v>
      </c>
      <c r="D19" s="71">
        <f>D31</f>
        <v>515.11363717592894</v>
      </c>
      <c r="E19" s="71">
        <f t="shared" ref="E19:J19" si="5">E17-E18</f>
        <v>480.33825844491065</v>
      </c>
      <c r="F19" s="71">
        <f t="shared" si="5"/>
        <v>426.9619365360544</v>
      </c>
      <c r="G19" s="71">
        <f t="shared" si="5"/>
        <v>353.68260542691155</v>
      </c>
      <c r="H19" s="71">
        <f t="shared" si="5"/>
        <v>259.10705447346203</v>
      </c>
      <c r="I19" s="71">
        <f t="shared" si="5"/>
        <v>141.74454828660436</v>
      </c>
      <c r="J19" s="72">
        <f t="shared" si="5"/>
        <v>0</v>
      </c>
    </row>
    <row r="20" spans="3:10" x14ac:dyDescent="0.35">
      <c r="C20" s="66" t="s">
        <v>8</v>
      </c>
      <c r="E20" s="71">
        <f t="shared" ref="E20:J20" si="6">E17*$E$5</f>
        <v>36.057954602315029</v>
      </c>
      <c r="F20" s="71">
        <f t="shared" si="6"/>
        <v>33.623678091143752</v>
      </c>
      <c r="G20" s="71">
        <f t="shared" si="6"/>
        <v>29.887335557523812</v>
      </c>
      <c r="H20" s="71">
        <f t="shared" si="6"/>
        <v>24.75778237988381</v>
      </c>
      <c r="I20" s="71">
        <f t="shared" si="6"/>
        <v>18.137493813142342</v>
      </c>
      <c r="J20" s="71">
        <f t="shared" si="6"/>
        <v>9.9221183800623063</v>
      </c>
    </row>
    <row r="22" spans="3:10" x14ac:dyDescent="0.35">
      <c r="C22" s="66" t="s">
        <v>2</v>
      </c>
      <c r="E22" s="71">
        <f t="shared" ref="E22:J22" si="7">E11</f>
        <v>100</v>
      </c>
      <c r="F22" s="71">
        <f t="shared" si="7"/>
        <v>120</v>
      </c>
      <c r="G22" s="71">
        <f t="shared" si="7"/>
        <v>140</v>
      </c>
      <c r="H22" s="71">
        <f t="shared" si="7"/>
        <v>160</v>
      </c>
      <c r="I22" s="71">
        <f t="shared" si="7"/>
        <v>180</v>
      </c>
      <c r="J22" s="71">
        <f t="shared" si="7"/>
        <v>200</v>
      </c>
    </row>
    <row r="23" spans="3:10" x14ac:dyDescent="0.35">
      <c r="C23" s="66" t="s">
        <v>8</v>
      </c>
      <c r="E23" s="71">
        <f t="shared" ref="E23:J23" si="8">E20</f>
        <v>36.057954602315029</v>
      </c>
      <c r="F23" s="71">
        <f t="shared" si="8"/>
        <v>33.623678091143752</v>
      </c>
      <c r="G23" s="71">
        <f t="shared" si="8"/>
        <v>29.887335557523812</v>
      </c>
      <c r="H23" s="71">
        <f t="shared" si="8"/>
        <v>24.75778237988381</v>
      </c>
      <c r="I23" s="71">
        <f t="shared" si="8"/>
        <v>18.137493813142342</v>
      </c>
      <c r="J23" s="71">
        <f t="shared" si="8"/>
        <v>9.9221183800623063</v>
      </c>
    </row>
    <row r="24" spans="3:10" x14ac:dyDescent="0.35">
      <c r="C24" s="66" t="s">
        <v>161</v>
      </c>
      <c r="E24" s="71">
        <f t="shared" ref="E24:J25" si="9">E13</f>
        <v>10</v>
      </c>
      <c r="F24" s="71">
        <f t="shared" si="9"/>
        <v>10</v>
      </c>
      <c r="G24" s="71">
        <f t="shared" si="9"/>
        <v>10</v>
      </c>
      <c r="H24" s="71">
        <f t="shared" si="9"/>
        <v>10</v>
      </c>
      <c r="I24" s="71">
        <f t="shared" si="9"/>
        <v>10</v>
      </c>
      <c r="J24" s="71">
        <f t="shared" si="9"/>
        <v>10</v>
      </c>
    </row>
    <row r="25" spans="3:10" x14ac:dyDescent="0.35">
      <c r="C25" s="66" t="s">
        <v>171</v>
      </c>
      <c r="E25" s="71">
        <f t="shared" si="9"/>
        <v>2.5</v>
      </c>
      <c r="F25" s="71">
        <f t="shared" si="9"/>
        <v>3</v>
      </c>
      <c r="G25" s="71">
        <f t="shared" si="9"/>
        <v>3.5000000000000004</v>
      </c>
      <c r="H25" s="71">
        <f t="shared" si="9"/>
        <v>4</v>
      </c>
      <c r="I25" s="71">
        <f t="shared" si="9"/>
        <v>4.5</v>
      </c>
      <c r="J25" s="71">
        <f t="shared" si="9"/>
        <v>4.9999999999999991</v>
      </c>
    </row>
    <row r="26" spans="3:10" x14ac:dyDescent="0.35">
      <c r="C26" s="66" t="s">
        <v>28</v>
      </c>
      <c r="E26" s="71">
        <f t="shared" ref="E26:J26" si="10">E18</f>
        <v>34.775378731018314</v>
      </c>
      <c r="F26" s="71">
        <f t="shared" si="10"/>
        <v>53.376321908856255</v>
      </c>
      <c r="G26" s="71">
        <f t="shared" si="10"/>
        <v>73.279331109142859</v>
      </c>
      <c r="H26" s="71">
        <f t="shared" si="10"/>
        <v>94.575550953449536</v>
      </c>
      <c r="I26" s="71">
        <f t="shared" si="10"/>
        <v>117.36250618685767</v>
      </c>
      <c r="J26" s="71">
        <f t="shared" si="10"/>
        <v>141.74454828660438</v>
      </c>
    </row>
    <row r="27" spans="3:10" ht="15" thickBot="1" x14ac:dyDescent="0.4">
      <c r="C27" s="91" t="s">
        <v>173</v>
      </c>
      <c r="D27" s="91"/>
      <c r="E27" s="92">
        <f t="shared" ref="E27:J27" si="11">SUM(E23:E26)</f>
        <v>83.333333333333343</v>
      </c>
      <c r="F27" s="92">
        <f t="shared" si="11"/>
        <v>100</v>
      </c>
      <c r="G27" s="92">
        <f t="shared" si="11"/>
        <v>116.66666666666667</v>
      </c>
      <c r="H27" s="92">
        <f t="shared" si="11"/>
        <v>133.33333333333334</v>
      </c>
      <c r="I27" s="92">
        <f t="shared" si="11"/>
        <v>150</v>
      </c>
      <c r="J27" s="92">
        <f t="shared" si="11"/>
        <v>166.66666666666669</v>
      </c>
    </row>
    <row r="28" spans="3:10" x14ac:dyDescent="0.35">
      <c r="C28" s="66" t="s">
        <v>9</v>
      </c>
      <c r="E28" s="71">
        <f t="shared" ref="E28:J28" si="12">IF(E27,E22/E27)</f>
        <v>1.2</v>
      </c>
      <c r="F28" s="71">
        <f t="shared" si="12"/>
        <v>1.2</v>
      </c>
      <c r="G28" s="71">
        <f t="shared" si="12"/>
        <v>1.2</v>
      </c>
      <c r="H28" s="71">
        <f t="shared" si="12"/>
        <v>1.2</v>
      </c>
      <c r="I28" s="71">
        <f t="shared" si="12"/>
        <v>1.2</v>
      </c>
      <c r="J28" s="71">
        <f t="shared" si="12"/>
        <v>1.2</v>
      </c>
    </row>
    <row r="30" spans="3:10" x14ac:dyDescent="0.35">
      <c r="C30" s="66" t="s">
        <v>165</v>
      </c>
      <c r="E30" s="71">
        <f t="shared" ref="E30:J30" si="13">E12-E13-E14</f>
        <v>70.833333333333343</v>
      </c>
      <c r="F30" s="71">
        <f t="shared" si="13"/>
        <v>87</v>
      </c>
      <c r="G30" s="71">
        <f t="shared" si="13"/>
        <v>103.16666666666667</v>
      </c>
      <c r="H30" s="71">
        <f t="shared" si="13"/>
        <v>119.33333333333334</v>
      </c>
      <c r="I30" s="71">
        <f t="shared" si="13"/>
        <v>135.5</v>
      </c>
      <c r="J30" s="71">
        <f t="shared" si="13"/>
        <v>151.66666666666669</v>
      </c>
    </row>
    <row r="31" spans="3:10" x14ac:dyDescent="0.35">
      <c r="C31" s="66" t="s">
        <v>26</v>
      </c>
      <c r="D31" s="71">
        <f>NPV(E5,E30:J30)</f>
        <v>515.11363717592894</v>
      </c>
      <c r="E31" s="71"/>
      <c r="F31" s="71"/>
      <c r="G31" s="71"/>
      <c r="H31" s="71"/>
      <c r="I31" s="71"/>
      <c r="J31" s="71"/>
    </row>
    <row r="33" spans="3:11" x14ac:dyDescent="0.35">
      <c r="C33" s="66" t="s">
        <v>225</v>
      </c>
      <c r="D33" s="71">
        <f>E27</f>
        <v>83.333333333333343</v>
      </c>
      <c r="E33" s="71">
        <f t="shared" ref="E33:J33" si="14">F27</f>
        <v>100</v>
      </c>
      <c r="F33" s="71">
        <f t="shared" si="14"/>
        <v>116.66666666666667</v>
      </c>
      <c r="G33" s="71">
        <f t="shared" si="14"/>
        <v>133.33333333333334</v>
      </c>
      <c r="H33" s="71">
        <f t="shared" si="14"/>
        <v>150</v>
      </c>
      <c r="I33" s="71">
        <f t="shared" si="14"/>
        <v>166.66666666666669</v>
      </c>
      <c r="J33" s="71">
        <f t="shared" si="14"/>
        <v>0</v>
      </c>
    </row>
    <row r="34" spans="3:11" x14ac:dyDescent="0.35">
      <c r="C34" s="66" t="s">
        <v>174</v>
      </c>
      <c r="D34" s="71">
        <f ca="1">SUM(OFFSET(D27,0,1,1,$E$8))</f>
        <v>83.333333333333343</v>
      </c>
      <c r="E34" s="71">
        <f t="shared" ref="E34:J34" ca="1" si="15">SUM(OFFSET(E27,0,1,1,$E$8))</f>
        <v>100</v>
      </c>
      <c r="F34" s="71">
        <f t="shared" ca="1" si="15"/>
        <v>116.66666666666667</v>
      </c>
      <c r="G34" s="71">
        <f t="shared" ca="1" si="15"/>
        <v>133.33333333333334</v>
      </c>
      <c r="H34" s="71">
        <f t="shared" ca="1" si="15"/>
        <v>150</v>
      </c>
      <c r="I34" s="71">
        <f t="shared" ca="1" si="15"/>
        <v>166.66666666666669</v>
      </c>
      <c r="J34" s="71">
        <f t="shared" ca="1" si="15"/>
        <v>0</v>
      </c>
    </row>
    <row r="35" spans="3:11" x14ac:dyDescent="0.35">
      <c r="C35" s="66" t="s">
        <v>171</v>
      </c>
      <c r="E35" s="71">
        <f t="shared" ref="E35:J35" ca="1" si="16">D34*$E$9</f>
        <v>2.5</v>
      </c>
      <c r="F35" s="71">
        <f t="shared" ca="1" si="16"/>
        <v>3</v>
      </c>
      <c r="G35" s="71">
        <f t="shared" ca="1" si="16"/>
        <v>3.5</v>
      </c>
      <c r="H35" s="71">
        <f t="shared" ca="1" si="16"/>
        <v>4</v>
      </c>
      <c r="I35" s="71">
        <f t="shared" ca="1" si="16"/>
        <v>4.5</v>
      </c>
      <c r="J35" s="71">
        <f t="shared" ca="1" si="16"/>
        <v>5</v>
      </c>
      <c r="K35" s="66" t="s">
        <v>227</v>
      </c>
    </row>
    <row r="36" spans="3:11" x14ac:dyDescent="0.35">
      <c r="C36" s="66" t="s">
        <v>176</v>
      </c>
      <c r="E36" s="76">
        <v>2.5</v>
      </c>
      <c r="F36" s="76">
        <v>3</v>
      </c>
      <c r="G36" s="76">
        <v>3.5000000000000004</v>
      </c>
      <c r="H36" s="76">
        <v>4</v>
      </c>
      <c r="I36" s="76">
        <v>4.5</v>
      </c>
      <c r="J36" s="76">
        <v>4.9999999999999991</v>
      </c>
      <c r="K36" s="66" t="s">
        <v>228</v>
      </c>
    </row>
    <row r="37" spans="3:11" x14ac:dyDescent="0.35">
      <c r="C37" s="66" t="s">
        <v>96</v>
      </c>
      <c r="D37" s="96">
        <f ca="1">SUM(E37:J37)</f>
        <v>0</v>
      </c>
      <c r="E37" s="71">
        <f t="shared" ref="E37:J37" ca="1" si="17">E35-E36</f>
        <v>0</v>
      </c>
      <c r="F37" s="71">
        <f t="shared" ca="1" si="17"/>
        <v>0</v>
      </c>
      <c r="G37" s="71">
        <f t="shared" ca="1" si="17"/>
        <v>0</v>
      </c>
      <c r="H37" s="71">
        <f t="shared" ca="1" si="17"/>
        <v>0</v>
      </c>
      <c r="I37" s="71">
        <f t="shared" ca="1" si="17"/>
        <v>0</v>
      </c>
      <c r="J37" s="71">
        <f t="shared" ca="1" si="17"/>
        <v>0</v>
      </c>
    </row>
    <row r="44" spans="3:11" x14ac:dyDescent="0.35">
      <c r="C44" s="66" t="s">
        <v>166</v>
      </c>
    </row>
    <row r="45" spans="3:11" x14ac:dyDescent="0.35">
      <c r="C45" s="66" t="s">
        <v>167</v>
      </c>
    </row>
    <row r="47" spans="3:11" x14ac:dyDescent="0.35">
      <c r="C47" s="66" t="s">
        <v>168</v>
      </c>
    </row>
    <row r="49" spans="3:3" x14ac:dyDescent="0.35">
      <c r="C49" s="66" t="s">
        <v>169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987" r:id="rId4" name="Button 147">
              <controlPr defaultSize="0" print="0" autoFill="0" autoPict="0" macro="[0]!LC_COPY_PASTE">
                <anchor moveWithCells="1" sizeWithCells="1">
                  <from>
                    <xdr:col>11</xdr:col>
                    <xdr:colOff>19050</xdr:colOff>
                    <xdr:row>5</xdr:row>
                    <xdr:rowOff>171450</xdr:rowOff>
                  </from>
                  <to>
                    <xdr:col>13</xdr:col>
                    <xdr:colOff>431800</xdr:colOff>
                    <xdr:row>8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">
    <tabColor rgb="FFFFFF00"/>
  </sheetPr>
  <dimension ref="B1:M47"/>
  <sheetViews>
    <sheetView zoomScale="80" zoomScaleNormal="80"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P25" sqref="P25"/>
    </sheetView>
  </sheetViews>
  <sheetFormatPr defaultColWidth="9.1796875" defaultRowHeight="14.5" x14ac:dyDescent="0.35"/>
  <cols>
    <col min="1" max="2" width="2.54296875" style="66" customWidth="1"/>
    <col min="3" max="3" width="28" style="66" customWidth="1"/>
    <col min="4" max="4" width="9.7265625" style="66" customWidth="1"/>
    <col min="5" max="16384" width="9.1796875" style="66"/>
  </cols>
  <sheetData>
    <row r="1" spans="2:10" ht="26" x14ac:dyDescent="0.6">
      <c r="C1" s="89" t="s">
        <v>214</v>
      </c>
    </row>
    <row r="2" spans="2:10" ht="26" x14ac:dyDescent="0.6">
      <c r="C2" s="89" t="s">
        <v>215</v>
      </c>
    </row>
    <row r="3" spans="2:10" s="97" customFormat="1" ht="26" x14ac:dyDescent="0.6">
      <c r="C3" s="132" t="s">
        <v>458</v>
      </c>
    </row>
    <row r="5" spans="2:10" x14ac:dyDescent="0.35">
      <c r="C5" s="66" t="s">
        <v>43</v>
      </c>
      <c r="E5" s="74">
        <v>0.05</v>
      </c>
    </row>
    <row r="6" spans="2:10" x14ac:dyDescent="0.35">
      <c r="C6" s="66" t="s">
        <v>9</v>
      </c>
      <c r="E6" s="75">
        <v>1.5</v>
      </c>
    </row>
    <row r="7" spans="2:10" x14ac:dyDescent="0.35">
      <c r="C7" s="66" t="s">
        <v>159</v>
      </c>
      <c r="E7" s="75">
        <v>20</v>
      </c>
    </row>
    <row r="8" spans="2:10" x14ac:dyDescent="0.35">
      <c r="C8" s="66" t="s">
        <v>170</v>
      </c>
      <c r="E8" s="75">
        <v>2</v>
      </c>
    </row>
    <row r="9" spans="2:10" x14ac:dyDescent="0.35">
      <c r="C9" s="66" t="s">
        <v>171</v>
      </c>
      <c r="E9" s="77">
        <v>0.01</v>
      </c>
    </row>
    <row r="11" spans="2:10" x14ac:dyDescent="0.35">
      <c r="C11" s="66" t="s">
        <v>160</v>
      </c>
      <c r="E11" s="76">
        <v>100</v>
      </c>
      <c r="F11" s="71">
        <f>E11+20</f>
        <v>120</v>
      </c>
      <c r="G11" s="71">
        <f>F11+20</f>
        <v>140</v>
      </c>
      <c r="H11" s="71">
        <f>G11+20</f>
        <v>160</v>
      </c>
      <c r="I11" s="71">
        <f>H11+20</f>
        <v>180</v>
      </c>
      <c r="J11" s="71">
        <f>I11+20</f>
        <v>200</v>
      </c>
    </row>
    <row r="12" spans="2:10" x14ac:dyDescent="0.35">
      <c r="C12" s="66" t="s">
        <v>23</v>
      </c>
      <c r="E12" s="71">
        <f t="shared" ref="E12:J12" si="0">E11/$E$6</f>
        <v>66.666666666666671</v>
      </c>
      <c r="F12" s="71">
        <f t="shared" si="0"/>
        <v>80</v>
      </c>
      <c r="G12" s="71">
        <f t="shared" si="0"/>
        <v>93.333333333333329</v>
      </c>
      <c r="H12" s="71">
        <f t="shared" si="0"/>
        <v>106.66666666666667</v>
      </c>
      <c r="I12" s="71">
        <f t="shared" si="0"/>
        <v>120</v>
      </c>
      <c r="J12" s="71">
        <f t="shared" si="0"/>
        <v>133.33333333333334</v>
      </c>
    </row>
    <row r="13" spans="2:10" x14ac:dyDescent="0.35">
      <c r="C13" s="66" t="s">
        <v>161</v>
      </c>
      <c r="E13" s="71">
        <f t="shared" ref="E13:J13" si="1">$E$7</f>
        <v>20</v>
      </c>
      <c r="F13" s="71">
        <f t="shared" si="1"/>
        <v>20</v>
      </c>
      <c r="G13" s="71">
        <f t="shared" si="1"/>
        <v>20</v>
      </c>
      <c r="H13" s="71">
        <f t="shared" si="1"/>
        <v>20</v>
      </c>
      <c r="I13" s="71">
        <f t="shared" si="1"/>
        <v>20</v>
      </c>
      <c r="J13" s="71">
        <f t="shared" si="1"/>
        <v>20</v>
      </c>
    </row>
    <row r="15" spans="2:10" x14ac:dyDescent="0.35">
      <c r="B15" s="66" t="s">
        <v>68</v>
      </c>
    </row>
    <row r="16" spans="2:10" x14ac:dyDescent="0.35">
      <c r="C16" s="66" t="s">
        <v>5</v>
      </c>
      <c r="D16" s="97"/>
      <c r="E16" s="90"/>
      <c r="F16" s="90"/>
      <c r="G16" s="90"/>
      <c r="H16" s="90"/>
      <c r="I16" s="90"/>
      <c r="J16" s="90"/>
    </row>
    <row r="17" spans="3:13" x14ac:dyDescent="0.35">
      <c r="C17" s="66" t="s">
        <v>74</v>
      </c>
      <c r="D17" s="97"/>
      <c r="E17" s="90"/>
      <c r="F17" s="90"/>
      <c r="G17" s="90"/>
      <c r="H17" s="90"/>
      <c r="I17" s="90"/>
      <c r="J17" s="90"/>
    </row>
    <row r="18" spans="3:13" x14ac:dyDescent="0.35">
      <c r="C18" s="66" t="s">
        <v>7</v>
      </c>
      <c r="D18" s="90"/>
      <c r="E18" s="90"/>
      <c r="F18" s="90"/>
      <c r="G18" s="90"/>
      <c r="H18" s="90"/>
      <c r="I18" s="90"/>
      <c r="J18" s="95"/>
    </row>
    <row r="19" spans="3:13" x14ac:dyDescent="0.35">
      <c r="C19" s="66" t="s">
        <v>8</v>
      </c>
      <c r="D19" s="97"/>
      <c r="E19" s="90"/>
      <c r="F19" s="90"/>
      <c r="G19" s="90"/>
      <c r="H19" s="90"/>
      <c r="I19" s="90"/>
      <c r="J19" s="90"/>
    </row>
    <row r="21" spans="3:13" x14ac:dyDescent="0.35">
      <c r="C21" s="66" t="s">
        <v>2</v>
      </c>
      <c r="E21" s="71">
        <f t="shared" ref="E21:J21" si="2">E11</f>
        <v>100</v>
      </c>
      <c r="F21" s="71">
        <f t="shared" si="2"/>
        <v>120</v>
      </c>
      <c r="G21" s="71">
        <f t="shared" si="2"/>
        <v>140</v>
      </c>
      <c r="H21" s="71">
        <f t="shared" si="2"/>
        <v>160</v>
      </c>
      <c r="I21" s="71">
        <f t="shared" si="2"/>
        <v>180</v>
      </c>
      <c r="J21" s="71">
        <f t="shared" si="2"/>
        <v>200</v>
      </c>
    </row>
    <row r="22" spans="3:13" x14ac:dyDescent="0.35">
      <c r="C22" s="66" t="s">
        <v>8</v>
      </c>
      <c r="E22" s="90"/>
      <c r="F22" s="90"/>
      <c r="G22" s="90"/>
      <c r="H22" s="90"/>
      <c r="I22" s="90"/>
      <c r="J22" s="90"/>
    </row>
    <row r="23" spans="3:13" x14ac:dyDescent="0.35">
      <c r="C23" s="66" t="s">
        <v>161</v>
      </c>
      <c r="E23" s="90"/>
      <c r="F23" s="90"/>
      <c r="G23" s="90"/>
      <c r="H23" s="90"/>
      <c r="I23" s="90"/>
      <c r="J23" s="90"/>
    </row>
    <row r="24" spans="3:13" x14ac:dyDescent="0.35">
      <c r="C24" s="66" t="s">
        <v>171</v>
      </c>
      <c r="E24" s="90"/>
      <c r="F24" s="90"/>
      <c r="G24" s="90"/>
      <c r="H24" s="90"/>
      <c r="I24" s="90"/>
      <c r="J24" s="90"/>
    </row>
    <row r="25" spans="3:13" x14ac:dyDescent="0.35">
      <c r="C25" s="66" t="s">
        <v>28</v>
      </c>
      <c r="E25" s="90"/>
      <c r="F25" s="90"/>
      <c r="G25" s="90"/>
      <c r="H25" s="90"/>
      <c r="I25" s="90"/>
      <c r="J25" s="90"/>
    </row>
    <row r="26" spans="3:13" ht="15" thickBot="1" x14ac:dyDescent="0.4">
      <c r="C26" s="91" t="s">
        <v>173</v>
      </c>
      <c r="D26" s="91"/>
      <c r="E26" s="92">
        <f t="shared" ref="E26:J26" si="3">SUM(E22:E25)</f>
        <v>0</v>
      </c>
      <c r="F26" s="92">
        <f t="shared" si="3"/>
        <v>0</v>
      </c>
      <c r="G26" s="92">
        <f t="shared" si="3"/>
        <v>0</v>
      </c>
      <c r="H26" s="92">
        <f t="shared" si="3"/>
        <v>0</v>
      </c>
      <c r="I26" s="92">
        <f t="shared" si="3"/>
        <v>0</v>
      </c>
      <c r="J26" s="92">
        <f t="shared" si="3"/>
        <v>0</v>
      </c>
    </row>
    <row r="27" spans="3:13" x14ac:dyDescent="0.35">
      <c r="C27" s="66" t="s">
        <v>9</v>
      </c>
      <c r="E27" s="71">
        <f t="shared" ref="E27:J27" si="4">E11/(E19+E17+E13)</f>
        <v>5</v>
      </c>
      <c r="F27" s="71">
        <f t="shared" si="4"/>
        <v>6</v>
      </c>
      <c r="G27" s="71">
        <f t="shared" si="4"/>
        <v>7</v>
      </c>
      <c r="H27" s="71">
        <f t="shared" si="4"/>
        <v>8</v>
      </c>
      <c r="I27" s="71">
        <f t="shared" si="4"/>
        <v>9</v>
      </c>
      <c r="J27" s="71">
        <f t="shared" si="4"/>
        <v>10</v>
      </c>
    </row>
    <row r="29" spans="3:13" x14ac:dyDescent="0.35">
      <c r="C29" s="66" t="s">
        <v>165</v>
      </c>
      <c r="E29" s="71"/>
      <c r="F29" s="71"/>
      <c r="G29" s="71"/>
      <c r="H29" s="71"/>
      <c r="I29" s="71"/>
      <c r="J29" s="71"/>
    </row>
    <row r="30" spans="3:13" x14ac:dyDescent="0.35">
      <c r="C30" s="66" t="s">
        <v>26</v>
      </c>
      <c r="D30" s="71"/>
      <c r="E30" s="71"/>
      <c r="F30" s="71"/>
      <c r="G30" s="71"/>
      <c r="H30" s="71"/>
      <c r="I30" s="71"/>
      <c r="J30" s="71"/>
    </row>
    <row r="32" spans="3:13" x14ac:dyDescent="0.35">
      <c r="C32" s="66" t="s">
        <v>174</v>
      </c>
      <c r="D32" s="71">
        <f ca="1">SUM(OFFSET(D26,0,1,1,$E$8))</f>
        <v>0</v>
      </c>
      <c r="E32" s="71">
        <f t="shared" ref="E32:J32" ca="1" si="5">SUM(OFFSET(E26,0,1,1,$E$8))</f>
        <v>0</v>
      </c>
      <c r="F32" s="71">
        <f t="shared" ca="1" si="5"/>
        <v>0</v>
      </c>
      <c r="G32" s="71">
        <f t="shared" ca="1" si="5"/>
        <v>0</v>
      </c>
      <c r="H32" s="71">
        <f t="shared" ca="1" si="5"/>
        <v>0</v>
      </c>
      <c r="I32" s="71">
        <f t="shared" ca="1" si="5"/>
        <v>0</v>
      </c>
      <c r="J32" s="71">
        <f t="shared" ca="1" si="5"/>
        <v>0</v>
      </c>
      <c r="M32" s="66" t="s">
        <v>485</v>
      </c>
    </row>
    <row r="33" spans="3:10" x14ac:dyDescent="0.35">
      <c r="C33" s="66" t="s">
        <v>171</v>
      </c>
      <c r="E33" s="90"/>
      <c r="F33" s="90"/>
      <c r="G33" s="90"/>
      <c r="H33" s="90"/>
      <c r="I33" s="90"/>
      <c r="J33" s="90"/>
    </row>
    <row r="34" spans="3:10" x14ac:dyDescent="0.35">
      <c r="C34" s="66" t="s">
        <v>484</v>
      </c>
      <c r="E34" s="76"/>
      <c r="F34" s="76"/>
      <c r="G34" s="76"/>
      <c r="H34" s="76"/>
      <c r="I34" s="76"/>
      <c r="J34" s="76"/>
    </row>
    <row r="35" spans="3:10" x14ac:dyDescent="0.35">
      <c r="C35" s="66" t="s">
        <v>96</v>
      </c>
      <c r="D35" s="71">
        <f>SUM(E35:J35)</f>
        <v>0</v>
      </c>
      <c r="E35" s="71"/>
      <c r="F35" s="71"/>
      <c r="G35" s="71"/>
      <c r="H35" s="71"/>
      <c r="I35" s="71"/>
      <c r="J35" s="71"/>
    </row>
    <row r="42" spans="3:10" x14ac:dyDescent="0.35">
      <c r="C42" s="66" t="s">
        <v>166</v>
      </c>
    </row>
    <row r="43" spans="3:10" x14ac:dyDescent="0.35">
      <c r="C43" s="66" t="s">
        <v>167</v>
      </c>
    </row>
    <row r="45" spans="3:10" x14ac:dyDescent="0.35">
      <c r="C45" s="66" t="s">
        <v>168</v>
      </c>
    </row>
    <row r="47" spans="3:10" x14ac:dyDescent="0.35">
      <c r="C47" s="66" t="s">
        <v>169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C1:M49"/>
  <sheetViews>
    <sheetView zoomScale="80" zoomScaleNormal="8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L7" sqref="L7"/>
    </sheetView>
  </sheetViews>
  <sheetFormatPr defaultColWidth="9.1796875" defaultRowHeight="14.5" x14ac:dyDescent="0.35"/>
  <cols>
    <col min="1" max="2" width="2.7265625" style="66" customWidth="1"/>
    <col min="3" max="3" width="16.54296875" style="66" customWidth="1"/>
    <col min="4" max="4" width="11.1796875" style="66" customWidth="1"/>
    <col min="5" max="10" width="11.7265625" style="66" bestFit="1" customWidth="1"/>
    <col min="11" max="16384" width="9.1796875" style="66"/>
  </cols>
  <sheetData>
    <row r="1" spans="3:13" ht="26" x14ac:dyDescent="0.6">
      <c r="C1" s="89" t="s">
        <v>212</v>
      </c>
    </row>
    <row r="2" spans="3:13" ht="26" x14ac:dyDescent="0.6">
      <c r="C2" s="89" t="s">
        <v>299</v>
      </c>
    </row>
    <row r="3" spans="3:13" ht="26" x14ac:dyDescent="0.6">
      <c r="C3" s="89" t="s">
        <v>231</v>
      </c>
    </row>
    <row r="5" spans="3:13" x14ac:dyDescent="0.35">
      <c r="C5" s="66" t="s">
        <v>43</v>
      </c>
      <c r="E5" s="67">
        <v>0.05</v>
      </c>
    </row>
    <row r="6" spans="3:13" x14ac:dyDescent="0.35">
      <c r="C6" s="66" t="s">
        <v>9</v>
      </c>
      <c r="E6" s="68">
        <v>1.2</v>
      </c>
    </row>
    <row r="7" spans="3:13" x14ac:dyDescent="0.35">
      <c r="C7" s="66" t="s">
        <v>159</v>
      </c>
      <c r="E7" s="68">
        <v>20</v>
      </c>
    </row>
    <row r="8" spans="3:13" x14ac:dyDescent="0.35">
      <c r="C8" s="66" t="s">
        <v>170</v>
      </c>
      <c r="E8" s="68">
        <v>2</v>
      </c>
    </row>
    <row r="9" spans="3:13" x14ac:dyDescent="0.35">
      <c r="C9" s="66" t="s">
        <v>171</v>
      </c>
      <c r="E9" s="69">
        <v>0.02</v>
      </c>
      <c r="M9" s="66">
        <v>1</v>
      </c>
    </row>
    <row r="10" spans="3:13" x14ac:dyDescent="0.35">
      <c r="C10" s="66" t="s">
        <v>172</v>
      </c>
      <c r="E10" s="70">
        <v>6</v>
      </c>
    </row>
    <row r="12" spans="3:13" x14ac:dyDescent="0.35">
      <c r="C12" s="66" t="s">
        <v>160</v>
      </c>
      <c r="E12" s="70">
        <v>100</v>
      </c>
      <c r="F12" s="71">
        <f>E12+20</f>
        <v>120</v>
      </c>
      <c r="G12" s="71">
        <f>F12+20</f>
        <v>140</v>
      </c>
      <c r="H12" s="71">
        <f>G12+20</f>
        <v>160</v>
      </c>
      <c r="I12" s="71">
        <f>H12+20</f>
        <v>180</v>
      </c>
      <c r="J12" s="71">
        <f>I12+20</f>
        <v>200</v>
      </c>
    </row>
    <row r="13" spans="3:13" x14ac:dyDescent="0.35">
      <c r="C13" s="66" t="s">
        <v>23</v>
      </c>
      <c r="E13" s="71">
        <f t="shared" ref="E13:J13" si="0">E12/$E$6</f>
        <v>83.333333333333343</v>
      </c>
      <c r="F13" s="71">
        <f t="shared" si="0"/>
        <v>100</v>
      </c>
      <c r="G13" s="71">
        <f t="shared" si="0"/>
        <v>116.66666666666667</v>
      </c>
      <c r="H13" s="71">
        <f t="shared" si="0"/>
        <v>133.33333333333334</v>
      </c>
      <c r="I13" s="71">
        <f t="shared" si="0"/>
        <v>150</v>
      </c>
      <c r="J13" s="71">
        <f t="shared" si="0"/>
        <v>166.66666666666669</v>
      </c>
    </row>
    <row r="14" spans="3:13" x14ac:dyDescent="0.35">
      <c r="C14" s="66" t="s">
        <v>161</v>
      </c>
      <c r="E14" s="71">
        <f t="shared" ref="E14:J14" si="1">$E$7</f>
        <v>20</v>
      </c>
      <c r="F14" s="71">
        <f t="shared" si="1"/>
        <v>20</v>
      </c>
      <c r="G14" s="71">
        <f t="shared" si="1"/>
        <v>20</v>
      </c>
      <c r="H14" s="71">
        <f t="shared" si="1"/>
        <v>20</v>
      </c>
      <c r="I14" s="71">
        <f t="shared" si="1"/>
        <v>20</v>
      </c>
      <c r="J14" s="71">
        <f t="shared" si="1"/>
        <v>20</v>
      </c>
    </row>
    <row r="15" spans="3:13" x14ac:dyDescent="0.35">
      <c r="C15" s="66" t="s">
        <v>171</v>
      </c>
      <c r="E15" s="71">
        <f t="shared" ref="E15:J15" si="2">E36</f>
        <v>3.666666666666667</v>
      </c>
      <c r="F15" s="71">
        <f t="shared" si="2"/>
        <v>4.3333333333333339</v>
      </c>
      <c r="G15" s="71">
        <f t="shared" si="2"/>
        <v>5</v>
      </c>
      <c r="H15" s="71">
        <f t="shared" si="2"/>
        <v>5.6666666666666679</v>
      </c>
      <c r="I15" s="71">
        <f t="shared" si="2"/>
        <v>6.3333333333333339</v>
      </c>
      <c r="J15" s="71">
        <f t="shared" si="2"/>
        <v>3.3333333333333339</v>
      </c>
    </row>
    <row r="17" spans="3:10" x14ac:dyDescent="0.35">
      <c r="C17" s="66" t="s">
        <v>108</v>
      </c>
    </row>
    <row r="18" spans="3:10" x14ac:dyDescent="0.35">
      <c r="C18" s="66" t="s">
        <v>162</v>
      </c>
      <c r="E18" s="71">
        <f t="shared" ref="E18:J18" si="3">D20</f>
        <v>497.0736497845499</v>
      </c>
      <c r="F18" s="71">
        <f t="shared" si="3"/>
        <v>462.2606656071107</v>
      </c>
      <c r="G18" s="71">
        <f t="shared" si="3"/>
        <v>409.70703222079959</v>
      </c>
      <c r="H18" s="71">
        <f t="shared" si="3"/>
        <v>338.52571716517286</v>
      </c>
      <c r="I18" s="71">
        <f t="shared" si="3"/>
        <v>247.78533635676484</v>
      </c>
      <c r="J18" s="71">
        <f t="shared" si="3"/>
        <v>136.50793650793639</v>
      </c>
    </row>
    <row r="19" spans="3:10" x14ac:dyDescent="0.35">
      <c r="C19" s="66" t="s">
        <v>163</v>
      </c>
      <c r="E19" s="71">
        <f t="shared" ref="E19:J19" si="4">E13-E21-E14-E15</f>
        <v>34.812984177439183</v>
      </c>
      <c r="F19" s="71">
        <f t="shared" si="4"/>
        <v>52.553633386311127</v>
      </c>
      <c r="G19" s="71">
        <f t="shared" si="4"/>
        <v>71.181315055626698</v>
      </c>
      <c r="H19" s="71">
        <f t="shared" si="4"/>
        <v>90.740380808408034</v>
      </c>
      <c r="I19" s="71">
        <f t="shared" si="4"/>
        <v>111.27739984882844</v>
      </c>
      <c r="J19" s="71">
        <f t="shared" si="4"/>
        <v>136.50793650793653</v>
      </c>
    </row>
    <row r="20" spans="3:10" x14ac:dyDescent="0.35">
      <c r="C20" s="66" t="s">
        <v>164</v>
      </c>
      <c r="D20" s="71">
        <f>D32</f>
        <v>497.0736497845499</v>
      </c>
      <c r="E20" s="71">
        <f t="shared" ref="E20:J20" si="5">E18-E19</f>
        <v>462.2606656071107</v>
      </c>
      <c r="F20" s="71">
        <f t="shared" si="5"/>
        <v>409.70703222079959</v>
      </c>
      <c r="G20" s="71">
        <f t="shared" si="5"/>
        <v>338.52571716517286</v>
      </c>
      <c r="H20" s="71">
        <f t="shared" si="5"/>
        <v>247.78533635676484</v>
      </c>
      <c r="I20" s="71">
        <f t="shared" si="5"/>
        <v>136.50793650793639</v>
      </c>
      <c r="J20" s="72">
        <f t="shared" si="5"/>
        <v>0</v>
      </c>
    </row>
    <row r="21" spans="3:10" x14ac:dyDescent="0.35">
      <c r="C21" s="66" t="s">
        <v>8</v>
      </c>
      <c r="E21" s="71">
        <f t="shared" ref="E21:J21" si="6">E18*$E$5</f>
        <v>24.853682489227495</v>
      </c>
      <c r="F21" s="71">
        <f t="shared" si="6"/>
        <v>23.113033280355538</v>
      </c>
      <c r="G21" s="71">
        <f t="shared" si="6"/>
        <v>20.485351611039981</v>
      </c>
      <c r="H21" s="71">
        <f t="shared" si="6"/>
        <v>16.926285858258645</v>
      </c>
      <c r="I21" s="71">
        <f t="shared" si="6"/>
        <v>12.389266817838243</v>
      </c>
      <c r="J21" s="71">
        <f t="shared" si="6"/>
        <v>6.8253968253968198</v>
      </c>
    </row>
    <row r="23" spans="3:10" x14ac:dyDescent="0.35">
      <c r="C23" s="66" t="s">
        <v>2</v>
      </c>
    </row>
    <row r="24" spans="3:10" x14ac:dyDescent="0.35">
      <c r="C24" s="66" t="s">
        <v>8</v>
      </c>
      <c r="E24" s="71">
        <f t="shared" ref="E24:J24" si="7">E21</f>
        <v>24.853682489227495</v>
      </c>
      <c r="F24" s="71">
        <f t="shared" si="7"/>
        <v>23.113033280355538</v>
      </c>
      <c r="G24" s="71">
        <f t="shared" si="7"/>
        <v>20.485351611039981</v>
      </c>
      <c r="H24" s="71">
        <f t="shared" si="7"/>
        <v>16.926285858258645</v>
      </c>
      <c r="I24" s="71">
        <f t="shared" si="7"/>
        <v>12.389266817838243</v>
      </c>
      <c r="J24" s="71">
        <f t="shared" si="7"/>
        <v>6.8253968253968198</v>
      </c>
    </row>
    <row r="25" spans="3:10" x14ac:dyDescent="0.35">
      <c r="C25" s="66" t="s">
        <v>161</v>
      </c>
      <c r="E25" s="71">
        <f t="shared" ref="E25:J25" si="8">E14</f>
        <v>20</v>
      </c>
      <c r="F25" s="71">
        <f t="shared" si="8"/>
        <v>20</v>
      </c>
      <c r="G25" s="71">
        <f t="shared" si="8"/>
        <v>20</v>
      </c>
      <c r="H25" s="71">
        <f t="shared" si="8"/>
        <v>20</v>
      </c>
      <c r="I25" s="71">
        <f t="shared" si="8"/>
        <v>20</v>
      </c>
      <c r="J25" s="71">
        <f t="shared" si="8"/>
        <v>20</v>
      </c>
    </row>
    <row r="26" spans="3:10" x14ac:dyDescent="0.35">
      <c r="C26" s="144" t="s">
        <v>171</v>
      </c>
      <c r="D26" s="145"/>
      <c r="E26" s="146">
        <f t="shared" ref="E26:J26" si="9">E36</f>
        <v>3.666666666666667</v>
      </c>
      <c r="F26" s="146">
        <f t="shared" si="9"/>
        <v>4.3333333333333339</v>
      </c>
      <c r="G26" s="146">
        <f t="shared" si="9"/>
        <v>5</v>
      </c>
      <c r="H26" s="146">
        <f t="shared" si="9"/>
        <v>5.6666666666666679</v>
      </c>
      <c r="I26" s="146">
        <f t="shared" si="9"/>
        <v>6.3333333333333339</v>
      </c>
      <c r="J26" s="152">
        <f t="shared" si="9"/>
        <v>3.3333333333333339</v>
      </c>
    </row>
    <row r="27" spans="3:10" x14ac:dyDescent="0.35">
      <c r="C27" s="66" t="s">
        <v>28</v>
      </c>
      <c r="E27" s="71">
        <f t="shared" ref="E27:J27" si="10">E19</f>
        <v>34.812984177439183</v>
      </c>
      <c r="F27" s="71">
        <f t="shared" si="10"/>
        <v>52.553633386311127</v>
      </c>
      <c r="G27" s="71">
        <f t="shared" si="10"/>
        <v>71.181315055626698</v>
      </c>
      <c r="H27" s="71">
        <f t="shared" si="10"/>
        <v>90.740380808408034</v>
      </c>
      <c r="I27" s="71">
        <f t="shared" si="10"/>
        <v>111.27739984882844</v>
      </c>
      <c r="J27" s="71">
        <f t="shared" si="10"/>
        <v>136.50793650793653</v>
      </c>
    </row>
    <row r="28" spans="3:10" x14ac:dyDescent="0.35">
      <c r="C28" s="66" t="s">
        <v>173</v>
      </c>
      <c r="E28" s="71">
        <f t="shared" ref="E28:J28" si="11">SUM(E24:E27)</f>
        <v>83.333333333333343</v>
      </c>
      <c r="F28" s="71">
        <f t="shared" si="11"/>
        <v>100</v>
      </c>
      <c r="G28" s="71">
        <f t="shared" si="11"/>
        <v>116.66666666666669</v>
      </c>
      <c r="H28" s="71">
        <f t="shared" si="11"/>
        <v>133.33333333333334</v>
      </c>
      <c r="I28" s="71">
        <f t="shared" si="11"/>
        <v>150</v>
      </c>
      <c r="J28" s="71">
        <f t="shared" si="11"/>
        <v>166.66666666666669</v>
      </c>
    </row>
    <row r="29" spans="3:10" x14ac:dyDescent="0.35">
      <c r="C29" s="66" t="s">
        <v>9</v>
      </c>
      <c r="E29" s="71">
        <f t="shared" ref="E29:J29" si="12">E12/(E21+E19+E14+E15)</f>
        <v>1.1999999999999997</v>
      </c>
      <c r="F29" s="71">
        <f t="shared" si="12"/>
        <v>1.2000000000000002</v>
      </c>
      <c r="G29" s="71">
        <f t="shared" si="12"/>
        <v>1.1999999999999997</v>
      </c>
      <c r="H29" s="71">
        <f t="shared" si="12"/>
        <v>1.2</v>
      </c>
      <c r="I29" s="71">
        <f t="shared" si="12"/>
        <v>1.1999999999999997</v>
      </c>
      <c r="J29" s="71">
        <f t="shared" si="12"/>
        <v>1.2</v>
      </c>
    </row>
    <row r="31" spans="3:10" x14ac:dyDescent="0.35">
      <c r="C31" s="66" t="s">
        <v>165</v>
      </c>
      <c r="E31" s="71">
        <f t="shared" ref="E31:J31" si="13">E13-E14-E15</f>
        <v>59.666666666666679</v>
      </c>
      <c r="F31" s="71">
        <f t="shared" si="13"/>
        <v>75.666666666666671</v>
      </c>
      <c r="G31" s="71">
        <f t="shared" si="13"/>
        <v>91.666666666666671</v>
      </c>
      <c r="H31" s="71">
        <f t="shared" si="13"/>
        <v>107.66666666666667</v>
      </c>
      <c r="I31" s="71">
        <f t="shared" si="13"/>
        <v>123.66666666666667</v>
      </c>
      <c r="J31" s="71">
        <f t="shared" si="13"/>
        <v>143.33333333333334</v>
      </c>
    </row>
    <row r="32" spans="3:10" x14ac:dyDescent="0.35">
      <c r="C32" s="66" t="s">
        <v>26</v>
      </c>
      <c r="D32" s="73">
        <f>NPV(E5,E31:J31)</f>
        <v>497.0736497845499</v>
      </c>
      <c r="E32" s="71"/>
      <c r="F32" s="71"/>
      <c r="G32" s="71"/>
      <c r="H32" s="71"/>
      <c r="I32" s="71"/>
      <c r="J32" s="71"/>
    </row>
    <row r="34" spans="3:10" x14ac:dyDescent="0.35">
      <c r="C34" s="66" t="s">
        <v>174</v>
      </c>
      <c r="D34" s="71">
        <f t="shared" ref="D34:J34" ca="1" si="14">SUM(OFFSET(D28,0,1,1,$E$8))</f>
        <v>183.33333333333334</v>
      </c>
      <c r="E34" s="71">
        <f t="shared" ca="1" si="14"/>
        <v>216.66666666666669</v>
      </c>
      <c r="F34" s="71">
        <f t="shared" ca="1" si="14"/>
        <v>250.00000000000003</v>
      </c>
      <c r="G34" s="71">
        <f t="shared" ca="1" si="14"/>
        <v>283.33333333333337</v>
      </c>
      <c r="H34" s="71">
        <f t="shared" ca="1" si="14"/>
        <v>316.66666666666669</v>
      </c>
      <c r="I34" s="71">
        <f t="shared" ca="1" si="14"/>
        <v>166.66666666666669</v>
      </c>
      <c r="J34" s="71">
        <f t="shared" ca="1" si="14"/>
        <v>0</v>
      </c>
    </row>
    <row r="35" spans="3:10" x14ac:dyDescent="0.35">
      <c r="C35" s="66" t="s">
        <v>171</v>
      </c>
      <c r="E35" s="71">
        <f t="shared" ref="E35:J35" ca="1" si="15">D34*$E$9</f>
        <v>3.666666666666667</v>
      </c>
      <c r="F35" s="71">
        <f t="shared" ca="1" si="15"/>
        <v>4.3333333333333339</v>
      </c>
      <c r="G35" s="71">
        <f t="shared" ca="1" si="15"/>
        <v>5.0000000000000009</v>
      </c>
      <c r="H35" s="71">
        <f t="shared" ca="1" si="15"/>
        <v>5.6666666666666679</v>
      </c>
      <c r="I35" s="71">
        <f t="shared" ca="1" si="15"/>
        <v>6.3333333333333339</v>
      </c>
      <c r="J35" s="71">
        <f t="shared" ca="1" si="15"/>
        <v>3.3333333333333339</v>
      </c>
    </row>
    <row r="36" spans="3:10" x14ac:dyDescent="0.35">
      <c r="C36" s="148" t="s">
        <v>175</v>
      </c>
      <c r="D36" s="149"/>
      <c r="E36" s="150">
        <f t="array" ref="E36:J36">lc_fees($E$9,$E$8,$E$5,$E$10,$E$7,E12:J12,E6)</f>
        <v>3.666666666666667</v>
      </c>
      <c r="F36" s="150">
        <v>4.3333333333333339</v>
      </c>
      <c r="G36" s="150">
        <v>5</v>
      </c>
      <c r="H36" s="150">
        <v>5.6666666666666679</v>
      </c>
      <c r="I36" s="150">
        <v>6.3333333333333339</v>
      </c>
      <c r="J36" s="151">
        <v>3.3333333333333339</v>
      </c>
    </row>
    <row r="37" spans="3:10" x14ac:dyDescent="0.35">
      <c r="C37" s="66" t="s">
        <v>96</v>
      </c>
      <c r="D37" s="71">
        <f ca="1">SUM(E37:J37)</f>
        <v>0</v>
      </c>
      <c r="E37" s="71">
        <f t="shared" ref="E37:J37" ca="1" si="16">E35-E36</f>
        <v>0</v>
      </c>
      <c r="F37" s="71">
        <f t="shared" ca="1" si="16"/>
        <v>0</v>
      </c>
      <c r="G37" s="71">
        <f t="shared" ca="1" si="16"/>
        <v>0</v>
      </c>
      <c r="H37" s="71">
        <f t="shared" ca="1" si="16"/>
        <v>0</v>
      </c>
      <c r="I37" s="71">
        <f t="shared" ca="1" si="16"/>
        <v>0</v>
      </c>
      <c r="J37" s="71">
        <f t="shared" ca="1" si="16"/>
        <v>0</v>
      </c>
    </row>
    <row r="44" spans="3:10" x14ac:dyDescent="0.35">
      <c r="C44" s="66" t="s">
        <v>166</v>
      </c>
    </row>
    <row r="45" spans="3:10" x14ac:dyDescent="0.35">
      <c r="C45" s="66" t="s">
        <v>167</v>
      </c>
    </row>
    <row r="47" spans="3:10" x14ac:dyDescent="0.35">
      <c r="C47" s="66" t="s">
        <v>168</v>
      </c>
    </row>
    <row r="49" spans="3:3" x14ac:dyDescent="0.35">
      <c r="C49" s="66" t="s">
        <v>169</v>
      </c>
    </row>
  </sheetData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Tabelle1"/>
  <dimension ref="C1:Q32"/>
  <sheetViews>
    <sheetView tabSelected="1" zoomScale="80" zoomScaleNormal="8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G4" sqref="G4"/>
    </sheetView>
  </sheetViews>
  <sheetFormatPr defaultColWidth="11.453125" defaultRowHeight="14.5" x14ac:dyDescent="0.35"/>
  <cols>
    <col min="1" max="3" width="2" style="2" customWidth="1"/>
    <col min="4" max="4" width="19" style="2" bestFit="1" customWidth="1"/>
    <col min="5" max="5" width="9.7265625" style="2" customWidth="1"/>
    <col min="6" max="10" width="10.453125" style="2" customWidth="1"/>
    <col min="11" max="11" width="5.54296875" style="2" customWidth="1"/>
    <col min="12" max="16384" width="11.453125" style="2"/>
  </cols>
  <sheetData>
    <row r="1" spans="3:17" ht="26" x14ac:dyDescent="0.6">
      <c r="D1" s="49" t="s">
        <v>219</v>
      </c>
    </row>
    <row r="2" spans="3:17" ht="26" x14ac:dyDescent="0.6">
      <c r="D2" s="49" t="s">
        <v>220</v>
      </c>
    </row>
    <row r="5" spans="3:17" x14ac:dyDescent="0.35">
      <c r="C5" s="2" t="s">
        <v>179</v>
      </c>
      <c r="L5" s="2" t="s">
        <v>180</v>
      </c>
      <c r="Q5" s="2" t="s">
        <v>181</v>
      </c>
    </row>
    <row r="6" spans="3:17" x14ac:dyDescent="0.35">
      <c r="D6" s="2" t="s">
        <v>24</v>
      </c>
      <c r="E6" s="14">
        <v>0.05</v>
      </c>
    </row>
    <row r="7" spans="3:17" x14ac:dyDescent="0.35">
      <c r="D7" s="2" t="s">
        <v>182</v>
      </c>
      <c r="E7" s="14">
        <v>0.3</v>
      </c>
    </row>
    <row r="8" spans="3:17" x14ac:dyDescent="0.35">
      <c r="D8" s="2" t="s">
        <v>1</v>
      </c>
      <c r="F8" s="13">
        <v>1.2</v>
      </c>
      <c r="G8" s="13">
        <v>1.2</v>
      </c>
      <c r="H8" s="13">
        <v>1.2</v>
      </c>
      <c r="I8" s="13">
        <v>1.2</v>
      </c>
      <c r="J8" s="13">
        <v>1.2</v>
      </c>
    </row>
    <row r="9" spans="3:17" x14ac:dyDescent="0.35">
      <c r="D9" s="2" t="s">
        <v>183</v>
      </c>
      <c r="F9" s="15">
        <v>23</v>
      </c>
      <c r="G9" s="15">
        <v>56</v>
      </c>
      <c r="H9" s="15">
        <v>24</v>
      </c>
      <c r="I9" s="15">
        <v>78</v>
      </c>
      <c r="J9" s="15">
        <v>22</v>
      </c>
    </row>
    <row r="10" spans="3:17" x14ac:dyDescent="0.35">
      <c r="C10" s="2" t="s">
        <v>184</v>
      </c>
    </row>
    <row r="11" spans="3:17" x14ac:dyDescent="0.35">
      <c r="D11" s="2" t="s">
        <v>185</v>
      </c>
      <c r="F11" s="4">
        <f>F30</f>
        <v>17.686420259766791</v>
      </c>
      <c r="G11" s="4">
        <f>G30</f>
        <v>40.644661019508042</v>
      </c>
      <c r="H11" s="4">
        <f>H30</f>
        <v>17.808835807739595</v>
      </c>
      <c r="I11" s="4">
        <f>I30</f>
        <v>55.436667150529829</v>
      </c>
      <c r="J11" s="4">
        <f>J30</f>
        <v>15.585542168674699</v>
      </c>
    </row>
    <row r="12" spans="3:17" x14ac:dyDescent="0.35">
      <c r="D12" s="2" t="s">
        <v>3</v>
      </c>
      <c r="F12" s="81">
        <f>F11/F8</f>
        <v>14.738683549805661</v>
      </c>
      <c r="G12" s="81">
        <f>G11/G8</f>
        <v>33.870550849590039</v>
      </c>
      <c r="H12" s="81">
        <f>H11/H8</f>
        <v>14.840696506449662</v>
      </c>
      <c r="I12" s="81">
        <f>I11/I8</f>
        <v>46.197222625441526</v>
      </c>
      <c r="J12" s="81">
        <f>J11/J8</f>
        <v>12.987951807228917</v>
      </c>
    </row>
    <row r="13" spans="3:17" x14ac:dyDescent="0.35">
      <c r="D13" s="2" t="s">
        <v>186</v>
      </c>
      <c r="F13" s="82">
        <f>NPV(E6,F12:J12)</f>
        <v>105.76135065111926</v>
      </c>
    </row>
    <row r="14" spans="3:17" x14ac:dyDescent="0.35">
      <c r="F14" s="82"/>
    </row>
    <row r="15" spans="3:17" x14ac:dyDescent="0.35">
      <c r="D15" s="2" t="s">
        <v>187</v>
      </c>
      <c r="F15" s="82">
        <f>E17</f>
        <v>105.76135065111926</v>
      </c>
      <c r="G15" s="82">
        <f>F17</f>
        <v>96.310734633869558</v>
      </c>
      <c r="H15" s="82">
        <f>G17</f>
        <v>67.255720515972996</v>
      </c>
      <c r="I15" s="82">
        <f>H17</f>
        <v>55.777810035321984</v>
      </c>
      <c r="J15" s="82">
        <f>I17</f>
        <v>12.369477911646555</v>
      </c>
    </row>
    <row r="16" spans="3:17" x14ac:dyDescent="0.35">
      <c r="D16" s="2" t="s">
        <v>188</v>
      </c>
      <c r="F16" s="82">
        <f>F12-F18</f>
        <v>9.4506160172496969</v>
      </c>
      <c r="G16" s="82">
        <f>G12-G18</f>
        <v>29.055014117896562</v>
      </c>
      <c r="H16" s="82">
        <f>H12-H18</f>
        <v>11.477910480651012</v>
      </c>
      <c r="I16" s="82">
        <f>I12-I18</f>
        <v>43.408332123675429</v>
      </c>
      <c r="J16" s="82">
        <f>J12-J18</f>
        <v>12.369477911646589</v>
      </c>
    </row>
    <row r="17" spans="4:12" x14ac:dyDescent="0.35">
      <c r="D17" s="27" t="s">
        <v>7</v>
      </c>
      <c r="E17" s="83">
        <f>E20</f>
        <v>105.76135065111926</v>
      </c>
      <c r="F17" s="82">
        <f>F15-F16</f>
        <v>96.310734633869558</v>
      </c>
      <c r="G17" s="82">
        <f>G15-G16</f>
        <v>67.255720515972996</v>
      </c>
      <c r="H17" s="82">
        <f>H15-H16</f>
        <v>55.777810035321984</v>
      </c>
      <c r="I17" s="82">
        <f>I15-I16</f>
        <v>12.369477911646555</v>
      </c>
      <c r="J17" s="84">
        <f>J15-J16</f>
        <v>-3.3750779948604759E-14</v>
      </c>
    </row>
    <row r="18" spans="4:12" x14ac:dyDescent="0.35">
      <c r="D18" s="2" t="s">
        <v>8</v>
      </c>
      <c r="F18" s="82">
        <f>F15*$E$6</f>
        <v>5.2880675325559636</v>
      </c>
      <c r="G18" s="82">
        <f>G15*$E$6</f>
        <v>4.8155367316934781</v>
      </c>
      <c r="H18" s="82">
        <f>H15*$E$6</f>
        <v>3.3627860257986502</v>
      </c>
      <c r="I18" s="82">
        <f>I15*$E$6</f>
        <v>2.7888905017660992</v>
      </c>
      <c r="J18" s="82">
        <f>J15*$E$6</f>
        <v>0.61847389558232779</v>
      </c>
    </row>
    <row r="19" spans="4:12" x14ac:dyDescent="0.35">
      <c r="F19" s="82"/>
      <c r="G19" s="82"/>
      <c r="H19" s="82"/>
      <c r="I19" s="82"/>
      <c r="J19" s="82"/>
    </row>
    <row r="20" spans="4:12" x14ac:dyDescent="0.35">
      <c r="D20" s="27" t="s">
        <v>184</v>
      </c>
      <c r="E20" s="28">
        <f>debtsize(E6,F9:J9,F8,E7)</f>
        <v>105.76135065111926</v>
      </c>
    </row>
    <row r="21" spans="4:12" x14ac:dyDescent="0.35">
      <c r="D21" s="2" t="s">
        <v>189</v>
      </c>
      <c r="E21" s="15">
        <v>106.13149184067565</v>
      </c>
      <c r="F21" s="85" t="s">
        <v>190</v>
      </c>
    </row>
    <row r="22" spans="4:12" x14ac:dyDescent="0.35">
      <c r="D22" s="2" t="s">
        <v>191</v>
      </c>
      <c r="E22" s="82">
        <f>NPV(E6,F12:J12)</f>
        <v>105.76135065111926</v>
      </c>
      <c r="F22" s="85" t="s">
        <v>192</v>
      </c>
    </row>
    <row r="23" spans="4:12" x14ac:dyDescent="0.35">
      <c r="D23" s="2" t="s">
        <v>96</v>
      </c>
      <c r="E23" s="82">
        <f>E21-E22</f>
        <v>0.37014118955639219</v>
      </c>
      <c r="F23" s="85" t="s">
        <v>193</v>
      </c>
      <c r="L23" s="2" t="s">
        <v>194</v>
      </c>
    </row>
    <row r="24" spans="4:12" x14ac:dyDescent="0.35">
      <c r="L24" s="2" t="s">
        <v>195</v>
      </c>
    </row>
    <row r="25" spans="4:12" x14ac:dyDescent="0.35">
      <c r="L25" s="2" t="s">
        <v>196</v>
      </c>
    </row>
    <row r="26" spans="4:12" x14ac:dyDescent="0.35">
      <c r="D26" s="2" t="s">
        <v>183</v>
      </c>
      <c r="F26" s="4">
        <f>F9</f>
        <v>23</v>
      </c>
      <c r="G26" s="4">
        <f>G9</f>
        <v>56</v>
      </c>
      <c r="H26" s="4">
        <f>H9</f>
        <v>24</v>
      </c>
      <c r="I26" s="4">
        <f>I9</f>
        <v>78</v>
      </c>
      <c r="J26" s="4">
        <f>J9</f>
        <v>22</v>
      </c>
      <c r="L26" s="2" t="s">
        <v>197</v>
      </c>
    </row>
    <row r="27" spans="4:12" x14ac:dyDescent="0.35">
      <c r="D27" s="2" t="s">
        <v>198</v>
      </c>
      <c r="F27" s="86">
        <f>F18</f>
        <v>5.2880675325559636</v>
      </c>
      <c r="G27" s="86">
        <f>G18</f>
        <v>4.8155367316934781</v>
      </c>
      <c r="H27" s="86">
        <f>H18</f>
        <v>3.3627860257986502</v>
      </c>
      <c r="I27" s="86">
        <f>I18</f>
        <v>2.7888905017660992</v>
      </c>
      <c r="J27" s="86">
        <f>J18</f>
        <v>0.61847389558232779</v>
      </c>
      <c r="L27" s="2" t="s">
        <v>199</v>
      </c>
    </row>
    <row r="28" spans="4:12" ht="15" thickBot="1" x14ac:dyDescent="0.4">
      <c r="D28" s="24" t="s">
        <v>200</v>
      </c>
      <c r="E28" s="24"/>
      <c r="F28" s="25">
        <f>F26-F27</f>
        <v>17.711932467444036</v>
      </c>
      <c r="G28" s="25">
        <f>G26-G27</f>
        <v>51.184463268306523</v>
      </c>
      <c r="H28" s="25">
        <f>H26-H27</f>
        <v>20.637213974201352</v>
      </c>
      <c r="I28" s="25">
        <f>I26-I27</f>
        <v>75.211109498233895</v>
      </c>
      <c r="J28" s="25">
        <f>J26-J27</f>
        <v>21.381526104417674</v>
      </c>
    </row>
    <row r="29" spans="4:12" x14ac:dyDescent="0.35">
      <c r="D29" s="2" t="s">
        <v>201</v>
      </c>
      <c r="F29" s="4">
        <f>F28*$E$7</f>
        <v>5.3135797402332106</v>
      </c>
      <c r="G29" s="4">
        <f>G28*$E$7</f>
        <v>15.355338980491956</v>
      </c>
      <c r="H29" s="4">
        <f>H28*$E$7</f>
        <v>6.1911641922604055</v>
      </c>
      <c r="I29" s="4">
        <f>I28*$E$7</f>
        <v>22.563332849470168</v>
      </c>
      <c r="J29" s="4">
        <f>J28*$E$7</f>
        <v>6.4144578313253016</v>
      </c>
    </row>
    <row r="30" spans="4:12" x14ac:dyDescent="0.35">
      <c r="D30" s="2" t="s">
        <v>2</v>
      </c>
      <c r="F30" s="4">
        <f>F9-F29</f>
        <v>17.686420259766791</v>
      </c>
      <c r="G30" s="4">
        <f>G9-G29</f>
        <v>40.644661019508042</v>
      </c>
      <c r="H30" s="4">
        <f>H9-H29</f>
        <v>17.808835807739595</v>
      </c>
      <c r="I30" s="4">
        <f>I9-I29</f>
        <v>55.436667150529829</v>
      </c>
      <c r="J30" s="4">
        <f>J9-J29</f>
        <v>15.585542168674699</v>
      </c>
    </row>
    <row r="32" spans="4:12" x14ac:dyDescent="0.35">
      <c r="D32" s="2" t="s">
        <v>202</v>
      </c>
      <c r="F32" s="87">
        <f>F11/(F16+F18)</f>
        <v>1.2</v>
      </c>
      <c r="G32" s="87">
        <f>G11/(G16+G18)</f>
        <v>1.2</v>
      </c>
      <c r="H32" s="87">
        <f>H11/(H16+H18)</f>
        <v>1.2</v>
      </c>
      <c r="I32" s="87">
        <f>I11/(I16+I18)</f>
        <v>1.2</v>
      </c>
      <c r="J32" s="87">
        <f>J11/(J16+J18)</f>
        <v>1.2</v>
      </c>
    </row>
  </sheetData>
  <dataValidations count="1">
    <dataValidation allowBlank="1" showInputMessage="1" showErrorMessage="1" promptTitle="Circulary Problem" prompt="This is causing the circular reference and must be assigned a fixed amount or a function" sqref="E17" xr:uid="{00000000-0002-0000-0F00-000000000000}"/>
  </dataValidations>
  <pageMargins left="0.7" right="0.7" top="0.78740157499999996" bottom="0.78740157499999996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Tabelle2">
    <tabColor rgb="FFFFFF00"/>
  </sheetPr>
  <dimension ref="C1:M28"/>
  <sheetViews>
    <sheetView zoomScale="80" zoomScaleNormal="8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D1" sqref="D1:D2"/>
    </sheetView>
  </sheetViews>
  <sheetFormatPr defaultColWidth="11.453125" defaultRowHeight="14.5" x14ac:dyDescent="0.35"/>
  <cols>
    <col min="1" max="3" width="2" style="2" customWidth="1"/>
    <col min="4" max="4" width="19" style="2" bestFit="1" customWidth="1"/>
    <col min="5" max="5" width="9.7265625" style="2" customWidth="1"/>
    <col min="6" max="10" width="10.453125" style="2" customWidth="1"/>
    <col min="11" max="11" width="5.54296875" style="2" customWidth="1"/>
    <col min="12" max="16384" width="11.453125" style="2"/>
  </cols>
  <sheetData>
    <row r="1" spans="3:13" ht="26" x14ac:dyDescent="0.6">
      <c r="D1" s="49" t="s">
        <v>219</v>
      </c>
    </row>
    <row r="2" spans="3:13" ht="26" x14ac:dyDescent="0.6">
      <c r="D2" s="49" t="s">
        <v>220</v>
      </c>
    </row>
    <row r="3" spans="3:13" ht="26" x14ac:dyDescent="0.6">
      <c r="D3" s="49"/>
    </row>
    <row r="4" spans="3:13" ht="15.5" x14ac:dyDescent="0.35">
      <c r="C4" s="2" t="s">
        <v>179</v>
      </c>
      <c r="M4" s="94" t="s">
        <v>223</v>
      </c>
    </row>
    <row r="5" spans="3:13" x14ac:dyDescent="0.35">
      <c r="D5" s="2" t="s">
        <v>24</v>
      </c>
      <c r="E5" s="53">
        <v>0.05</v>
      </c>
    </row>
    <row r="6" spans="3:13" x14ac:dyDescent="0.35">
      <c r="D6" s="2" t="s">
        <v>182</v>
      </c>
      <c r="E6" s="53">
        <v>0</v>
      </c>
      <c r="M6" s="2" t="s">
        <v>195</v>
      </c>
    </row>
    <row r="7" spans="3:13" x14ac:dyDescent="0.35">
      <c r="D7" s="2" t="s">
        <v>1</v>
      </c>
      <c r="E7" s="51">
        <v>1.2</v>
      </c>
      <c r="M7" s="2" t="s">
        <v>196</v>
      </c>
    </row>
    <row r="8" spans="3:13" x14ac:dyDescent="0.35">
      <c r="D8" s="2" t="s">
        <v>183</v>
      </c>
      <c r="F8" s="52">
        <v>100</v>
      </c>
      <c r="G8" s="52">
        <v>100</v>
      </c>
      <c r="H8" s="52">
        <v>100</v>
      </c>
      <c r="I8" s="52">
        <v>100</v>
      </c>
      <c r="J8" s="52">
        <v>100</v>
      </c>
      <c r="M8" s="2" t="s">
        <v>197</v>
      </c>
    </row>
    <row r="9" spans="3:13" x14ac:dyDescent="0.35">
      <c r="F9" s="4"/>
      <c r="G9" s="4"/>
      <c r="H9" s="4"/>
      <c r="I9" s="4"/>
      <c r="J9" s="4"/>
      <c r="M9" s="2" t="s">
        <v>199</v>
      </c>
    </row>
    <row r="10" spans="3:13" x14ac:dyDescent="0.35">
      <c r="D10" s="2" t="s">
        <v>183</v>
      </c>
      <c r="F10" s="4">
        <f>F8</f>
        <v>100</v>
      </c>
      <c r="G10" s="4">
        <f>G8</f>
        <v>100</v>
      </c>
      <c r="H10" s="4">
        <f>H8</f>
        <v>100</v>
      </c>
      <c r="I10" s="4">
        <f>I8</f>
        <v>100</v>
      </c>
      <c r="J10" s="4">
        <f>J8</f>
        <v>100</v>
      </c>
    </row>
    <row r="11" spans="3:13" x14ac:dyDescent="0.35">
      <c r="D11" s="2" t="s">
        <v>198</v>
      </c>
      <c r="F11" s="86">
        <f>F24</f>
        <v>0</v>
      </c>
      <c r="G11" s="86">
        <f>G24</f>
        <v>0</v>
      </c>
      <c r="H11" s="86">
        <f>H24</f>
        <v>0</v>
      </c>
      <c r="I11" s="86">
        <f>I24</f>
        <v>0</v>
      </c>
      <c r="J11" s="86">
        <f>J24</f>
        <v>0</v>
      </c>
    </row>
    <row r="12" spans="3:13" ht="15" thickBot="1" x14ac:dyDescent="0.4">
      <c r="D12" s="24" t="s">
        <v>200</v>
      </c>
      <c r="E12" s="24"/>
      <c r="F12" s="25">
        <f>F10-F11</f>
        <v>100</v>
      </c>
      <c r="G12" s="25">
        <f>G10-G11</f>
        <v>100</v>
      </c>
      <c r="H12" s="25">
        <f>H10-H11</f>
        <v>100</v>
      </c>
      <c r="I12" s="25">
        <f>I10-I11</f>
        <v>100</v>
      </c>
      <c r="J12" s="25">
        <f>J10-J11</f>
        <v>100</v>
      </c>
    </row>
    <row r="13" spans="3:13" x14ac:dyDescent="0.35">
      <c r="D13" s="2" t="s">
        <v>201</v>
      </c>
      <c r="E13" s="3">
        <f>E6</f>
        <v>0</v>
      </c>
      <c r="F13" s="61"/>
      <c r="G13" s="61"/>
      <c r="H13" s="61"/>
      <c r="I13" s="61"/>
      <c r="J13" s="61"/>
    </row>
    <row r="14" spans="3:13" x14ac:dyDescent="0.35">
      <c r="D14" s="2" t="s">
        <v>2</v>
      </c>
      <c r="F14" s="4">
        <f>F10-F13</f>
        <v>100</v>
      </c>
      <c r="G14" s="4">
        <f>G10-G13</f>
        <v>100</v>
      </c>
      <c r="H14" s="4">
        <f>H10-H13</f>
        <v>100</v>
      </c>
      <c r="I14" s="4">
        <f>I10-I13</f>
        <v>100</v>
      </c>
      <c r="J14" s="4">
        <f>J10-J13</f>
        <v>100</v>
      </c>
    </row>
    <row r="15" spans="3:13" x14ac:dyDescent="0.35">
      <c r="F15" s="4"/>
      <c r="G15" s="4"/>
      <c r="H15" s="4"/>
      <c r="I15" s="4"/>
      <c r="J15" s="4"/>
      <c r="M15" s="2" t="s">
        <v>230</v>
      </c>
    </row>
    <row r="16" spans="3:13" x14ac:dyDescent="0.35">
      <c r="C16" s="2" t="s">
        <v>184</v>
      </c>
    </row>
    <row r="17" spans="4:10" x14ac:dyDescent="0.35">
      <c r="D17" s="2" t="s">
        <v>185</v>
      </c>
      <c r="F17" s="4">
        <f>F14</f>
        <v>100</v>
      </c>
      <c r="G17" s="4">
        <f>G14</f>
        <v>100</v>
      </c>
      <c r="H17" s="4">
        <f>H14</f>
        <v>100</v>
      </c>
      <c r="I17" s="4">
        <f>I14</f>
        <v>100</v>
      </c>
      <c r="J17" s="4">
        <f>J14</f>
        <v>100</v>
      </c>
    </row>
    <row r="18" spans="4:10" x14ac:dyDescent="0.35">
      <c r="D18" s="2" t="s">
        <v>3</v>
      </c>
      <c r="E18" s="2">
        <f>E7</f>
        <v>1.2</v>
      </c>
      <c r="F18" s="81">
        <f>F17/$E$18</f>
        <v>83.333333333333343</v>
      </c>
      <c r="G18" s="81">
        <f>G17/$E$18</f>
        <v>83.333333333333343</v>
      </c>
      <c r="H18" s="81">
        <f>H17/$E$18</f>
        <v>83.333333333333343</v>
      </c>
      <c r="I18" s="81">
        <f>I17/$E$18</f>
        <v>83.333333333333343</v>
      </c>
      <c r="J18" s="81">
        <f>J17/$E$18</f>
        <v>83.333333333333343</v>
      </c>
    </row>
    <row r="19" spans="4:10" x14ac:dyDescent="0.35">
      <c r="D19" s="2" t="s">
        <v>186</v>
      </c>
      <c r="E19" s="82">
        <f>NPV(E5,F18:J18)</f>
        <v>360.78972255256826</v>
      </c>
      <c r="F19" s="4">
        <f>E19-E23</f>
        <v>360.78972255256826</v>
      </c>
    </row>
    <row r="20" spans="4:10" x14ac:dyDescent="0.35">
      <c r="F20" s="82"/>
    </row>
    <row r="21" spans="4:10" x14ac:dyDescent="0.35">
      <c r="D21" s="2" t="s">
        <v>187</v>
      </c>
      <c r="F21" s="82"/>
      <c r="G21" s="82"/>
      <c r="H21" s="82"/>
      <c r="I21" s="82"/>
      <c r="J21" s="82"/>
    </row>
    <row r="22" spans="4:10" x14ac:dyDescent="0.35">
      <c r="D22" s="2" t="s">
        <v>188</v>
      </c>
      <c r="F22" s="82"/>
      <c r="G22" s="82"/>
      <c r="H22" s="82"/>
      <c r="I22" s="82"/>
      <c r="J22" s="82"/>
    </row>
    <row r="23" spans="4:10" x14ac:dyDescent="0.35">
      <c r="D23" s="27" t="s">
        <v>7</v>
      </c>
      <c r="E23" s="99">
        <f>E26</f>
        <v>0</v>
      </c>
      <c r="F23" s="82"/>
      <c r="G23" s="82"/>
      <c r="H23" s="82"/>
      <c r="I23" s="82"/>
      <c r="J23" s="84"/>
    </row>
    <row r="24" spans="4:10" x14ac:dyDescent="0.35">
      <c r="D24" s="2" t="s">
        <v>8</v>
      </c>
      <c r="F24" s="82"/>
      <c r="G24" s="82"/>
      <c r="H24" s="82"/>
      <c r="I24" s="82"/>
      <c r="J24" s="82"/>
    </row>
    <row r="25" spans="4:10" x14ac:dyDescent="0.35">
      <c r="F25" s="82"/>
      <c r="G25" s="82"/>
      <c r="H25" s="82"/>
      <c r="I25" s="82"/>
      <c r="J25" s="82"/>
    </row>
    <row r="26" spans="4:10" x14ac:dyDescent="0.35">
      <c r="D26" s="27" t="s">
        <v>335</v>
      </c>
      <c r="E26" s="79"/>
      <c r="F26" s="4"/>
    </row>
    <row r="28" spans="4:10" x14ac:dyDescent="0.35">
      <c r="D28" s="2" t="s">
        <v>202</v>
      </c>
      <c r="F28" s="87" t="b">
        <f>IF((F22+F24),F17/(F22+F24))</f>
        <v>0</v>
      </c>
      <c r="G28" s="87" t="b">
        <f t="shared" ref="G28:J28" si="0">IF((G22+G24),G17/(G22+G24))</f>
        <v>0</v>
      </c>
      <c r="H28" s="87" t="b">
        <f t="shared" si="0"/>
        <v>0</v>
      </c>
      <c r="I28" s="87" t="b">
        <f t="shared" si="0"/>
        <v>0</v>
      </c>
      <c r="J28" s="87" t="b">
        <f t="shared" si="0"/>
        <v>0</v>
      </c>
    </row>
  </sheetData>
  <dataValidations count="1">
    <dataValidation allowBlank="1" showInputMessage="1" showErrorMessage="1" promptTitle="Circulary Problem" prompt="This is causing the circular reference and must be assigned a fixed amount or a function" sqref="E23" xr:uid="{00000000-0002-0000-1000-000000000000}"/>
  </dataValidations>
  <pageMargins left="0.7" right="0.7" top="0.78740157499999996" bottom="0.78740157499999996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890" r:id="rId4" name="Button 98">
              <controlPr defaultSize="0" print="0" autoFill="0" autoPict="0" macro="[0]!taxes_function">
                <anchor moveWithCells="1" sizeWithCells="1">
                  <from>
                    <xdr:col>12</xdr:col>
                    <xdr:colOff>107950</xdr:colOff>
                    <xdr:row>10</xdr:row>
                    <xdr:rowOff>50800</xdr:rowOff>
                  </from>
                  <to>
                    <xdr:col>14</xdr:col>
                    <xdr:colOff>431800</xdr:colOff>
                    <xdr:row>12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8"/>
  <dimension ref="A1:BL75"/>
  <sheetViews>
    <sheetView zoomScale="80" zoomScaleNormal="80" workbookViewId="0">
      <pane xSplit="3" ySplit="13" topLeftCell="D14" activePane="bottomRight" state="frozen"/>
      <selection activeCell="E21" sqref="E21"/>
      <selection pane="topRight" activeCell="E21" sqref="E21"/>
      <selection pane="bottomLeft" activeCell="E21" sqref="E21"/>
      <selection pane="bottomRight" activeCell="C1" sqref="C1"/>
    </sheetView>
  </sheetViews>
  <sheetFormatPr defaultColWidth="9.1796875" defaultRowHeight="14.5" outlineLevelRow="1" x14ac:dyDescent="0.35"/>
  <cols>
    <col min="1" max="2" width="1.26953125" style="2" customWidth="1"/>
    <col min="3" max="3" width="38.81640625" style="2" customWidth="1"/>
    <col min="4" max="4" width="12.7265625" style="2" bestFit="1" customWidth="1"/>
    <col min="5" max="64" width="10.81640625" style="2" customWidth="1"/>
    <col min="65" max="16384" width="9.1796875" style="2"/>
  </cols>
  <sheetData>
    <row r="1" spans="1:18" ht="26" x14ac:dyDescent="0.6">
      <c r="C1" s="49" t="s">
        <v>523</v>
      </c>
    </row>
    <row r="2" spans="1:18" ht="26" x14ac:dyDescent="0.6">
      <c r="C2" s="49" t="s">
        <v>524</v>
      </c>
    </row>
    <row r="5" spans="1:18" s="40" customFormat="1" x14ac:dyDescent="0.35">
      <c r="A5" s="40" t="s">
        <v>77</v>
      </c>
    </row>
    <row r="6" spans="1:18" outlineLevel="1" x14ac:dyDescent="0.35">
      <c r="A6" s="1"/>
      <c r="B6" s="2" t="s">
        <v>65</v>
      </c>
      <c r="D6" s="51">
        <v>1</v>
      </c>
      <c r="E6" s="51">
        <v>5</v>
      </c>
      <c r="F6" s="51">
        <v>10</v>
      </c>
      <c r="K6" s="2" t="s">
        <v>132</v>
      </c>
    </row>
    <row r="7" spans="1:18" outlineLevel="1" x14ac:dyDescent="0.35">
      <c r="A7" s="1"/>
      <c r="B7" s="2" t="s">
        <v>24</v>
      </c>
      <c r="D7" s="50">
        <v>0.03</v>
      </c>
      <c r="E7" s="50">
        <v>0.04</v>
      </c>
      <c r="F7" s="50">
        <v>0.05</v>
      </c>
      <c r="K7" s="2" t="s">
        <v>232</v>
      </c>
      <c r="R7" s="2" t="s">
        <v>129</v>
      </c>
    </row>
    <row r="8" spans="1:18" outlineLevel="1" x14ac:dyDescent="0.35">
      <c r="A8" s="1"/>
      <c r="B8" s="2" t="s">
        <v>84</v>
      </c>
      <c r="D8" s="52">
        <v>1.3</v>
      </c>
      <c r="E8" s="4"/>
      <c r="F8" s="4"/>
      <c r="K8" s="2" t="s">
        <v>134</v>
      </c>
      <c r="R8" s="2" t="s">
        <v>126</v>
      </c>
    </row>
    <row r="9" spans="1:18" outlineLevel="1" x14ac:dyDescent="0.35">
      <c r="A9" s="1"/>
      <c r="D9" s="4"/>
      <c r="E9" s="12"/>
      <c r="F9" s="12"/>
      <c r="R9" s="2" t="s">
        <v>127</v>
      </c>
    </row>
    <row r="10" spans="1:18" outlineLevel="1" x14ac:dyDescent="0.35">
      <c r="A10" s="1"/>
      <c r="B10" s="2" t="s">
        <v>85</v>
      </c>
      <c r="D10" s="51">
        <v>20</v>
      </c>
      <c r="K10" s="2" t="s">
        <v>140</v>
      </c>
      <c r="R10" s="2" t="s">
        <v>128</v>
      </c>
    </row>
    <row r="11" spans="1:18" outlineLevel="1" x14ac:dyDescent="0.35">
      <c r="A11" s="1"/>
      <c r="B11" s="2" t="s">
        <v>78</v>
      </c>
      <c r="D11" s="51">
        <v>24</v>
      </c>
      <c r="H11" s="12"/>
      <c r="K11" s="2" t="s">
        <v>141</v>
      </c>
    </row>
    <row r="12" spans="1:18" outlineLevel="1" x14ac:dyDescent="0.35">
      <c r="A12" s="1"/>
      <c r="B12" s="2" t="s">
        <v>82</v>
      </c>
      <c r="D12" s="2">
        <v>3</v>
      </c>
      <c r="H12" s="12"/>
      <c r="K12" s="2" t="s">
        <v>142</v>
      </c>
      <c r="R12" s="2" t="s">
        <v>130</v>
      </c>
    </row>
    <row r="13" spans="1:18" outlineLevel="1" x14ac:dyDescent="0.35">
      <c r="A13" s="1"/>
      <c r="B13" s="2" t="s">
        <v>79</v>
      </c>
      <c r="D13" s="53">
        <v>0.02</v>
      </c>
      <c r="H13" s="4"/>
      <c r="K13" s="2" t="s">
        <v>143</v>
      </c>
      <c r="R13" s="2" t="s">
        <v>131</v>
      </c>
    </row>
    <row r="14" spans="1:18" outlineLevel="1" x14ac:dyDescent="0.35">
      <c r="A14" s="1"/>
      <c r="R14" s="2" t="s">
        <v>137</v>
      </c>
    </row>
    <row r="15" spans="1:18" outlineLevel="1" x14ac:dyDescent="0.35">
      <c r="A15" s="1"/>
      <c r="B15" s="2" t="s">
        <v>66</v>
      </c>
      <c r="D15" s="51">
        <v>130</v>
      </c>
      <c r="K15" s="2" t="s">
        <v>117</v>
      </c>
    </row>
    <row r="16" spans="1:18" outlineLevel="1" x14ac:dyDescent="0.35">
      <c r="A16" s="1"/>
      <c r="D16" s="51">
        <v>1</v>
      </c>
      <c r="E16" s="51">
        <v>4</v>
      </c>
      <c r="F16" s="51">
        <v>6</v>
      </c>
      <c r="K16" s="2" t="s">
        <v>118</v>
      </c>
    </row>
    <row r="17" spans="1:64" outlineLevel="1" x14ac:dyDescent="0.35">
      <c r="A17" s="1"/>
      <c r="B17" s="2" t="s">
        <v>38</v>
      </c>
      <c r="D17" s="53">
        <v>0.03</v>
      </c>
      <c r="E17" s="53">
        <v>0.02</v>
      </c>
      <c r="F17" s="53">
        <v>0.03</v>
      </c>
      <c r="K17" s="2" t="s">
        <v>119</v>
      </c>
    </row>
    <row r="18" spans="1:64" outlineLevel="1" x14ac:dyDescent="0.35">
      <c r="A18" s="1"/>
      <c r="K18" s="2" t="s">
        <v>120</v>
      </c>
    </row>
    <row r="19" spans="1:64" outlineLevel="1" x14ac:dyDescent="0.35">
      <c r="A19" s="1"/>
      <c r="B19" s="2" t="s">
        <v>12</v>
      </c>
      <c r="D19" s="52">
        <v>4000</v>
      </c>
      <c r="G19" s="32" t="s">
        <v>97</v>
      </c>
      <c r="H19" s="32" t="s">
        <v>10</v>
      </c>
      <c r="I19" s="32" t="s">
        <v>15</v>
      </c>
      <c r="J19" s="32"/>
      <c r="K19" s="2" t="s">
        <v>233</v>
      </c>
    </row>
    <row r="20" spans="1:64" outlineLevel="1" x14ac:dyDescent="0.35">
      <c r="A20" s="1"/>
      <c r="B20" s="2" t="s">
        <v>95</v>
      </c>
      <c r="D20" s="4">
        <f>E65</f>
        <v>276.1312255859375</v>
      </c>
      <c r="G20" s="31">
        <f>E65</f>
        <v>276.1312255859375</v>
      </c>
      <c r="H20" s="30"/>
      <c r="I20" s="30"/>
      <c r="J20" s="28"/>
      <c r="N20" s="4"/>
      <c r="O20" s="4"/>
      <c r="P20" s="4"/>
    </row>
    <row r="21" spans="1:64" outlineLevel="1" x14ac:dyDescent="0.35">
      <c r="A21" s="1"/>
      <c r="B21" s="2" t="s">
        <v>86</v>
      </c>
      <c r="D21" s="53">
        <v>0.75</v>
      </c>
      <c r="I21" s="26"/>
    </row>
    <row r="22" spans="1:64" outlineLevel="1" x14ac:dyDescent="0.35">
      <c r="A22" s="1"/>
      <c r="B22" s="2" t="s">
        <v>93</v>
      </c>
      <c r="D22" s="4">
        <f>(D19+D20)*D21</f>
        <v>3207.0984191894531</v>
      </c>
    </row>
    <row r="23" spans="1:64" s="10" customFormat="1" outlineLevel="1" x14ac:dyDescent="0.35">
      <c r="A23" s="22"/>
    </row>
    <row r="24" spans="1:64" s="10" customFormat="1" outlineLevel="1" x14ac:dyDescent="0.35">
      <c r="A24" s="22" t="s">
        <v>210</v>
      </c>
    </row>
    <row r="25" spans="1:64" x14ac:dyDescent="0.35">
      <c r="A25" s="1"/>
      <c r="B25" s="2" t="s">
        <v>65</v>
      </c>
      <c r="E25" s="51">
        <v>1</v>
      </c>
      <c r="F25" s="51">
        <v>2</v>
      </c>
      <c r="G25" s="51">
        <v>3</v>
      </c>
      <c r="H25" s="51">
        <v>4</v>
      </c>
      <c r="I25" s="51">
        <v>5</v>
      </c>
      <c r="J25" s="51">
        <v>6</v>
      </c>
      <c r="K25" s="51">
        <v>7</v>
      </c>
      <c r="L25" s="51">
        <v>8</v>
      </c>
      <c r="M25" s="51">
        <v>9</v>
      </c>
      <c r="N25" s="51">
        <v>10</v>
      </c>
      <c r="O25" s="51">
        <v>11</v>
      </c>
      <c r="P25" s="51">
        <v>12</v>
      </c>
      <c r="Q25" s="51">
        <v>13</v>
      </c>
      <c r="R25" s="51">
        <v>14</v>
      </c>
      <c r="S25" s="51">
        <v>15</v>
      </c>
      <c r="T25" s="51">
        <v>16</v>
      </c>
      <c r="U25" s="51">
        <v>17</v>
      </c>
      <c r="V25" s="51">
        <v>18</v>
      </c>
      <c r="W25" s="51">
        <v>19</v>
      </c>
      <c r="X25" s="51">
        <v>20</v>
      </c>
      <c r="Y25" s="51">
        <v>21</v>
      </c>
      <c r="Z25" s="51">
        <v>22</v>
      </c>
      <c r="AA25" s="51">
        <v>23</v>
      </c>
      <c r="AB25" s="51">
        <v>24</v>
      </c>
      <c r="AC25" s="51">
        <v>25</v>
      </c>
      <c r="AD25" s="51">
        <v>26</v>
      </c>
      <c r="AE25" s="51">
        <v>27</v>
      </c>
      <c r="AF25" s="51">
        <v>28</v>
      </c>
      <c r="AG25" s="51">
        <v>29</v>
      </c>
      <c r="AH25" s="51">
        <v>30</v>
      </c>
      <c r="AI25" s="51">
        <v>31</v>
      </c>
      <c r="AJ25" s="51">
        <v>32</v>
      </c>
      <c r="AK25" s="51">
        <v>33</v>
      </c>
      <c r="AL25" s="51">
        <v>34</v>
      </c>
      <c r="AM25" s="51">
        <v>35</v>
      </c>
      <c r="AN25" s="51">
        <v>36</v>
      </c>
      <c r="AO25" s="51">
        <v>37</v>
      </c>
      <c r="AP25" s="51">
        <v>38</v>
      </c>
      <c r="AQ25" s="51">
        <v>39</v>
      </c>
      <c r="AR25" s="51">
        <v>40</v>
      </c>
      <c r="AS25" s="51">
        <v>41</v>
      </c>
      <c r="AT25" s="51">
        <v>42</v>
      </c>
      <c r="AU25" s="51">
        <v>43</v>
      </c>
      <c r="AV25" s="51">
        <v>44</v>
      </c>
      <c r="AW25" s="51">
        <v>45</v>
      </c>
      <c r="AX25" s="51">
        <v>46</v>
      </c>
      <c r="AY25" s="51">
        <v>47</v>
      </c>
      <c r="AZ25" s="51">
        <v>48</v>
      </c>
      <c r="BA25" s="51">
        <v>49</v>
      </c>
      <c r="BB25" s="51">
        <v>50</v>
      </c>
      <c r="BC25" s="51">
        <v>51</v>
      </c>
      <c r="BD25" s="51">
        <v>52</v>
      </c>
      <c r="BE25" s="51">
        <v>53</v>
      </c>
      <c r="BF25" s="51">
        <v>54</v>
      </c>
      <c r="BG25" s="51">
        <v>55</v>
      </c>
      <c r="BH25" s="51">
        <v>56</v>
      </c>
      <c r="BI25" s="51">
        <v>57</v>
      </c>
      <c r="BJ25" s="51">
        <v>58</v>
      </c>
      <c r="BK25" s="51">
        <v>59</v>
      </c>
      <c r="BL25" s="51">
        <v>60</v>
      </c>
    </row>
    <row r="26" spans="1:64" x14ac:dyDescent="0.35">
      <c r="A26" s="1"/>
      <c r="B26" s="2" t="s">
        <v>30</v>
      </c>
      <c r="E26" s="2">
        <f t="shared" ref="E26:BL26" si="0">ROUNDUP(E25/2,0)</f>
        <v>1</v>
      </c>
      <c r="F26" s="2">
        <f t="shared" si="0"/>
        <v>1</v>
      </c>
      <c r="G26" s="2">
        <f t="shared" si="0"/>
        <v>2</v>
      </c>
      <c r="H26" s="2">
        <f t="shared" si="0"/>
        <v>2</v>
      </c>
      <c r="I26" s="2">
        <f t="shared" si="0"/>
        <v>3</v>
      </c>
      <c r="J26" s="2">
        <f t="shared" si="0"/>
        <v>3</v>
      </c>
      <c r="K26" s="2">
        <f t="shared" si="0"/>
        <v>4</v>
      </c>
      <c r="L26" s="2">
        <f t="shared" si="0"/>
        <v>4</v>
      </c>
      <c r="M26" s="2">
        <f t="shared" si="0"/>
        <v>5</v>
      </c>
      <c r="N26" s="2">
        <f t="shared" si="0"/>
        <v>5</v>
      </c>
      <c r="O26" s="2">
        <f t="shared" si="0"/>
        <v>6</v>
      </c>
      <c r="P26" s="2">
        <f t="shared" si="0"/>
        <v>6</v>
      </c>
      <c r="Q26" s="2">
        <f t="shared" si="0"/>
        <v>7</v>
      </c>
      <c r="R26" s="2">
        <f t="shared" si="0"/>
        <v>7</v>
      </c>
      <c r="S26" s="2">
        <f t="shared" si="0"/>
        <v>8</v>
      </c>
      <c r="T26" s="2">
        <f t="shared" si="0"/>
        <v>8</v>
      </c>
      <c r="U26" s="2">
        <f t="shared" si="0"/>
        <v>9</v>
      </c>
      <c r="V26" s="2">
        <f t="shared" si="0"/>
        <v>9</v>
      </c>
      <c r="W26" s="2">
        <f t="shared" si="0"/>
        <v>10</v>
      </c>
      <c r="X26" s="2">
        <f t="shared" si="0"/>
        <v>10</v>
      </c>
      <c r="Y26" s="2">
        <f t="shared" si="0"/>
        <v>11</v>
      </c>
      <c r="Z26" s="2">
        <f t="shared" si="0"/>
        <v>11</v>
      </c>
      <c r="AA26" s="2">
        <f t="shared" si="0"/>
        <v>12</v>
      </c>
      <c r="AB26" s="2">
        <f t="shared" si="0"/>
        <v>12</v>
      </c>
      <c r="AC26" s="2">
        <f t="shared" si="0"/>
        <v>13</v>
      </c>
      <c r="AD26" s="2">
        <f t="shared" si="0"/>
        <v>13</v>
      </c>
      <c r="AE26" s="2">
        <f t="shared" si="0"/>
        <v>14</v>
      </c>
      <c r="AF26" s="2">
        <f t="shared" si="0"/>
        <v>14</v>
      </c>
      <c r="AG26" s="2">
        <f t="shared" si="0"/>
        <v>15</v>
      </c>
      <c r="AH26" s="2">
        <f t="shared" si="0"/>
        <v>15</v>
      </c>
      <c r="AI26" s="2">
        <f t="shared" si="0"/>
        <v>16</v>
      </c>
      <c r="AJ26" s="2">
        <f t="shared" si="0"/>
        <v>16</v>
      </c>
      <c r="AK26" s="2">
        <f t="shared" si="0"/>
        <v>17</v>
      </c>
      <c r="AL26" s="2">
        <f t="shared" si="0"/>
        <v>17</v>
      </c>
      <c r="AM26" s="2">
        <f t="shared" si="0"/>
        <v>18</v>
      </c>
      <c r="AN26" s="2">
        <f t="shared" si="0"/>
        <v>18</v>
      </c>
      <c r="AO26" s="2">
        <f t="shared" si="0"/>
        <v>19</v>
      </c>
      <c r="AP26" s="2">
        <f t="shared" si="0"/>
        <v>19</v>
      </c>
      <c r="AQ26" s="2">
        <f t="shared" si="0"/>
        <v>20</v>
      </c>
      <c r="AR26" s="2">
        <f t="shared" si="0"/>
        <v>20</v>
      </c>
      <c r="AS26" s="2">
        <f t="shared" si="0"/>
        <v>21</v>
      </c>
      <c r="AT26" s="2">
        <f t="shared" si="0"/>
        <v>21</v>
      </c>
      <c r="AU26" s="2">
        <f t="shared" si="0"/>
        <v>22</v>
      </c>
      <c r="AV26" s="2">
        <f t="shared" si="0"/>
        <v>22</v>
      </c>
      <c r="AW26" s="2">
        <f t="shared" si="0"/>
        <v>23</v>
      </c>
      <c r="AX26" s="2">
        <f t="shared" si="0"/>
        <v>23</v>
      </c>
      <c r="AY26" s="2">
        <f t="shared" si="0"/>
        <v>24</v>
      </c>
      <c r="AZ26" s="2">
        <f t="shared" si="0"/>
        <v>24</v>
      </c>
      <c r="BA26" s="2">
        <f t="shared" si="0"/>
        <v>25</v>
      </c>
      <c r="BB26" s="2">
        <f t="shared" si="0"/>
        <v>25</v>
      </c>
      <c r="BC26" s="2">
        <f t="shared" si="0"/>
        <v>26</v>
      </c>
      <c r="BD26" s="2">
        <f t="shared" si="0"/>
        <v>26</v>
      </c>
      <c r="BE26" s="2">
        <f t="shared" si="0"/>
        <v>27</v>
      </c>
      <c r="BF26" s="2">
        <f t="shared" si="0"/>
        <v>27</v>
      </c>
      <c r="BG26" s="2">
        <f t="shared" si="0"/>
        <v>28</v>
      </c>
      <c r="BH26" s="2">
        <f t="shared" si="0"/>
        <v>28</v>
      </c>
      <c r="BI26" s="2">
        <f t="shared" si="0"/>
        <v>29</v>
      </c>
      <c r="BJ26" s="2">
        <f t="shared" si="0"/>
        <v>29</v>
      </c>
      <c r="BK26" s="2">
        <f t="shared" si="0"/>
        <v>30</v>
      </c>
      <c r="BL26" s="2">
        <f t="shared" si="0"/>
        <v>30</v>
      </c>
    </row>
    <row r="27" spans="1:64" x14ac:dyDescent="0.35">
      <c r="A27" s="1"/>
      <c r="C27" s="2" t="s">
        <v>80</v>
      </c>
      <c r="E27" s="2" t="b">
        <f t="shared" ref="E27:BL27" si="1">E25&lt;=$D$10*2</f>
        <v>1</v>
      </c>
      <c r="F27" s="2" t="b">
        <f t="shared" si="1"/>
        <v>1</v>
      </c>
      <c r="G27" s="2" t="b">
        <f t="shared" si="1"/>
        <v>1</v>
      </c>
      <c r="H27" s="2" t="b">
        <f t="shared" si="1"/>
        <v>1</v>
      </c>
      <c r="I27" s="2" t="b">
        <f t="shared" si="1"/>
        <v>1</v>
      </c>
      <c r="J27" s="2" t="b">
        <f t="shared" si="1"/>
        <v>1</v>
      </c>
      <c r="K27" s="2" t="b">
        <f t="shared" si="1"/>
        <v>1</v>
      </c>
      <c r="L27" s="2" t="b">
        <f t="shared" si="1"/>
        <v>1</v>
      </c>
      <c r="M27" s="2" t="b">
        <f t="shared" si="1"/>
        <v>1</v>
      </c>
      <c r="N27" s="2" t="b">
        <f t="shared" si="1"/>
        <v>1</v>
      </c>
      <c r="O27" s="2" t="b">
        <f t="shared" si="1"/>
        <v>1</v>
      </c>
      <c r="P27" s="2" t="b">
        <f t="shared" si="1"/>
        <v>1</v>
      </c>
      <c r="Q27" s="2" t="b">
        <f t="shared" si="1"/>
        <v>1</v>
      </c>
      <c r="R27" s="2" t="b">
        <f t="shared" si="1"/>
        <v>1</v>
      </c>
      <c r="S27" s="2" t="b">
        <f t="shared" si="1"/>
        <v>1</v>
      </c>
      <c r="T27" s="2" t="b">
        <f t="shared" si="1"/>
        <v>1</v>
      </c>
      <c r="U27" s="2" t="b">
        <f t="shared" si="1"/>
        <v>1</v>
      </c>
      <c r="V27" s="2" t="b">
        <f t="shared" si="1"/>
        <v>1</v>
      </c>
      <c r="W27" s="2" t="b">
        <f t="shared" si="1"/>
        <v>1</v>
      </c>
      <c r="X27" s="2" t="b">
        <f t="shared" si="1"/>
        <v>1</v>
      </c>
      <c r="Y27" s="2" t="b">
        <f t="shared" si="1"/>
        <v>1</v>
      </c>
      <c r="Z27" s="2" t="b">
        <f t="shared" si="1"/>
        <v>1</v>
      </c>
      <c r="AA27" s="2" t="b">
        <f t="shared" si="1"/>
        <v>1</v>
      </c>
      <c r="AB27" s="2" t="b">
        <f t="shared" si="1"/>
        <v>1</v>
      </c>
      <c r="AC27" s="2" t="b">
        <f t="shared" si="1"/>
        <v>1</v>
      </c>
      <c r="AD27" s="2" t="b">
        <f t="shared" si="1"/>
        <v>1</v>
      </c>
      <c r="AE27" s="2" t="b">
        <f t="shared" si="1"/>
        <v>1</v>
      </c>
      <c r="AF27" s="2" t="b">
        <f t="shared" si="1"/>
        <v>1</v>
      </c>
      <c r="AG27" s="2" t="b">
        <f t="shared" si="1"/>
        <v>1</v>
      </c>
      <c r="AH27" s="2" t="b">
        <f t="shared" si="1"/>
        <v>1</v>
      </c>
      <c r="AI27" s="2" t="b">
        <f t="shared" si="1"/>
        <v>1</v>
      </c>
      <c r="AJ27" s="2" t="b">
        <f t="shared" si="1"/>
        <v>1</v>
      </c>
      <c r="AK27" s="2" t="b">
        <f t="shared" si="1"/>
        <v>1</v>
      </c>
      <c r="AL27" s="2" t="b">
        <f t="shared" si="1"/>
        <v>1</v>
      </c>
      <c r="AM27" s="2" t="b">
        <f t="shared" si="1"/>
        <v>1</v>
      </c>
      <c r="AN27" s="2" t="b">
        <f t="shared" si="1"/>
        <v>1</v>
      </c>
      <c r="AO27" s="2" t="b">
        <f t="shared" si="1"/>
        <v>1</v>
      </c>
      <c r="AP27" s="2" t="b">
        <f t="shared" si="1"/>
        <v>1</v>
      </c>
      <c r="AQ27" s="2" t="b">
        <f t="shared" si="1"/>
        <v>1</v>
      </c>
      <c r="AR27" s="2" t="b">
        <f t="shared" si="1"/>
        <v>1</v>
      </c>
      <c r="AS27" s="2" t="b">
        <f t="shared" si="1"/>
        <v>0</v>
      </c>
      <c r="AT27" s="2" t="b">
        <f t="shared" si="1"/>
        <v>0</v>
      </c>
      <c r="AU27" s="2" t="b">
        <f t="shared" si="1"/>
        <v>0</v>
      </c>
      <c r="AV27" s="2" t="b">
        <f t="shared" si="1"/>
        <v>0</v>
      </c>
      <c r="AW27" s="2" t="b">
        <f t="shared" si="1"/>
        <v>0</v>
      </c>
      <c r="AX27" s="2" t="b">
        <f t="shared" si="1"/>
        <v>0</v>
      </c>
      <c r="AY27" s="2" t="b">
        <f t="shared" si="1"/>
        <v>0</v>
      </c>
      <c r="AZ27" s="2" t="b">
        <f t="shared" si="1"/>
        <v>0</v>
      </c>
      <c r="BA27" s="2" t="b">
        <f t="shared" si="1"/>
        <v>0</v>
      </c>
      <c r="BB27" s="2" t="b">
        <f t="shared" si="1"/>
        <v>0</v>
      </c>
      <c r="BC27" s="2" t="b">
        <f t="shared" si="1"/>
        <v>0</v>
      </c>
      <c r="BD27" s="2" t="b">
        <f t="shared" si="1"/>
        <v>0</v>
      </c>
      <c r="BE27" s="2" t="b">
        <f t="shared" si="1"/>
        <v>0</v>
      </c>
      <c r="BF27" s="2" t="b">
        <f t="shared" si="1"/>
        <v>0</v>
      </c>
      <c r="BG27" s="2" t="b">
        <f t="shared" si="1"/>
        <v>0</v>
      </c>
      <c r="BH27" s="2" t="b">
        <f t="shared" si="1"/>
        <v>0</v>
      </c>
      <c r="BI27" s="2" t="b">
        <f t="shared" si="1"/>
        <v>0</v>
      </c>
      <c r="BJ27" s="2" t="b">
        <f t="shared" si="1"/>
        <v>0</v>
      </c>
      <c r="BK27" s="2" t="b">
        <f t="shared" si="1"/>
        <v>0</v>
      </c>
      <c r="BL27" s="2" t="b">
        <f t="shared" si="1"/>
        <v>0</v>
      </c>
    </row>
    <row r="28" spans="1:64" x14ac:dyDescent="0.35">
      <c r="A28" s="1"/>
      <c r="C28" s="2" t="s">
        <v>144</v>
      </c>
      <c r="E28" s="51" t="b">
        <v>1</v>
      </c>
      <c r="F28" s="51" t="b">
        <v>1</v>
      </c>
      <c r="G28" s="51" t="b">
        <v>1</v>
      </c>
      <c r="H28" s="51" t="b">
        <v>1</v>
      </c>
      <c r="I28" s="51" t="b">
        <v>1</v>
      </c>
      <c r="J28" s="51" t="b">
        <v>1</v>
      </c>
      <c r="K28" s="51" t="b">
        <v>1</v>
      </c>
      <c r="L28" s="51" t="b">
        <v>1</v>
      </c>
      <c r="M28" s="51" t="b">
        <v>1</v>
      </c>
      <c r="N28" s="51" t="b">
        <v>1</v>
      </c>
      <c r="O28" s="51" t="b">
        <v>1</v>
      </c>
      <c r="P28" s="51" t="b">
        <v>1</v>
      </c>
      <c r="Q28" s="51" t="b">
        <v>1</v>
      </c>
      <c r="R28" s="51" t="b">
        <v>1</v>
      </c>
      <c r="S28" s="51" t="b">
        <v>1</v>
      </c>
      <c r="T28" s="51" t="b">
        <v>1</v>
      </c>
      <c r="U28" s="51" t="b">
        <v>1</v>
      </c>
      <c r="V28" s="51" t="b">
        <v>1</v>
      </c>
      <c r="W28" s="51" t="b">
        <v>1</v>
      </c>
      <c r="X28" s="51" t="b">
        <v>1</v>
      </c>
      <c r="Y28" s="51" t="b">
        <v>1</v>
      </c>
      <c r="Z28" s="51" t="b">
        <v>1</v>
      </c>
      <c r="AA28" s="51" t="b">
        <v>1</v>
      </c>
      <c r="AB28" s="51" t="b">
        <v>1</v>
      </c>
      <c r="AC28" s="51" t="b">
        <v>1</v>
      </c>
      <c r="AD28" s="51" t="b">
        <v>1</v>
      </c>
      <c r="AE28" s="51" t="b">
        <v>1</v>
      </c>
      <c r="AF28" s="51" t="b">
        <v>1</v>
      </c>
      <c r="AG28" s="51" t="b">
        <v>1</v>
      </c>
      <c r="AH28" s="51" t="b">
        <v>1</v>
      </c>
      <c r="AI28" s="51" t="b">
        <v>1</v>
      </c>
      <c r="AJ28" s="51" t="b">
        <v>1</v>
      </c>
      <c r="AK28" s="51" t="b">
        <v>1</v>
      </c>
      <c r="AL28" s="51" t="b">
        <v>1</v>
      </c>
      <c r="AM28" s="51" t="b">
        <v>1</v>
      </c>
      <c r="AN28" s="51" t="b">
        <v>1</v>
      </c>
      <c r="AO28" s="51" t="b">
        <v>1</v>
      </c>
      <c r="AP28" s="51" t="b">
        <v>1</v>
      </c>
      <c r="AQ28" s="51" t="b">
        <v>1</v>
      </c>
      <c r="AR28" s="51" t="b">
        <v>1</v>
      </c>
      <c r="AS28" s="51" t="b">
        <v>1</v>
      </c>
      <c r="AT28" s="51" t="b">
        <v>1</v>
      </c>
      <c r="AU28" s="51" t="b">
        <v>1</v>
      </c>
      <c r="AV28" s="51" t="b">
        <v>1</v>
      </c>
      <c r="AW28" s="51" t="b">
        <v>1</v>
      </c>
      <c r="AX28" s="51" t="b">
        <v>1</v>
      </c>
      <c r="AY28" s="51" t="b">
        <v>1</v>
      </c>
      <c r="AZ28" s="51" t="b">
        <v>1</v>
      </c>
      <c r="BA28" s="51" t="b">
        <v>1</v>
      </c>
      <c r="BB28" s="51" t="b">
        <v>1</v>
      </c>
      <c r="BC28" s="51" t="b">
        <v>1</v>
      </c>
      <c r="BD28" s="51" t="b">
        <v>1</v>
      </c>
      <c r="BE28" s="51" t="b">
        <v>1</v>
      </c>
      <c r="BF28" s="51" t="b">
        <v>1</v>
      </c>
      <c r="BG28" s="51" t="b">
        <v>1</v>
      </c>
      <c r="BH28" s="51" t="b">
        <v>1</v>
      </c>
      <c r="BI28" s="51" t="b">
        <v>1</v>
      </c>
      <c r="BJ28" s="51" t="b">
        <v>1</v>
      </c>
      <c r="BK28" s="51" t="b">
        <v>1</v>
      </c>
      <c r="BL28" s="51" t="b">
        <v>1</v>
      </c>
    </row>
    <row r="29" spans="1:64" x14ac:dyDescent="0.35">
      <c r="A29" s="1"/>
    </row>
    <row r="30" spans="1:64" x14ac:dyDescent="0.35">
      <c r="A30" s="1"/>
      <c r="C30" s="2" t="s">
        <v>38</v>
      </c>
      <c r="E30" s="12">
        <f t="shared" ref="E30:BL30" si="2">LOOKUP(E26,16:16,17:17)/2</f>
        <v>1.4999999999999999E-2</v>
      </c>
      <c r="F30" s="12">
        <f t="shared" si="2"/>
        <v>1.4999999999999999E-2</v>
      </c>
      <c r="G30" s="12">
        <f t="shared" si="2"/>
        <v>1.4999999999999999E-2</v>
      </c>
      <c r="H30" s="12">
        <f t="shared" si="2"/>
        <v>1.4999999999999999E-2</v>
      </c>
      <c r="I30" s="12">
        <f t="shared" si="2"/>
        <v>1.4999999999999999E-2</v>
      </c>
      <c r="J30" s="12">
        <f t="shared" si="2"/>
        <v>1.4999999999999999E-2</v>
      </c>
      <c r="K30" s="12">
        <f t="shared" si="2"/>
        <v>0.01</v>
      </c>
      <c r="L30" s="12">
        <f t="shared" si="2"/>
        <v>0.01</v>
      </c>
      <c r="M30" s="12">
        <f t="shared" si="2"/>
        <v>0.01</v>
      </c>
      <c r="N30" s="12">
        <f t="shared" si="2"/>
        <v>0.01</v>
      </c>
      <c r="O30" s="12">
        <f t="shared" si="2"/>
        <v>1.4999999999999999E-2</v>
      </c>
      <c r="P30" s="12">
        <f t="shared" si="2"/>
        <v>1.4999999999999999E-2</v>
      </c>
      <c r="Q30" s="12">
        <f t="shared" si="2"/>
        <v>1.4999999999999999E-2</v>
      </c>
      <c r="R30" s="12">
        <f t="shared" si="2"/>
        <v>1.4999999999999999E-2</v>
      </c>
      <c r="S30" s="12">
        <f t="shared" si="2"/>
        <v>1.4999999999999999E-2</v>
      </c>
      <c r="T30" s="12">
        <f t="shared" si="2"/>
        <v>1.4999999999999999E-2</v>
      </c>
      <c r="U30" s="12">
        <f t="shared" si="2"/>
        <v>1.4999999999999999E-2</v>
      </c>
      <c r="V30" s="12">
        <f t="shared" si="2"/>
        <v>1.4999999999999999E-2</v>
      </c>
      <c r="W30" s="12">
        <f t="shared" si="2"/>
        <v>1.4999999999999999E-2</v>
      </c>
      <c r="X30" s="12">
        <f t="shared" si="2"/>
        <v>1.4999999999999999E-2</v>
      </c>
      <c r="Y30" s="12">
        <f t="shared" si="2"/>
        <v>1.4999999999999999E-2</v>
      </c>
      <c r="Z30" s="12">
        <f t="shared" si="2"/>
        <v>1.4999999999999999E-2</v>
      </c>
      <c r="AA30" s="12">
        <f t="shared" si="2"/>
        <v>1.4999999999999999E-2</v>
      </c>
      <c r="AB30" s="12">
        <f t="shared" si="2"/>
        <v>1.4999999999999999E-2</v>
      </c>
      <c r="AC30" s="12">
        <f t="shared" si="2"/>
        <v>1.4999999999999999E-2</v>
      </c>
      <c r="AD30" s="12">
        <f t="shared" si="2"/>
        <v>1.4999999999999999E-2</v>
      </c>
      <c r="AE30" s="12">
        <f t="shared" si="2"/>
        <v>1.4999999999999999E-2</v>
      </c>
      <c r="AF30" s="12">
        <f t="shared" si="2"/>
        <v>1.4999999999999999E-2</v>
      </c>
      <c r="AG30" s="12">
        <f t="shared" si="2"/>
        <v>1.4999999999999999E-2</v>
      </c>
      <c r="AH30" s="12">
        <f t="shared" si="2"/>
        <v>1.4999999999999999E-2</v>
      </c>
      <c r="AI30" s="12">
        <f t="shared" si="2"/>
        <v>1.4999999999999999E-2</v>
      </c>
      <c r="AJ30" s="12">
        <f t="shared" si="2"/>
        <v>1.4999999999999999E-2</v>
      </c>
      <c r="AK30" s="12">
        <f t="shared" si="2"/>
        <v>1.4999999999999999E-2</v>
      </c>
      <c r="AL30" s="12">
        <f t="shared" si="2"/>
        <v>1.4999999999999999E-2</v>
      </c>
      <c r="AM30" s="12">
        <f t="shared" si="2"/>
        <v>1.4999999999999999E-2</v>
      </c>
      <c r="AN30" s="12">
        <f t="shared" si="2"/>
        <v>1.4999999999999999E-2</v>
      </c>
      <c r="AO30" s="12">
        <f t="shared" si="2"/>
        <v>1.4999999999999999E-2</v>
      </c>
      <c r="AP30" s="12">
        <f t="shared" si="2"/>
        <v>1.4999999999999999E-2</v>
      </c>
      <c r="AQ30" s="12">
        <f t="shared" si="2"/>
        <v>1.4999999999999999E-2</v>
      </c>
      <c r="AR30" s="12">
        <f t="shared" si="2"/>
        <v>1.4999999999999999E-2</v>
      </c>
      <c r="AS30" s="12">
        <f t="shared" si="2"/>
        <v>1.4999999999999999E-2</v>
      </c>
      <c r="AT30" s="12">
        <f t="shared" si="2"/>
        <v>1.4999999999999999E-2</v>
      </c>
      <c r="AU30" s="12">
        <f t="shared" si="2"/>
        <v>1.4999999999999999E-2</v>
      </c>
      <c r="AV30" s="12">
        <f t="shared" si="2"/>
        <v>1.4999999999999999E-2</v>
      </c>
      <c r="AW30" s="12">
        <f t="shared" si="2"/>
        <v>1.4999999999999999E-2</v>
      </c>
      <c r="AX30" s="12">
        <f t="shared" si="2"/>
        <v>1.4999999999999999E-2</v>
      </c>
      <c r="AY30" s="12">
        <f t="shared" si="2"/>
        <v>1.4999999999999999E-2</v>
      </c>
      <c r="AZ30" s="12">
        <f t="shared" si="2"/>
        <v>1.4999999999999999E-2</v>
      </c>
      <c r="BA30" s="12">
        <f t="shared" si="2"/>
        <v>1.4999999999999999E-2</v>
      </c>
      <c r="BB30" s="12">
        <f t="shared" si="2"/>
        <v>1.4999999999999999E-2</v>
      </c>
      <c r="BC30" s="12">
        <f t="shared" si="2"/>
        <v>1.4999999999999999E-2</v>
      </c>
      <c r="BD30" s="12">
        <f t="shared" si="2"/>
        <v>1.4999999999999999E-2</v>
      </c>
      <c r="BE30" s="12">
        <f t="shared" si="2"/>
        <v>1.4999999999999999E-2</v>
      </c>
      <c r="BF30" s="12">
        <f t="shared" si="2"/>
        <v>1.4999999999999999E-2</v>
      </c>
      <c r="BG30" s="12">
        <f t="shared" si="2"/>
        <v>1.4999999999999999E-2</v>
      </c>
      <c r="BH30" s="12">
        <f t="shared" si="2"/>
        <v>1.4999999999999999E-2</v>
      </c>
      <c r="BI30" s="12">
        <f t="shared" si="2"/>
        <v>1.4999999999999999E-2</v>
      </c>
      <c r="BJ30" s="12">
        <f t="shared" si="2"/>
        <v>1.4999999999999999E-2</v>
      </c>
      <c r="BK30" s="12">
        <f t="shared" si="2"/>
        <v>1.4999999999999999E-2</v>
      </c>
      <c r="BL30" s="12">
        <f t="shared" si="2"/>
        <v>1.4999999999999999E-2</v>
      </c>
    </row>
    <row r="31" spans="1:64" x14ac:dyDescent="0.35">
      <c r="A31" s="1"/>
      <c r="C31" s="2" t="s">
        <v>104</v>
      </c>
      <c r="D31" s="4">
        <f>D15</f>
        <v>130</v>
      </c>
      <c r="E31" s="4">
        <f t="shared" ref="E31:BL31" si="3">D31*(1+E30)</f>
        <v>131.94999999999999</v>
      </c>
      <c r="F31" s="4">
        <f t="shared" si="3"/>
        <v>133.92924999999997</v>
      </c>
      <c r="G31" s="4">
        <f t="shared" si="3"/>
        <v>135.93818874999997</v>
      </c>
      <c r="H31" s="4">
        <f t="shared" si="3"/>
        <v>137.97726158124996</v>
      </c>
      <c r="I31" s="4">
        <f t="shared" si="3"/>
        <v>140.04692050496871</v>
      </c>
      <c r="J31" s="4">
        <f t="shared" si="3"/>
        <v>142.14762431254323</v>
      </c>
      <c r="K31" s="4">
        <f t="shared" si="3"/>
        <v>143.56910055566865</v>
      </c>
      <c r="L31" s="4">
        <f t="shared" si="3"/>
        <v>145.00479156122535</v>
      </c>
      <c r="M31" s="4">
        <f t="shared" si="3"/>
        <v>146.45483947683761</v>
      </c>
      <c r="N31" s="4">
        <f t="shared" si="3"/>
        <v>147.91938787160598</v>
      </c>
      <c r="O31" s="4">
        <f t="shared" si="3"/>
        <v>150.13817868968005</v>
      </c>
      <c r="P31" s="4">
        <f t="shared" si="3"/>
        <v>152.39025137002523</v>
      </c>
      <c r="Q31" s="4">
        <f t="shared" si="3"/>
        <v>154.6761051405756</v>
      </c>
      <c r="R31" s="4">
        <f t="shared" si="3"/>
        <v>156.99624671768422</v>
      </c>
      <c r="S31" s="4">
        <f t="shared" si="3"/>
        <v>159.35119041844948</v>
      </c>
      <c r="T31" s="4">
        <f t="shared" si="3"/>
        <v>161.7414582747262</v>
      </c>
      <c r="U31" s="4">
        <f t="shared" si="3"/>
        <v>164.16758014884707</v>
      </c>
      <c r="V31" s="4">
        <f t="shared" si="3"/>
        <v>166.63009385107975</v>
      </c>
      <c r="W31" s="4">
        <f t="shared" si="3"/>
        <v>169.12954525884592</v>
      </c>
      <c r="X31" s="4">
        <f t="shared" si="3"/>
        <v>171.66648843772859</v>
      </c>
      <c r="Y31" s="4">
        <f t="shared" si="3"/>
        <v>174.24148576429451</v>
      </c>
      <c r="Z31" s="4">
        <f t="shared" si="3"/>
        <v>176.8551080507589</v>
      </c>
      <c r="AA31" s="4">
        <f t="shared" si="3"/>
        <v>179.50793467152027</v>
      </c>
      <c r="AB31" s="4">
        <f t="shared" si="3"/>
        <v>182.20055369159306</v>
      </c>
      <c r="AC31" s="4">
        <f t="shared" si="3"/>
        <v>184.93356199696694</v>
      </c>
      <c r="AD31" s="4">
        <f t="shared" si="3"/>
        <v>187.70756542692143</v>
      </c>
      <c r="AE31" s="4">
        <f t="shared" si="3"/>
        <v>190.52317890832524</v>
      </c>
      <c r="AF31" s="4">
        <f t="shared" si="3"/>
        <v>193.3810265919501</v>
      </c>
      <c r="AG31" s="4">
        <f t="shared" si="3"/>
        <v>196.28174199082935</v>
      </c>
      <c r="AH31" s="4">
        <f t="shared" si="3"/>
        <v>199.22596812069176</v>
      </c>
      <c r="AI31" s="4">
        <f t="shared" si="3"/>
        <v>202.21435764250211</v>
      </c>
      <c r="AJ31" s="4">
        <f t="shared" si="3"/>
        <v>205.24757300713961</v>
      </c>
      <c r="AK31" s="4">
        <f t="shared" si="3"/>
        <v>208.32628660224668</v>
      </c>
      <c r="AL31" s="4">
        <f t="shared" si="3"/>
        <v>211.45118090128037</v>
      </c>
      <c r="AM31" s="4">
        <f t="shared" si="3"/>
        <v>214.62294861479955</v>
      </c>
      <c r="AN31" s="4">
        <f t="shared" si="3"/>
        <v>217.84229284402153</v>
      </c>
      <c r="AO31" s="4">
        <f t="shared" si="3"/>
        <v>221.10992723668184</v>
      </c>
      <c r="AP31" s="4">
        <f t="shared" si="3"/>
        <v>224.42657614523205</v>
      </c>
      <c r="AQ31" s="4">
        <f t="shared" si="3"/>
        <v>227.79297478741051</v>
      </c>
      <c r="AR31" s="4">
        <f t="shared" si="3"/>
        <v>231.20986940922165</v>
      </c>
      <c r="AS31" s="4">
        <f t="shared" si="3"/>
        <v>234.67801745035996</v>
      </c>
      <c r="AT31" s="4">
        <f t="shared" si="3"/>
        <v>238.19818771211533</v>
      </c>
      <c r="AU31" s="4">
        <f t="shared" si="3"/>
        <v>241.77116052779704</v>
      </c>
      <c r="AV31" s="4">
        <f t="shared" si="3"/>
        <v>245.39772793571396</v>
      </c>
      <c r="AW31" s="4">
        <f t="shared" si="3"/>
        <v>249.07869385474964</v>
      </c>
      <c r="AX31" s="4">
        <f t="shared" si="3"/>
        <v>252.81487426257087</v>
      </c>
      <c r="AY31" s="4">
        <f t="shared" si="3"/>
        <v>256.60709737650939</v>
      </c>
      <c r="AZ31" s="4">
        <f t="shared" si="3"/>
        <v>260.45620383715698</v>
      </c>
      <c r="BA31" s="4">
        <f t="shared" si="3"/>
        <v>264.36304689471433</v>
      </c>
      <c r="BB31" s="4">
        <f t="shared" si="3"/>
        <v>268.32849259813503</v>
      </c>
      <c r="BC31" s="4">
        <f t="shared" si="3"/>
        <v>272.35341998710703</v>
      </c>
      <c r="BD31" s="4">
        <f t="shared" si="3"/>
        <v>276.43872128691362</v>
      </c>
      <c r="BE31" s="4">
        <f t="shared" si="3"/>
        <v>280.58530210621728</v>
      </c>
      <c r="BF31" s="4">
        <f t="shared" si="3"/>
        <v>284.79408163781051</v>
      </c>
      <c r="BG31" s="4">
        <f t="shared" si="3"/>
        <v>289.06599286237764</v>
      </c>
      <c r="BH31" s="4">
        <f t="shared" si="3"/>
        <v>293.40198275531327</v>
      </c>
      <c r="BI31" s="4">
        <f t="shared" si="3"/>
        <v>297.80301249664296</v>
      </c>
      <c r="BJ31" s="4">
        <f t="shared" si="3"/>
        <v>302.27005768409259</v>
      </c>
      <c r="BK31" s="4">
        <f t="shared" si="3"/>
        <v>306.80410854935394</v>
      </c>
      <c r="BL31" s="4">
        <f t="shared" si="3"/>
        <v>311.40617017759422</v>
      </c>
    </row>
    <row r="32" spans="1:64" x14ac:dyDescent="0.35">
      <c r="A32" s="1"/>
      <c r="C32" s="2" t="s">
        <v>105</v>
      </c>
      <c r="D32" s="4"/>
      <c r="E32" s="29">
        <f>E66</f>
        <v>2.7613122463226318</v>
      </c>
      <c r="F32" s="29">
        <f t="shared" ref="F32:BL32" si="4">F60</f>
        <v>2.8027310922378041</v>
      </c>
      <c r="G32" s="29">
        <f t="shared" si="4"/>
        <v>2.844737603378527</v>
      </c>
      <c r="H32" s="29">
        <f t="shared" si="4"/>
        <v>2.8873079274048714</v>
      </c>
      <c r="I32" s="29">
        <f t="shared" si="4"/>
        <v>2.9256340000694139</v>
      </c>
      <c r="J32" s="29">
        <f t="shared" si="4"/>
        <v>2.9596366517986805</v>
      </c>
      <c r="K32" s="29">
        <f t="shared" si="4"/>
        <v>2.9892688804819758</v>
      </c>
      <c r="L32" s="29">
        <f t="shared" si="4"/>
        <v>3.019266593699514</v>
      </c>
      <c r="M32" s="29">
        <f t="shared" si="4"/>
        <v>3.0546461298578134</v>
      </c>
      <c r="N32" s="29">
        <f t="shared" si="4"/>
        <v>3.0955033385868185</v>
      </c>
      <c r="O32" s="29">
        <f t="shared" si="4"/>
        <v>3.1419358886656199</v>
      </c>
      <c r="P32" s="29">
        <f t="shared" si="4"/>
        <v>3.1890649269956044</v>
      </c>
      <c r="Q32" s="29">
        <f t="shared" si="4"/>
        <v>3.2369009009005381</v>
      </c>
      <c r="R32" s="29">
        <f t="shared" si="4"/>
        <v>3.2854544144140458</v>
      </c>
      <c r="S32" s="29">
        <f t="shared" si="4"/>
        <v>3.3347362306302561</v>
      </c>
      <c r="T32" s="29">
        <f t="shared" si="4"/>
        <v>3.3847572740897096</v>
      </c>
      <c r="U32" s="29">
        <f t="shared" si="4"/>
        <v>3.4355286332010548</v>
      </c>
      <c r="V32" s="29">
        <f t="shared" si="4"/>
        <v>3.4870615626990697</v>
      </c>
      <c r="W32" s="29">
        <f t="shared" si="4"/>
        <v>3.5393674861395557</v>
      </c>
      <c r="X32" s="29">
        <f t="shared" si="4"/>
        <v>3.5924579984316489</v>
      </c>
      <c r="Y32" s="29">
        <f t="shared" si="4"/>
        <v>3.6463448684081232</v>
      </c>
      <c r="Z32" s="29">
        <f t="shared" si="4"/>
        <v>3.7010400414342444</v>
      </c>
      <c r="AA32" s="29">
        <f t="shared" si="4"/>
        <v>3.756555642055758</v>
      </c>
      <c r="AB32" s="29">
        <f t="shared" si="4"/>
        <v>3.8129039766865938</v>
      </c>
      <c r="AC32" s="29">
        <f t="shared" si="4"/>
        <v>3.8700975363368908</v>
      </c>
      <c r="AD32" s="29">
        <f t="shared" si="4"/>
        <v>3.9281489993819343</v>
      </c>
      <c r="AE32" s="29">
        <f t="shared" si="4"/>
        <v>3.9870712343724772</v>
      </c>
      <c r="AF32" s="29">
        <f t="shared" si="4"/>
        <v>4.0468773028869185</v>
      </c>
      <c r="AG32" s="29">
        <f t="shared" si="4"/>
        <v>4.1075804624040053</v>
      </c>
      <c r="AH32" s="29">
        <f t="shared" si="4"/>
        <v>4.169194169197266</v>
      </c>
      <c r="AI32" s="29">
        <f t="shared" si="4"/>
        <v>4.231732078009478</v>
      </c>
      <c r="AJ32" s="29">
        <f t="shared" si="4"/>
        <v>4.2952080418336038</v>
      </c>
      <c r="AK32" s="29">
        <f t="shared" si="4"/>
        <v>4.3596356300282864</v>
      </c>
      <c r="AL32" s="29">
        <f t="shared" si="4"/>
        <v>4.4250281372976943</v>
      </c>
      <c r="AM32" s="29">
        <f t="shared" si="4"/>
        <v>4.4913270196594954</v>
      </c>
      <c r="AN32" s="29">
        <f t="shared" si="4"/>
        <v>4.5584743296652883</v>
      </c>
      <c r="AO32" s="29">
        <f t="shared" si="4"/>
        <v>4.6157796851977704</v>
      </c>
      <c r="AP32" s="29">
        <f t="shared" si="4"/>
        <v>4.6632415226851895</v>
      </c>
      <c r="AQ32" s="29">
        <f t="shared" si="4"/>
        <v>3.121193486145009</v>
      </c>
      <c r="AR32" s="29">
        <f t="shared" si="4"/>
        <v>1.5668653915122275</v>
      </c>
      <c r="AS32" s="29">
        <f t="shared" si="4"/>
        <v>0</v>
      </c>
      <c r="AT32" s="29">
        <f t="shared" si="4"/>
        <v>0</v>
      </c>
      <c r="AU32" s="29">
        <f t="shared" si="4"/>
        <v>0</v>
      </c>
      <c r="AV32" s="29">
        <f t="shared" si="4"/>
        <v>0</v>
      </c>
      <c r="AW32" s="29">
        <f t="shared" si="4"/>
        <v>0</v>
      </c>
      <c r="AX32" s="29">
        <f t="shared" si="4"/>
        <v>0</v>
      </c>
      <c r="AY32" s="29">
        <f t="shared" si="4"/>
        <v>0</v>
      </c>
      <c r="AZ32" s="29">
        <f t="shared" si="4"/>
        <v>0</v>
      </c>
      <c r="BA32" s="29">
        <f t="shared" si="4"/>
        <v>0</v>
      </c>
      <c r="BB32" s="29">
        <f t="shared" si="4"/>
        <v>0</v>
      </c>
      <c r="BC32" s="29">
        <f t="shared" si="4"/>
        <v>0</v>
      </c>
      <c r="BD32" s="29">
        <f t="shared" si="4"/>
        <v>0</v>
      </c>
      <c r="BE32" s="29">
        <f t="shared" si="4"/>
        <v>0</v>
      </c>
      <c r="BF32" s="29">
        <f t="shared" si="4"/>
        <v>0</v>
      </c>
      <c r="BG32" s="29">
        <f t="shared" si="4"/>
        <v>0</v>
      </c>
      <c r="BH32" s="29">
        <f t="shared" si="4"/>
        <v>0</v>
      </c>
      <c r="BI32" s="29">
        <f t="shared" si="4"/>
        <v>0</v>
      </c>
      <c r="BJ32" s="29">
        <f t="shared" si="4"/>
        <v>0</v>
      </c>
      <c r="BK32" s="29">
        <f t="shared" si="4"/>
        <v>0</v>
      </c>
      <c r="BL32" s="29">
        <f t="shared" si="4"/>
        <v>0</v>
      </c>
    </row>
    <row r="33" spans="1:64" ht="15" thickBot="1" x14ac:dyDescent="0.4">
      <c r="A33" s="1"/>
      <c r="C33" s="24" t="s">
        <v>2</v>
      </c>
      <c r="D33" s="25"/>
      <c r="E33" s="25">
        <f>E31+E32</f>
        <v>134.71131224632262</v>
      </c>
      <c r="F33" s="25">
        <f t="shared" ref="F33:AJ33" si="5">F31+F32</f>
        <v>136.73198109223776</v>
      </c>
      <c r="G33" s="25">
        <f t="shared" si="5"/>
        <v>138.78292635337849</v>
      </c>
      <c r="H33" s="25">
        <f t="shared" si="5"/>
        <v>140.86456950865482</v>
      </c>
      <c r="I33" s="25">
        <f t="shared" si="5"/>
        <v>142.97255450503812</v>
      </c>
      <c r="J33" s="25">
        <f t="shared" si="5"/>
        <v>145.10726096434192</v>
      </c>
      <c r="K33" s="25">
        <f t="shared" si="5"/>
        <v>146.55836943615063</v>
      </c>
      <c r="L33" s="25">
        <f t="shared" si="5"/>
        <v>148.02405815492486</v>
      </c>
      <c r="M33" s="25">
        <f t="shared" si="5"/>
        <v>149.50948560669542</v>
      </c>
      <c r="N33" s="25">
        <f t="shared" si="5"/>
        <v>151.01489121019279</v>
      </c>
      <c r="O33" s="25">
        <f t="shared" si="5"/>
        <v>153.28011457834566</v>
      </c>
      <c r="P33" s="25">
        <f t="shared" si="5"/>
        <v>155.57931629702082</v>
      </c>
      <c r="Q33" s="25">
        <f t="shared" si="5"/>
        <v>157.91300604147614</v>
      </c>
      <c r="R33" s="25">
        <f t="shared" si="5"/>
        <v>160.28170113209825</v>
      </c>
      <c r="S33" s="25">
        <f t="shared" si="5"/>
        <v>162.68592664907973</v>
      </c>
      <c r="T33" s="25">
        <f t="shared" si="5"/>
        <v>165.12621554881591</v>
      </c>
      <c r="U33" s="25">
        <f t="shared" si="5"/>
        <v>167.60310878204811</v>
      </c>
      <c r="V33" s="25">
        <f t="shared" si="5"/>
        <v>170.11715541377882</v>
      </c>
      <c r="W33" s="25">
        <f t="shared" si="5"/>
        <v>172.66891274498548</v>
      </c>
      <c r="X33" s="25">
        <f t="shared" si="5"/>
        <v>175.25894643616024</v>
      </c>
      <c r="Y33" s="25">
        <f t="shared" si="5"/>
        <v>177.88783063270265</v>
      </c>
      <c r="Z33" s="25">
        <f t="shared" si="5"/>
        <v>180.55614809219315</v>
      </c>
      <c r="AA33" s="25">
        <f t="shared" si="5"/>
        <v>183.26449031357603</v>
      </c>
      <c r="AB33" s="25">
        <f t="shared" si="5"/>
        <v>186.01345766827964</v>
      </c>
      <c r="AC33" s="25">
        <f t="shared" si="5"/>
        <v>188.80365953330383</v>
      </c>
      <c r="AD33" s="25">
        <f t="shared" si="5"/>
        <v>191.63571442630337</v>
      </c>
      <c r="AE33" s="25">
        <f t="shared" si="5"/>
        <v>194.51025014269771</v>
      </c>
      <c r="AF33" s="25">
        <f t="shared" si="5"/>
        <v>197.42790389483702</v>
      </c>
      <c r="AG33" s="25">
        <f t="shared" si="5"/>
        <v>200.38932245323335</v>
      </c>
      <c r="AH33" s="25">
        <f t="shared" si="5"/>
        <v>203.39516228988902</v>
      </c>
      <c r="AI33" s="25">
        <f t="shared" si="5"/>
        <v>206.44608972051159</v>
      </c>
      <c r="AJ33" s="25">
        <f t="shared" si="5"/>
        <v>209.54278104897321</v>
      </c>
      <c r="AK33" s="25">
        <f t="shared" ref="AK33:BL33" si="6">AK31+AK32</f>
        <v>212.68592223227498</v>
      </c>
      <c r="AL33" s="25">
        <f t="shared" si="6"/>
        <v>215.87620903857805</v>
      </c>
      <c r="AM33" s="25">
        <f t="shared" si="6"/>
        <v>219.11427563445906</v>
      </c>
      <c r="AN33" s="25">
        <f t="shared" si="6"/>
        <v>222.40076717368683</v>
      </c>
      <c r="AO33" s="25">
        <f t="shared" si="6"/>
        <v>225.72570692187961</v>
      </c>
      <c r="AP33" s="25">
        <f t="shared" si="6"/>
        <v>229.08981766791723</v>
      </c>
      <c r="AQ33" s="25">
        <f t="shared" si="6"/>
        <v>230.91416827355553</v>
      </c>
      <c r="AR33" s="25">
        <f t="shared" si="6"/>
        <v>232.77673480073389</v>
      </c>
      <c r="AS33" s="25">
        <f t="shared" si="6"/>
        <v>234.67801745035996</v>
      </c>
      <c r="AT33" s="25">
        <f t="shared" si="6"/>
        <v>238.19818771211533</v>
      </c>
      <c r="AU33" s="25">
        <f t="shared" si="6"/>
        <v>241.77116052779704</v>
      </c>
      <c r="AV33" s="25">
        <f t="shared" si="6"/>
        <v>245.39772793571396</v>
      </c>
      <c r="AW33" s="25">
        <f t="shared" si="6"/>
        <v>249.07869385474964</v>
      </c>
      <c r="AX33" s="25">
        <f t="shared" si="6"/>
        <v>252.81487426257087</v>
      </c>
      <c r="AY33" s="25">
        <f t="shared" si="6"/>
        <v>256.60709737650939</v>
      </c>
      <c r="AZ33" s="25">
        <f t="shared" si="6"/>
        <v>260.45620383715698</v>
      </c>
      <c r="BA33" s="25">
        <f t="shared" si="6"/>
        <v>264.36304689471433</v>
      </c>
      <c r="BB33" s="25">
        <f t="shared" si="6"/>
        <v>268.32849259813503</v>
      </c>
      <c r="BC33" s="25">
        <f t="shared" si="6"/>
        <v>272.35341998710703</v>
      </c>
      <c r="BD33" s="25">
        <f t="shared" si="6"/>
        <v>276.43872128691362</v>
      </c>
      <c r="BE33" s="25">
        <f t="shared" si="6"/>
        <v>280.58530210621728</v>
      </c>
      <c r="BF33" s="25">
        <f t="shared" si="6"/>
        <v>284.79408163781051</v>
      </c>
      <c r="BG33" s="25">
        <f t="shared" si="6"/>
        <v>289.06599286237764</v>
      </c>
      <c r="BH33" s="25">
        <f t="shared" si="6"/>
        <v>293.40198275531327</v>
      </c>
      <c r="BI33" s="25">
        <f t="shared" si="6"/>
        <v>297.80301249664296</v>
      </c>
      <c r="BJ33" s="25">
        <f t="shared" si="6"/>
        <v>302.27005768409259</v>
      </c>
      <c r="BK33" s="25">
        <f t="shared" si="6"/>
        <v>306.80410854935394</v>
      </c>
      <c r="BL33" s="25">
        <f t="shared" si="6"/>
        <v>311.40617017759422</v>
      </c>
    </row>
    <row r="34" spans="1:64" x14ac:dyDescent="0.35">
      <c r="A34" s="1"/>
      <c r="C34" s="10" t="s">
        <v>122</v>
      </c>
      <c r="D34" s="46"/>
      <c r="E34" s="46">
        <f>E33*E27</f>
        <v>134.71131224632262</v>
      </c>
      <c r="F34" s="46">
        <f t="shared" ref="F34:BL34" si="7">F33*F27</f>
        <v>136.73198109223776</v>
      </c>
      <c r="G34" s="46">
        <f t="shared" si="7"/>
        <v>138.78292635337849</v>
      </c>
      <c r="H34" s="46">
        <f t="shared" si="7"/>
        <v>140.86456950865482</v>
      </c>
      <c r="I34" s="46">
        <f t="shared" si="7"/>
        <v>142.97255450503812</v>
      </c>
      <c r="J34" s="46">
        <f t="shared" si="7"/>
        <v>145.10726096434192</v>
      </c>
      <c r="K34" s="46">
        <f t="shared" si="7"/>
        <v>146.55836943615063</v>
      </c>
      <c r="L34" s="46">
        <f t="shared" si="7"/>
        <v>148.02405815492486</v>
      </c>
      <c r="M34" s="46">
        <f t="shared" si="7"/>
        <v>149.50948560669542</v>
      </c>
      <c r="N34" s="46">
        <f t="shared" si="7"/>
        <v>151.01489121019279</v>
      </c>
      <c r="O34" s="46">
        <f t="shared" si="7"/>
        <v>153.28011457834566</v>
      </c>
      <c r="P34" s="46">
        <f t="shared" si="7"/>
        <v>155.57931629702082</v>
      </c>
      <c r="Q34" s="46">
        <f t="shared" si="7"/>
        <v>157.91300604147614</v>
      </c>
      <c r="R34" s="46">
        <f t="shared" si="7"/>
        <v>160.28170113209825</v>
      </c>
      <c r="S34" s="46">
        <f t="shared" si="7"/>
        <v>162.68592664907973</v>
      </c>
      <c r="T34" s="46">
        <f t="shared" si="7"/>
        <v>165.12621554881591</v>
      </c>
      <c r="U34" s="46">
        <f t="shared" si="7"/>
        <v>167.60310878204811</v>
      </c>
      <c r="V34" s="46">
        <f t="shared" si="7"/>
        <v>170.11715541377882</v>
      </c>
      <c r="W34" s="46">
        <f t="shared" si="7"/>
        <v>172.66891274498548</v>
      </c>
      <c r="X34" s="46">
        <f t="shared" si="7"/>
        <v>175.25894643616024</v>
      </c>
      <c r="Y34" s="46">
        <f t="shared" si="7"/>
        <v>177.88783063270265</v>
      </c>
      <c r="Z34" s="46">
        <f t="shared" si="7"/>
        <v>180.55614809219315</v>
      </c>
      <c r="AA34" s="46">
        <f t="shared" si="7"/>
        <v>183.26449031357603</v>
      </c>
      <c r="AB34" s="46">
        <f t="shared" si="7"/>
        <v>186.01345766827964</v>
      </c>
      <c r="AC34" s="46">
        <f t="shared" si="7"/>
        <v>188.80365953330383</v>
      </c>
      <c r="AD34" s="46">
        <f t="shared" si="7"/>
        <v>191.63571442630337</v>
      </c>
      <c r="AE34" s="46">
        <f t="shared" si="7"/>
        <v>194.51025014269771</v>
      </c>
      <c r="AF34" s="46">
        <f t="shared" si="7"/>
        <v>197.42790389483702</v>
      </c>
      <c r="AG34" s="46">
        <f t="shared" si="7"/>
        <v>200.38932245323335</v>
      </c>
      <c r="AH34" s="46">
        <f t="shared" si="7"/>
        <v>203.39516228988902</v>
      </c>
      <c r="AI34" s="46">
        <f t="shared" si="7"/>
        <v>206.44608972051159</v>
      </c>
      <c r="AJ34" s="46">
        <f t="shared" si="7"/>
        <v>209.54278104897321</v>
      </c>
      <c r="AK34" s="46">
        <f t="shared" si="7"/>
        <v>212.68592223227498</v>
      </c>
      <c r="AL34" s="46">
        <f t="shared" si="7"/>
        <v>215.87620903857805</v>
      </c>
      <c r="AM34" s="46">
        <f t="shared" si="7"/>
        <v>219.11427563445906</v>
      </c>
      <c r="AN34" s="46">
        <f t="shared" si="7"/>
        <v>222.40076717368683</v>
      </c>
      <c r="AO34" s="46">
        <f t="shared" si="7"/>
        <v>225.72570692187961</v>
      </c>
      <c r="AP34" s="46">
        <f t="shared" si="7"/>
        <v>229.08981766791723</v>
      </c>
      <c r="AQ34" s="46">
        <f t="shared" si="7"/>
        <v>230.91416827355553</v>
      </c>
      <c r="AR34" s="46">
        <f t="shared" si="7"/>
        <v>232.77673480073389</v>
      </c>
      <c r="AS34" s="46">
        <f t="shared" si="7"/>
        <v>0</v>
      </c>
      <c r="AT34" s="46">
        <f t="shared" si="7"/>
        <v>0</v>
      </c>
      <c r="AU34" s="46">
        <f t="shared" si="7"/>
        <v>0</v>
      </c>
      <c r="AV34" s="46">
        <f t="shared" si="7"/>
        <v>0</v>
      </c>
      <c r="AW34" s="46">
        <f t="shared" si="7"/>
        <v>0</v>
      </c>
      <c r="AX34" s="46">
        <f t="shared" si="7"/>
        <v>0</v>
      </c>
      <c r="AY34" s="46">
        <f t="shared" si="7"/>
        <v>0</v>
      </c>
      <c r="AZ34" s="46">
        <f t="shared" si="7"/>
        <v>0</v>
      </c>
      <c r="BA34" s="46">
        <f t="shared" si="7"/>
        <v>0</v>
      </c>
      <c r="BB34" s="46">
        <f t="shared" si="7"/>
        <v>0</v>
      </c>
      <c r="BC34" s="46">
        <f t="shared" si="7"/>
        <v>0</v>
      </c>
      <c r="BD34" s="46">
        <f t="shared" si="7"/>
        <v>0</v>
      </c>
      <c r="BE34" s="46">
        <f t="shared" si="7"/>
        <v>0</v>
      </c>
      <c r="BF34" s="46">
        <f t="shared" si="7"/>
        <v>0</v>
      </c>
      <c r="BG34" s="46">
        <f t="shared" si="7"/>
        <v>0</v>
      </c>
      <c r="BH34" s="46">
        <f t="shared" si="7"/>
        <v>0</v>
      </c>
      <c r="BI34" s="46">
        <f t="shared" si="7"/>
        <v>0</v>
      </c>
      <c r="BJ34" s="46">
        <f t="shared" si="7"/>
        <v>0</v>
      </c>
      <c r="BK34" s="46">
        <f t="shared" si="7"/>
        <v>0</v>
      </c>
      <c r="BL34" s="46">
        <f t="shared" si="7"/>
        <v>0</v>
      </c>
    </row>
    <row r="35" spans="1:64" x14ac:dyDescent="0.35">
      <c r="A35" s="1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</row>
    <row r="36" spans="1:64" x14ac:dyDescent="0.35">
      <c r="A36" s="1"/>
      <c r="C36" s="2" t="s">
        <v>72</v>
      </c>
      <c r="E36" s="12">
        <f t="shared" ref="E36:AJ36" si="8">LOOKUP(E26,6:6,7:7)/2</f>
        <v>1.4999999999999999E-2</v>
      </c>
      <c r="F36" s="12">
        <f t="shared" si="8"/>
        <v>1.4999999999999999E-2</v>
      </c>
      <c r="G36" s="12">
        <f t="shared" si="8"/>
        <v>1.4999999999999999E-2</v>
      </c>
      <c r="H36" s="12">
        <f t="shared" si="8"/>
        <v>1.4999999999999999E-2</v>
      </c>
      <c r="I36" s="12">
        <f t="shared" si="8"/>
        <v>1.4999999999999999E-2</v>
      </c>
      <c r="J36" s="12">
        <f t="shared" si="8"/>
        <v>1.4999999999999999E-2</v>
      </c>
      <c r="K36" s="12">
        <f t="shared" si="8"/>
        <v>1.4999999999999999E-2</v>
      </c>
      <c r="L36" s="12">
        <f t="shared" si="8"/>
        <v>1.4999999999999999E-2</v>
      </c>
      <c r="M36" s="12">
        <f t="shared" si="8"/>
        <v>0.02</v>
      </c>
      <c r="N36" s="12">
        <f t="shared" si="8"/>
        <v>0.02</v>
      </c>
      <c r="O36" s="12">
        <f t="shared" si="8"/>
        <v>0.02</v>
      </c>
      <c r="P36" s="12">
        <f t="shared" si="8"/>
        <v>0.02</v>
      </c>
      <c r="Q36" s="12">
        <f t="shared" si="8"/>
        <v>0.02</v>
      </c>
      <c r="R36" s="12">
        <f t="shared" si="8"/>
        <v>0.02</v>
      </c>
      <c r="S36" s="12">
        <f t="shared" si="8"/>
        <v>0.02</v>
      </c>
      <c r="T36" s="12">
        <f t="shared" si="8"/>
        <v>0.02</v>
      </c>
      <c r="U36" s="12">
        <f t="shared" si="8"/>
        <v>0.02</v>
      </c>
      <c r="V36" s="12">
        <f t="shared" si="8"/>
        <v>0.02</v>
      </c>
      <c r="W36" s="12">
        <f t="shared" si="8"/>
        <v>2.5000000000000001E-2</v>
      </c>
      <c r="X36" s="12">
        <f t="shared" si="8"/>
        <v>2.5000000000000001E-2</v>
      </c>
      <c r="Y36" s="12">
        <f t="shared" si="8"/>
        <v>2.5000000000000001E-2</v>
      </c>
      <c r="Z36" s="12">
        <f t="shared" si="8"/>
        <v>2.5000000000000001E-2</v>
      </c>
      <c r="AA36" s="12">
        <f t="shared" si="8"/>
        <v>2.5000000000000001E-2</v>
      </c>
      <c r="AB36" s="12">
        <f t="shared" si="8"/>
        <v>2.5000000000000001E-2</v>
      </c>
      <c r="AC36" s="12">
        <f t="shared" si="8"/>
        <v>2.5000000000000001E-2</v>
      </c>
      <c r="AD36" s="12">
        <f t="shared" si="8"/>
        <v>2.5000000000000001E-2</v>
      </c>
      <c r="AE36" s="12">
        <f t="shared" si="8"/>
        <v>2.5000000000000001E-2</v>
      </c>
      <c r="AF36" s="12">
        <f t="shared" si="8"/>
        <v>2.5000000000000001E-2</v>
      </c>
      <c r="AG36" s="12">
        <f t="shared" si="8"/>
        <v>2.5000000000000001E-2</v>
      </c>
      <c r="AH36" s="12">
        <f t="shared" si="8"/>
        <v>2.5000000000000001E-2</v>
      </c>
      <c r="AI36" s="12">
        <f t="shared" si="8"/>
        <v>2.5000000000000001E-2</v>
      </c>
      <c r="AJ36" s="12">
        <f t="shared" si="8"/>
        <v>2.5000000000000001E-2</v>
      </c>
      <c r="AK36" s="12">
        <f t="shared" ref="AK36:BL36" si="9">LOOKUP(AK26,6:6,7:7)/2</f>
        <v>2.5000000000000001E-2</v>
      </c>
      <c r="AL36" s="12">
        <f t="shared" si="9"/>
        <v>2.5000000000000001E-2</v>
      </c>
      <c r="AM36" s="12">
        <f t="shared" si="9"/>
        <v>2.5000000000000001E-2</v>
      </c>
      <c r="AN36" s="12">
        <f t="shared" si="9"/>
        <v>2.5000000000000001E-2</v>
      </c>
      <c r="AO36" s="12">
        <f t="shared" si="9"/>
        <v>2.5000000000000001E-2</v>
      </c>
      <c r="AP36" s="12">
        <f t="shared" si="9"/>
        <v>2.5000000000000001E-2</v>
      </c>
      <c r="AQ36" s="12">
        <f t="shared" si="9"/>
        <v>2.5000000000000001E-2</v>
      </c>
      <c r="AR36" s="12">
        <f t="shared" si="9"/>
        <v>2.5000000000000001E-2</v>
      </c>
      <c r="AS36" s="12">
        <f t="shared" si="9"/>
        <v>2.5000000000000001E-2</v>
      </c>
      <c r="AT36" s="12">
        <f t="shared" si="9"/>
        <v>2.5000000000000001E-2</v>
      </c>
      <c r="AU36" s="12">
        <f t="shared" si="9"/>
        <v>2.5000000000000001E-2</v>
      </c>
      <c r="AV36" s="12">
        <f t="shared" si="9"/>
        <v>2.5000000000000001E-2</v>
      </c>
      <c r="AW36" s="12">
        <f t="shared" si="9"/>
        <v>2.5000000000000001E-2</v>
      </c>
      <c r="AX36" s="12">
        <f t="shared" si="9"/>
        <v>2.5000000000000001E-2</v>
      </c>
      <c r="AY36" s="12">
        <f t="shared" si="9"/>
        <v>2.5000000000000001E-2</v>
      </c>
      <c r="AZ36" s="12">
        <f t="shared" si="9"/>
        <v>2.5000000000000001E-2</v>
      </c>
      <c r="BA36" s="12">
        <f t="shared" si="9"/>
        <v>2.5000000000000001E-2</v>
      </c>
      <c r="BB36" s="12">
        <f t="shared" si="9"/>
        <v>2.5000000000000001E-2</v>
      </c>
      <c r="BC36" s="12">
        <f t="shared" si="9"/>
        <v>2.5000000000000001E-2</v>
      </c>
      <c r="BD36" s="12">
        <f t="shared" si="9"/>
        <v>2.5000000000000001E-2</v>
      </c>
      <c r="BE36" s="12">
        <f t="shared" si="9"/>
        <v>2.5000000000000001E-2</v>
      </c>
      <c r="BF36" s="12">
        <f t="shared" si="9"/>
        <v>2.5000000000000001E-2</v>
      </c>
      <c r="BG36" s="12">
        <f t="shared" si="9"/>
        <v>2.5000000000000001E-2</v>
      </c>
      <c r="BH36" s="12">
        <f t="shared" si="9"/>
        <v>2.5000000000000001E-2</v>
      </c>
      <c r="BI36" s="12">
        <f t="shared" si="9"/>
        <v>2.5000000000000001E-2</v>
      </c>
      <c r="BJ36" s="12">
        <f t="shared" si="9"/>
        <v>2.5000000000000001E-2</v>
      </c>
      <c r="BK36" s="12">
        <f t="shared" si="9"/>
        <v>2.5000000000000001E-2</v>
      </c>
      <c r="BL36" s="12">
        <f t="shared" si="9"/>
        <v>2.5000000000000001E-2</v>
      </c>
    </row>
    <row r="37" spans="1:64" x14ac:dyDescent="0.35">
      <c r="A37" s="1"/>
      <c r="C37" s="2" t="s">
        <v>89</v>
      </c>
      <c r="D37" s="51">
        <v>1</v>
      </c>
      <c r="E37" s="4">
        <f t="shared" ref="E37:BL37" si="10">D37*(1+E36)</f>
        <v>1.0149999999999999</v>
      </c>
      <c r="F37" s="4">
        <f t="shared" si="10"/>
        <v>1.0302249999999997</v>
      </c>
      <c r="G37" s="4">
        <f t="shared" si="10"/>
        <v>1.0456783749999996</v>
      </c>
      <c r="H37" s="4">
        <f t="shared" si="10"/>
        <v>1.0613635506249994</v>
      </c>
      <c r="I37" s="4">
        <f t="shared" si="10"/>
        <v>1.0772840038843743</v>
      </c>
      <c r="J37" s="4">
        <f t="shared" si="10"/>
        <v>1.0934432639426397</v>
      </c>
      <c r="K37" s="4">
        <f t="shared" si="10"/>
        <v>1.1098449129017791</v>
      </c>
      <c r="L37" s="4">
        <f t="shared" si="10"/>
        <v>1.1264925865953057</v>
      </c>
      <c r="M37" s="4">
        <f t="shared" si="10"/>
        <v>1.1490224383272118</v>
      </c>
      <c r="N37" s="4">
        <f t="shared" si="10"/>
        <v>1.172002887093756</v>
      </c>
      <c r="O37" s="4">
        <f t="shared" si="10"/>
        <v>1.1954429448356312</v>
      </c>
      <c r="P37" s="4">
        <f t="shared" si="10"/>
        <v>1.2193518037323439</v>
      </c>
      <c r="Q37" s="4">
        <f t="shared" si="10"/>
        <v>1.2437388398069908</v>
      </c>
      <c r="R37" s="4">
        <f t="shared" si="10"/>
        <v>1.2686136166031308</v>
      </c>
      <c r="S37" s="4">
        <f t="shared" si="10"/>
        <v>1.2939858889351934</v>
      </c>
      <c r="T37" s="4">
        <f t="shared" si="10"/>
        <v>1.3198656067138972</v>
      </c>
      <c r="U37" s="4">
        <f t="shared" si="10"/>
        <v>1.3462629188481752</v>
      </c>
      <c r="V37" s="4">
        <f t="shared" si="10"/>
        <v>1.3731881772251386</v>
      </c>
      <c r="W37" s="4">
        <f t="shared" si="10"/>
        <v>1.407517881655767</v>
      </c>
      <c r="X37" s="4">
        <f t="shared" si="10"/>
        <v>1.442705828697161</v>
      </c>
      <c r="Y37" s="4">
        <f t="shared" si="10"/>
        <v>1.47877347441459</v>
      </c>
      <c r="Z37" s="4">
        <f t="shared" si="10"/>
        <v>1.5157428112749545</v>
      </c>
      <c r="AA37" s="4">
        <f t="shared" si="10"/>
        <v>1.5536363815568281</v>
      </c>
      <c r="AB37" s="4">
        <f t="shared" si="10"/>
        <v>1.5924772910957488</v>
      </c>
      <c r="AC37" s="4">
        <f t="shared" si="10"/>
        <v>1.6322892233731423</v>
      </c>
      <c r="AD37" s="4">
        <f t="shared" si="10"/>
        <v>1.6730964539574706</v>
      </c>
      <c r="AE37" s="4">
        <f t="shared" si="10"/>
        <v>1.7149238653064072</v>
      </c>
      <c r="AF37" s="4">
        <f t="shared" si="10"/>
        <v>1.7577969619390672</v>
      </c>
      <c r="AG37" s="4">
        <f t="shared" si="10"/>
        <v>1.8017418859875438</v>
      </c>
      <c r="AH37" s="4">
        <f t="shared" si="10"/>
        <v>1.8467854331372322</v>
      </c>
      <c r="AI37" s="4">
        <f t="shared" si="10"/>
        <v>1.8929550689656629</v>
      </c>
      <c r="AJ37" s="4">
        <f t="shared" si="10"/>
        <v>1.9402789456898044</v>
      </c>
      <c r="AK37" s="4">
        <f t="shared" si="10"/>
        <v>1.9887859193320494</v>
      </c>
      <c r="AL37" s="4">
        <f t="shared" si="10"/>
        <v>2.0385055673153505</v>
      </c>
      <c r="AM37" s="4">
        <f t="shared" si="10"/>
        <v>2.0894682064982342</v>
      </c>
      <c r="AN37" s="4">
        <f t="shared" si="10"/>
        <v>2.1417049116606899</v>
      </c>
      <c r="AO37" s="4">
        <f t="shared" si="10"/>
        <v>2.1952475344522071</v>
      </c>
      <c r="AP37" s="4">
        <f t="shared" si="10"/>
        <v>2.2501287228135123</v>
      </c>
      <c r="AQ37" s="4">
        <f t="shared" si="10"/>
        <v>2.30638194088385</v>
      </c>
      <c r="AR37" s="4">
        <f t="shared" si="10"/>
        <v>2.3640414894059458</v>
      </c>
      <c r="AS37" s="4">
        <f t="shared" si="10"/>
        <v>2.4231425266410942</v>
      </c>
      <c r="AT37" s="4">
        <f t="shared" si="10"/>
        <v>2.4837210898071214</v>
      </c>
      <c r="AU37" s="4">
        <f t="shared" si="10"/>
        <v>2.545814117052299</v>
      </c>
      <c r="AV37" s="4">
        <f t="shared" si="10"/>
        <v>2.6094594699786064</v>
      </c>
      <c r="AW37" s="4">
        <f t="shared" si="10"/>
        <v>2.6746959567280713</v>
      </c>
      <c r="AX37" s="4">
        <f t="shared" si="10"/>
        <v>2.7415633556462726</v>
      </c>
      <c r="AY37" s="4">
        <f t="shared" si="10"/>
        <v>2.8101024395374292</v>
      </c>
      <c r="AZ37" s="4">
        <f t="shared" si="10"/>
        <v>2.8803550005258649</v>
      </c>
      <c r="BA37" s="4">
        <f t="shared" si="10"/>
        <v>2.9523638755390111</v>
      </c>
      <c r="BB37" s="4">
        <f t="shared" si="10"/>
        <v>3.026172972427486</v>
      </c>
      <c r="BC37" s="4">
        <f t="shared" si="10"/>
        <v>3.1018272967381728</v>
      </c>
      <c r="BD37" s="4">
        <f t="shared" si="10"/>
        <v>3.1793729791566268</v>
      </c>
      <c r="BE37" s="4">
        <f t="shared" si="10"/>
        <v>3.2588573036355419</v>
      </c>
      <c r="BF37" s="4">
        <f t="shared" si="10"/>
        <v>3.34032873622643</v>
      </c>
      <c r="BG37" s="4">
        <f t="shared" si="10"/>
        <v>3.4238369546320904</v>
      </c>
      <c r="BH37" s="4">
        <f t="shared" si="10"/>
        <v>3.5094328784978925</v>
      </c>
      <c r="BI37" s="4">
        <f t="shared" si="10"/>
        <v>3.5971687004603394</v>
      </c>
      <c r="BJ37" s="4">
        <f t="shared" si="10"/>
        <v>3.6870979179718475</v>
      </c>
      <c r="BK37" s="4">
        <f t="shared" si="10"/>
        <v>3.7792753659211433</v>
      </c>
      <c r="BL37" s="4">
        <f t="shared" si="10"/>
        <v>3.8737572500691715</v>
      </c>
    </row>
    <row r="38" spans="1:64" x14ac:dyDescent="0.35">
      <c r="A38" s="1"/>
      <c r="C38" s="2" t="s">
        <v>15</v>
      </c>
      <c r="D38" s="4">
        <f>SUMPRODUCT(E34:BL34/E37:BL37)</f>
        <v>4764.5311604145563</v>
      </c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</row>
    <row r="39" spans="1:64" x14ac:dyDescent="0.35">
      <c r="A39" s="1"/>
      <c r="C39" s="2" t="s">
        <v>123</v>
      </c>
      <c r="D39" s="4">
        <f>D38/D22</f>
        <v>1.4856205010442809</v>
      </c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</row>
    <row r="40" spans="1:64" x14ac:dyDescent="0.35">
      <c r="A40" s="1"/>
      <c r="C40" s="2" t="s">
        <v>124</v>
      </c>
      <c r="D40" s="4" t="b">
        <f>D39&gt;D8</f>
        <v>1</v>
      </c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</row>
    <row r="41" spans="1:64" x14ac:dyDescent="0.35">
      <c r="A41" s="1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</row>
    <row r="42" spans="1:64" x14ac:dyDescent="0.35">
      <c r="A42" s="1"/>
      <c r="C42" s="2" t="s">
        <v>147</v>
      </c>
      <c r="D42" s="4">
        <f>MAX(D8,D39)</f>
        <v>1.4856205010442809</v>
      </c>
      <c r="E42" s="4">
        <f t="shared" ref="E42:BL42" si="11">D42</f>
        <v>1.4856205010442809</v>
      </c>
      <c r="F42" s="4">
        <f t="shared" si="11"/>
        <v>1.4856205010442809</v>
      </c>
      <c r="G42" s="4">
        <f t="shared" si="11"/>
        <v>1.4856205010442809</v>
      </c>
      <c r="H42" s="4">
        <f t="shared" si="11"/>
        <v>1.4856205010442809</v>
      </c>
      <c r="I42" s="4">
        <f t="shared" si="11"/>
        <v>1.4856205010442809</v>
      </c>
      <c r="J42" s="4">
        <f t="shared" si="11"/>
        <v>1.4856205010442809</v>
      </c>
      <c r="K42" s="4">
        <f t="shared" si="11"/>
        <v>1.4856205010442809</v>
      </c>
      <c r="L42" s="4">
        <f t="shared" si="11"/>
        <v>1.4856205010442809</v>
      </c>
      <c r="M42" s="4">
        <f t="shared" si="11"/>
        <v>1.4856205010442809</v>
      </c>
      <c r="N42" s="4">
        <f t="shared" si="11"/>
        <v>1.4856205010442809</v>
      </c>
      <c r="O42" s="4">
        <f t="shared" si="11"/>
        <v>1.4856205010442809</v>
      </c>
      <c r="P42" s="4">
        <f t="shared" si="11"/>
        <v>1.4856205010442809</v>
      </c>
      <c r="Q42" s="4">
        <f t="shared" si="11"/>
        <v>1.4856205010442809</v>
      </c>
      <c r="R42" s="4">
        <f t="shared" si="11"/>
        <v>1.4856205010442809</v>
      </c>
      <c r="S42" s="4">
        <f t="shared" si="11"/>
        <v>1.4856205010442809</v>
      </c>
      <c r="T42" s="4">
        <f t="shared" si="11"/>
        <v>1.4856205010442809</v>
      </c>
      <c r="U42" s="4">
        <f t="shared" si="11"/>
        <v>1.4856205010442809</v>
      </c>
      <c r="V42" s="4">
        <f t="shared" si="11"/>
        <v>1.4856205010442809</v>
      </c>
      <c r="W42" s="4">
        <f t="shared" si="11"/>
        <v>1.4856205010442809</v>
      </c>
      <c r="X42" s="4">
        <f t="shared" si="11"/>
        <v>1.4856205010442809</v>
      </c>
      <c r="Y42" s="4">
        <f t="shared" si="11"/>
        <v>1.4856205010442809</v>
      </c>
      <c r="Z42" s="4">
        <f t="shared" si="11"/>
        <v>1.4856205010442809</v>
      </c>
      <c r="AA42" s="4">
        <f t="shared" si="11"/>
        <v>1.4856205010442809</v>
      </c>
      <c r="AB42" s="4">
        <f t="shared" si="11"/>
        <v>1.4856205010442809</v>
      </c>
      <c r="AC42" s="4">
        <f t="shared" si="11"/>
        <v>1.4856205010442809</v>
      </c>
      <c r="AD42" s="4">
        <f t="shared" si="11"/>
        <v>1.4856205010442809</v>
      </c>
      <c r="AE42" s="4">
        <f t="shared" si="11"/>
        <v>1.4856205010442809</v>
      </c>
      <c r="AF42" s="4">
        <f t="shared" si="11"/>
        <v>1.4856205010442809</v>
      </c>
      <c r="AG42" s="4">
        <f t="shared" si="11"/>
        <v>1.4856205010442809</v>
      </c>
      <c r="AH42" s="4">
        <f t="shared" si="11"/>
        <v>1.4856205010442809</v>
      </c>
      <c r="AI42" s="4">
        <f t="shared" si="11"/>
        <v>1.4856205010442809</v>
      </c>
      <c r="AJ42" s="4">
        <f t="shared" si="11"/>
        <v>1.4856205010442809</v>
      </c>
      <c r="AK42" s="4">
        <f t="shared" si="11"/>
        <v>1.4856205010442809</v>
      </c>
      <c r="AL42" s="4">
        <f t="shared" si="11"/>
        <v>1.4856205010442809</v>
      </c>
      <c r="AM42" s="4">
        <f t="shared" si="11"/>
        <v>1.4856205010442809</v>
      </c>
      <c r="AN42" s="4">
        <f t="shared" si="11"/>
        <v>1.4856205010442809</v>
      </c>
      <c r="AO42" s="4">
        <f t="shared" si="11"/>
        <v>1.4856205010442809</v>
      </c>
      <c r="AP42" s="4">
        <f t="shared" si="11"/>
        <v>1.4856205010442809</v>
      </c>
      <c r="AQ42" s="4">
        <f t="shared" si="11"/>
        <v>1.4856205010442809</v>
      </c>
      <c r="AR42" s="4">
        <f t="shared" si="11"/>
        <v>1.4856205010442809</v>
      </c>
      <c r="AS42" s="4">
        <f t="shared" si="11"/>
        <v>1.4856205010442809</v>
      </c>
      <c r="AT42" s="4">
        <f t="shared" si="11"/>
        <v>1.4856205010442809</v>
      </c>
      <c r="AU42" s="4">
        <f t="shared" si="11"/>
        <v>1.4856205010442809</v>
      </c>
      <c r="AV42" s="4">
        <f t="shared" si="11"/>
        <v>1.4856205010442809</v>
      </c>
      <c r="AW42" s="4">
        <f t="shared" si="11"/>
        <v>1.4856205010442809</v>
      </c>
      <c r="AX42" s="4">
        <f t="shared" si="11"/>
        <v>1.4856205010442809</v>
      </c>
      <c r="AY42" s="4">
        <f t="shared" si="11"/>
        <v>1.4856205010442809</v>
      </c>
      <c r="AZ42" s="4">
        <f t="shared" si="11"/>
        <v>1.4856205010442809</v>
      </c>
      <c r="BA42" s="4">
        <f t="shared" si="11"/>
        <v>1.4856205010442809</v>
      </c>
      <c r="BB42" s="4">
        <f t="shared" si="11"/>
        <v>1.4856205010442809</v>
      </c>
      <c r="BC42" s="4">
        <f t="shared" si="11"/>
        <v>1.4856205010442809</v>
      </c>
      <c r="BD42" s="4">
        <f t="shared" si="11"/>
        <v>1.4856205010442809</v>
      </c>
      <c r="BE42" s="4">
        <f t="shared" si="11"/>
        <v>1.4856205010442809</v>
      </c>
      <c r="BF42" s="4">
        <f t="shared" si="11"/>
        <v>1.4856205010442809</v>
      </c>
      <c r="BG42" s="4">
        <f t="shared" si="11"/>
        <v>1.4856205010442809</v>
      </c>
      <c r="BH42" s="4">
        <f t="shared" si="11"/>
        <v>1.4856205010442809</v>
      </c>
      <c r="BI42" s="4">
        <f t="shared" si="11"/>
        <v>1.4856205010442809</v>
      </c>
      <c r="BJ42" s="4">
        <f t="shared" si="11"/>
        <v>1.4856205010442809</v>
      </c>
      <c r="BK42" s="4">
        <f t="shared" si="11"/>
        <v>1.4856205010442809</v>
      </c>
      <c r="BL42" s="4">
        <f t="shared" si="11"/>
        <v>1.4856205010442809</v>
      </c>
    </row>
    <row r="43" spans="1:64" x14ac:dyDescent="0.35">
      <c r="A43" s="1"/>
      <c r="C43" s="2" t="s">
        <v>81</v>
      </c>
      <c r="E43" s="4">
        <f>E34/E42</f>
        <v>90.676799459640307</v>
      </c>
      <c r="F43" s="4">
        <f t="shared" ref="F43:BL43" si="12">F34/F42</f>
        <v>92.036950887609137</v>
      </c>
      <c r="G43" s="4">
        <f t="shared" si="12"/>
        <v>93.417481958430429</v>
      </c>
      <c r="H43" s="4">
        <f t="shared" si="12"/>
        <v>94.818676377740815</v>
      </c>
      <c r="I43" s="4">
        <f t="shared" si="12"/>
        <v>96.237602001681466</v>
      </c>
      <c r="J43" s="4">
        <f t="shared" si="12"/>
        <v>97.674514361064809</v>
      </c>
      <c r="K43" s="4">
        <f t="shared" si="12"/>
        <v>98.651283644195118</v>
      </c>
      <c r="L43" s="4">
        <f t="shared" si="12"/>
        <v>99.637867174608147</v>
      </c>
      <c r="M43" s="4">
        <f t="shared" si="12"/>
        <v>100.63773722939429</v>
      </c>
      <c r="N43" s="4">
        <f t="shared" si="12"/>
        <v>101.65105496594893</v>
      </c>
      <c r="O43" s="4">
        <f t="shared" si="12"/>
        <v>103.17582079043815</v>
      </c>
      <c r="P43" s="4">
        <f t="shared" si="12"/>
        <v>104.72345810229471</v>
      </c>
      <c r="Q43" s="4">
        <f t="shared" si="12"/>
        <v>106.29430997382913</v>
      </c>
      <c r="R43" s="4">
        <f t="shared" si="12"/>
        <v>107.88872462343654</v>
      </c>
      <c r="S43" s="4">
        <f t="shared" si="12"/>
        <v>109.5070554927881</v>
      </c>
      <c r="T43" s="4">
        <f t="shared" si="12"/>
        <v>111.14966132517991</v>
      </c>
      <c r="U43" s="4">
        <f t="shared" si="12"/>
        <v>112.81690624505758</v>
      </c>
      <c r="V43" s="4">
        <f t="shared" si="12"/>
        <v>114.50915983873344</v>
      </c>
      <c r="W43" s="4">
        <f t="shared" si="12"/>
        <v>116.22679723631443</v>
      </c>
      <c r="X43" s="4">
        <f t="shared" si="12"/>
        <v>117.97019919485913</v>
      </c>
      <c r="Y43" s="4">
        <f t="shared" si="12"/>
        <v>119.73975218278201</v>
      </c>
      <c r="Z43" s="4">
        <f t="shared" si="12"/>
        <v>121.53584846552373</v>
      </c>
      <c r="AA43" s="4">
        <f t="shared" si="12"/>
        <v>123.35888619250657</v>
      </c>
      <c r="AB43" s="4">
        <f t="shared" si="12"/>
        <v>125.20926948539415</v>
      </c>
      <c r="AC43" s="4">
        <f t="shared" si="12"/>
        <v>127.08740852767505</v>
      </c>
      <c r="AD43" s="4">
        <f t="shared" si="12"/>
        <v>128.99371965559016</v>
      </c>
      <c r="AE43" s="4">
        <f t="shared" si="12"/>
        <v>130.92862545042388</v>
      </c>
      <c r="AF43" s="4">
        <f t="shared" si="12"/>
        <v>132.89255483217946</v>
      </c>
      <c r="AG43" s="4">
        <f t="shared" si="12"/>
        <v>134.88594315464451</v>
      </c>
      <c r="AH43" s="4">
        <f t="shared" si="12"/>
        <v>136.90923230186803</v>
      </c>
      <c r="AI43" s="4">
        <f t="shared" si="12"/>
        <v>138.96287078388815</v>
      </c>
      <c r="AJ43" s="4">
        <f t="shared" si="12"/>
        <v>141.04731383397052</v>
      </c>
      <c r="AK43" s="4">
        <f t="shared" si="12"/>
        <v>143.16302318308919</v>
      </c>
      <c r="AL43" s="4">
        <f t="shared" si="12"/>
        <v>145.31046716630061</v>
      </c>
      <c r="AM43" s="4">
        <f t="shared" si="12"/>
        <v>147.49007265343874</v>
      </c>
      <c r="AN43" s="4">
        <f t="shared" si="12"/>
        <v>149.70227391002993</v>
      </c>
      <c r="AO43" s="4">
        <f t="shared" si="12"/>
        <v>151.94035540248078</v>
      </c>
      <c r="AP43" s="4">
        <f t="shared" si="12"/>
        <v>154.20480365401804</v>
      </c>
      <c r="AQ43" s="4">
        <f t="shared" si="12"/>
        <v>155.43280946327815</v>
      </c>
      <c r="AR43" s="4">
        <f t="shared" si="12"/>
        <v>156.68653915122275</v>
      </c>
      <c r="AS43" s="4">
        <f t="shared" si="12"/>
        <v>0</v>
      </c>
      <c r="AT43" s="4">
        <f t="shared" si="12"/>
        <v>0</v>
      </c>
      <c r="AU43" s="4">
        <f t="shared" si="12"/>
        <v>0</v>
      </c>
      <c r="AV43" s="4">
        <f t="shared" si="12"/>
        <v>0</v>
      </c>
      <c r="AW43" s="4">
        <f t="shared" si="12"/>
        <v>0</v>
      </c>
      <c r="AX43" s="4">
        <f t="shared" si="12"/>
        <v>0</v>
      </c>
      <c r="AY43" s="4">
        <f t="shared" si="12"/>
        <v>0</v>
      </c>
      <c r="AZ43" s="4">
        <f t="shared" si="12"/>
        <v>0</v>
      </c>
      <c r="BA43" s="4">
        <f t="shared" si="12"/>
        <v>0</v>
      </c>
      <c r="BB43" s="4">
        <f t="shared" si="12"/>
        <v>0</v>
      </c>
      <c r="BC43" s="4">
        <f t="shared" si="12"/>
        <v>0</v>
      </c>
      <c r="BD43" s="4">
        <f t="shared" si="12"/>
        <v>0</v>
      </c>
      <c r="BE43" s="4">
        <f t="shared" si="12"/>
        <v>0</v>
      </c>
      <c r="BF43" s="4">
        <f t="shared" si="12"/>
        <v>0</v>
      </c>
      <c r="BG43" s="4">
        <f t="shared" si="12"/>
        <v>0</v>
      </c>
      <c r="BH43" s="4">
        <f t="shared" si="12"/>
        <v>0</v>
      </c>
      <c r="BI43" s="4">
        <f t="shared" si="12"/>
        <v>0</v>
      </c>
      <c r="BJ43" s="4">
        <f t="shared" si="12"/>
        <v>0</v>
      </c>
      <c r="BK43" s="4">
        <f t="shared" si="12"/>
        <v>0</v>
      </c>
      <c r="BL43" s="4">
        <f t="shared" si="12"/>
        <v>0</v>
      </c>
    </row>
    <row r="44" spans="1:64" x14ac:dyDescent="0.35">
      <c r="A44" s="1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</row>
    <row r="45" spans="1:64" x14ac:dyDescent="0.35">
      <c r="A45" s="1"/>
      <c r="C45" s="2" t="s">
        <v>90</v>
      </c>
      <c r="D45" s="4">
        <f>SUMPRODUCT(E43:BL43/E37:BL37)</f>
        <v>3207.0984191894527</v>
      </c>
    </row>
    <row r="46" spans="1:64" x14ac:dyDescent="0.35">
      <c r="A46" s="1"/>
      <c r="C46" s="34" t="s">
        <v>125</v>
      </c>
      <c r="D46" s="47">
        <f>D45</f>
        <v>3207.0984191894527</v>
      </c>
    </row>
    <row r="47" spans="1:64" x14ac:dyDescent="0.35">
      <c r="A47" s="1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</row>
    <row r="48" spans="1:64" x14ac:dyDescent="0.35">
      <c r="A48" s="1"/>
      <c r="C48" s="2" t="s">
        <v>91</v>
      </c>
      <c r="E48" s="4">
        <f t="shared" ref="E48:BL48" si="13">D50</f>
        <v>3207.0984191894527</v>
      </c>
      <c r="F48" s="4">
        <f t="shared" si="13"/>
        <v>3164.5280960176542</v>
      </c>
      <c r="G48" s="4">
        <f t="shared" si="13"/>
        <v>3119.9590665703099</v>
      </c>
      <c r="H48" s="4">
        <f t="shared" si="13"/>
        <v>3073.3409706104339</v>
      </c>
      <c r="I48" s="4">
        <f t="shared" si="13"/>
        <v>3024.6224087918495</v>
      </c>
      <c r="J48" s="4">
        <f t="shared" si="13"/>
        <v>2973.754142922046</v>
      </c>
      <c r="K48" s="4">
        <f t="shared" si="13"/>
        <v>2920.6859407048119</v>
      </c>
      <c r="L48" s="4">
        <f t="shared" si="13"/>
        <v>2865.8449461711889</v>
      </c>
      <c r="M48" s="4">
        <f t="shared" si="13"/>
        <v>2809.1947531891487</v>
      </c>
      <c r="N48" s="4">
        <f t="shared" si="13"/>
        <v>2764.7409110235376</v>
      </c>
      <c r="O48" s="4">
        <f t="shared" si="13"/>
        <v>2718.3846742780593</v>
      </c>
      <c r="P48" s="4">
        <f t="shared" si="13"/>
        <v>2669.5765469731823</v>
      </c>
      <c r="Q48" s="4">
        <f t="shared" si="13"/>
        <v>2618.2446198103512</v>
      </c>
      <c r="R48" s="4">
        <f t="shared" si="13"/>
        <v>2564.315202232729</v>
      </c>
      <c r="S48" s="4">
        <f t="shared" si="13"/>
        <v>2507.7127816539469</v>
      </c>
      <c r="T48" s="4">
        <f t="shared" si="13"/>
        <v>2448.3599817942377</v>
      </c>
      <c r="U48" s="4">
        <f t="shared" si="13"/>
        <v>2386.1775201049427</v>
      </c>
      <c r="V48" s="4">
        <f t="shared" si="13"/>
        <v>2321.0841642619839</v>
      </c>
      <c r="W48" s="4">
        <f t="shared" si="13"/>
        <v>2252.9966877084903</v>
      </c>
      <c r="X48" s="4">
        <f t="shared" si="13"/>
        <v>2193.0948076648883</v>
      </c>
      <c r="Y48" s="4">
        <f t="shared" si="13"/>
        <v>2129.9519786616515</v>
      </c>
      <c r="Z48" s="4">
        <f t="shared" si="13"/>
        <v>2063.4610259454107</v>
      </c>
      <c r="AA48" s="4">
        <f t="shared" si="13"/>
        <v>1993.5117031285222</v>
      </c>
      <c r="AB48" s="4">
        <f t="shared" si="13"/>
        <v>1919.9906095142287</v>
      </c>
      <c r="AC48" s="4">
        <f t="shared" si="13"/>
        <v>1842.7811052666902</v>
      </c>
      <c r="AD48" s="4">
        <f t="shared" si="13"/>
        <v>1761.7632243706826</v>
      </c>
      <c r="AE48" s="4">
        <f t="shared" si="13"/>
        <v>1676.8135853243596</v>
      </c>
      <c r="AF48" s="4">
        <f t="shared" si="13"/>
        <v>1587.8052995070448</v>
      </c>
      <c r="AG48" s="4">
        <f t="shared" si="13"/>
        <v>1494.6078771625414</v>
      </c>
      <c r="AH48" s="4">
        <f t="shared" si="13"/>
        <v>1397.0871309369604</v>
      </c>
      <c r="AI48" s="4">
        <f t="shared" si="13"/>
        <v>1295.1050769085164</v>
      </c>
      <c r="AJ48" s="4">
        <f t="shared" si="13"/>
        <v>1188.5198330473411</v>
      </c>
      <c r="AK48" s="4">
        <f t="shared" si="13"/>
        <v>1077.185515039554</v>
      </c>
      <c r="AL48" s="4">
        <f t="shared" si="13"/>
        <v>960.95212973245373</v>
      </c>
      <c r="AM48" s="4">
        <f t="shared" si="13"/>
        <v>839.66546580946442</v>
      </c>
      <c r="AN48" s="4">
        <f t="shared" si="13"/>
        <v>713.16702980126229</v>
      </c>
      <c r="AO48" s="4">
        <f t="shared" si="13"/>
        <v>581.29393163626389</v>
      </c>
      <c r="AP48" s="4">
        <f t="shared" si="13"/>
        <v>443.8859245246897</v>
      </c>
      <c r="AQ48" s="4">
        <f t="shared" si="13"/>
        <v>300.77826898378891</v>
      </c>
      <c r="AR48" s="4">
        <f t="shared" si="13"/>
        <v>152.86491624510549</v>
      </c>
      <c r="AS48" s="4">
        <f t="shared" si="13"/>
        <v>1.0373923942097463E-11</v>
      </c>
      <c r="AT48" s="4">
        <f t="shared" si="13"/>
        <v>1.0633272040649899E-11</v>
      </c>
      <c r="AU48" s="4">
        <f t="shared" si="13"/>
        <v>1.0899103841666146E-11</v>
      </c>
      <c r="AV48" s="4">
        <f t="shared" si="13"/>
        <v>1.1171581437707799E-11</v>
      </c>
      <c r="AW48" s="4">
        <f t="shared" si="13"/>
        <v>1.1450870973650495E-11</v>
      </c>
      <c r="AX48" s="4">
        <f t="shared" si="13"/>
        <v>1.1737142747991757E-11</v>
      </c>
      <c r="AY48" s="4">
        <f t="shared" si="13"/>
        <v>1.2030571316691551E-11</v>
      </c>
      <c r="AZ48" s="4">
        <f t="shared" si="13"/>
        <v>1.233133559960884E-11</v>
      </c>
      <c r="BA48" s="4">
        <f t="shared" si="13"/>
        <v>1.2639618989599061E-11</v>
      </c>
      <c r="BB48" s="4">
        <f t="shared" si="13"/>
        <v>1.2955609464339037E-11</v>
      </c>
      <c r="BC48" s="4">
        <f t="shared" si="13"/>
        <v>1.3279499700947513E-11</v>
      </c>
      <c r="BD48" s="4">
        <f t="shared" si="13"/>
        <v>1.36114871934712E-11</v>
      </c>
      <c r="BE48" s="4">
        <f t="shared" si="13"/>
        <v>1.395177437330798E-11</v>
      </c>
      <c r="BF48" s="4">
        <f t="shared" si="13"/>
        <v>1.430056873264068E-11</v>
      </c>
      <c r="BG48" s="4">
        <f t="shared" si="13"/>
        <v>1.4658082950956697E-11</v>
      </c>
      <c r="BH48" s="4">
        <f t="shared" si="13"/>
        <v>1.5024535024730614E-11</v>
      </c>
      <c r="BI48" s="4">
        <f t="shared" si="13"/>
        <v>1.5400148400348878E-11</v>
      </c>
      <c r="BJ48" s="4">
        <f t="shared" si="13"/>
        <v>1.5785152110357601E-11</v>
      </c>
      <c r="BK48" s="4">
        <f t="shared" si="13"/>
        <v>1.617978091311654E-11</v>
      </c>
      <c r="BL48" s="4">
        <f t="shared" si="13"/>
        <v>1.6584275435944454E-11</v>
      </c>
    </row>
    <row r="49" spans="1:64" x14ac:dyDescent="0.35">
      <c r="A49" s="1"/>
      <c r="C49" s="2" t="s">
        <v>74</v>
      </c>
      <c r="E49" s="4">
        <f t="shared" ref="E49:AJ49" si="14">E43-E51</f>
        <v>42.57032317179852</v>
      </c>
      <c r="F49" s="4">
        <f t="shared" si="14"/>
        <v>44.569029447344327</v>
      </c>
      <c r="G49" s="4">
        <f t="shared" si="14"/>
        <v>46.618095959875781</v>
      </c>
      <c r="H49" s="4">
        <f t="shared" si="14"/>
        <v>48.718561818584305</v>
      </c>
      <c r="I49" s="4">
        <f t="shared" si="14"/>
        <v>50.868265869803729</v>
      </c>
      <c r="J49" s="4">
        <f t="shared" si="14"/>
        <v>53.068202217234123</v>
      </c>
      <c r="K49" s="4">
        <f t="shared" si="14"/>
        <v>54.84099453362294</v>
      </c>
      <c r="L49" s="4">
        <f t="shared" si="14"/>
        <v>56.650192982040316</v>
      </c>
      <c r="M49" s="4">
        <f t="shared" si="14"/>
        <v>44.453842165611313</v>
      </c>
      <c r="N49" s="4">
        <f t="shared" si="14"/>
        <v>46.356236745478178</v>
      </c>
      <c r="O49" s="4">
        <f t="shared" si="14"/>
        <v>48.808127304876969</v>
      </c>
      <c r="P49" s="4">
        <f t="shared" si="14"/>
        <v>51.331927162831064</v>
      </c>
      <c r="Q49" s="4">
        <f t="shared" si="14"/>
        <v>53.929417577622104</v>
      </c>
      <c r="R49" s="4">
        <f t="shared" si="14"/>
        <v>56.602420578781967</v>
      </c>
      <c r="S49" s="4">
        <f t="shared" si="14"/>
        <v>59.352799859709158</v>
      </c>
      <c r="T49" s="4">
        <f t="shared" si="14"/>
        <v>62.182461689295152</v>
      </c>
      <c r="U49" s="4">
        <f t="shared" si="14"/>
        <v>65.093355842958729</v>
      </c>
      <c r="V49" s="4">
        <f t="shared" si="14"/>
        <v>68.087476553493758</v>
      </c>
      <c r="W49" s="4">
        <f t="shared" si="14"/>
        <v>59.901880043602162</v>
      </c>
      <c r="X49" s="4">
        <f t="shared" si="14"/>
        <v>63.142829003236926</v>
      </c>
      <c r="Y49" s="4">
        <f t="shared" si="14"/>
        <v>66.490952716240713</v>
      </c>
      <c r="Z49" s="4">
        <f t="shared" si="14"/>
        <v>69.949322816888454</v>
      </c>
      <c r="AA49" s="4">
        <f t="shared" si="14"/>
        <v>73.52109361429352</v>
      </c>
      <c r="AB49" s="4">
        <f t="shared" si="14"/>
        <v>77.209504247538433</v>
      </c>
      <c r="AC49" s="4">
        <f t="shared" si="14"/>
        <v>81.017880896007796</v>
      </c>
      <c r="AD49" s="4">
        <f t="shared" si="14"/>
        <v>84.949639046323085</v>
      </c>
      <c r="AE49" s="4">
        <f t="shared" si="14"/>
        <v>89.008285817314885</v>
      </c>
      <c r="AF49" s="4">
        <f t="shared" si="14"/>
        <v>93.197422344503337</v>
      </c>
      <c r="AG49" s="4">
        <f t="shared" si="14"/>
        <v>97.520746225580979</v>
      </c>
      <c r="AH49" s="4">
        <f t="shared" si="14"/>
        <v>101.98205402844403</v>
      </c>
      <c r="AI49" s="4">
        <f t="shared" si="14"/>
        <v>106.58524386117523</v>
      </c>
      <c r="AJ49" s="4">
        <f t="shared" si="14"/>
        <v>111.33431800778699</v>
      </c>
      <c r="AK49" s="4">
        <f t="shared" ref="AK49:BL49" si="15">AK43-AK51</f>
        <v>116.23338530710035</v>
      </c>
      <c r="AL49" s="4">
        <f t="shared" si="15"/>
        <v>121.28666392298926</v>
      </c>
      <c r="AM49" s="4">
        <f t="shared" si="15"/>
        <v>126.49843600820213</v>
      </c>
      <c r="AN49" s="4">
        <f t="shared" si="15"/>
        <v>131.87309816499837</v>
      </c>
      <c r="AO49" s="4">
        <f t="shared" si="15"/>
        <v>137.40800711157419</v>
      </c>
      <c r="AP49" s="4">
        <f t="shared" si="15"/>
        <v>143.10765554090079</v>
      </c>
      <c r="AQ49" s="4">
        <f t="shared" si="15"/>
        <v>147.91335273868341</v>
      </c>
      <c r="AR49" s="4">
        <f t="shared" si="15"/>
        <v>152.86491624509512</v>
      </c>
      <c r="AS49" s="4">
        <f t="shared" si="15"/>
        <v>-2.5934809855243657E-13</v>
      </c>
      <c r="AT49" s="4">
        <f t="shared" si="15"/>
        <v>-2.6583180101624749E-13</v>
      </c>
      <c r="AU49" s="4">
        <f t="shared" si="15"/>
        <v>-2.7247759604165364E-13</v>
      </c>
      <c r="AV49" s="4">
        <f t="shared" si="15"/>
        <v>-2.7928953594269502E-13</v>
      </c>
      <c r="AW49" s="4">
        <f t="shared" si="15"/>
        <v>-2.8627177434126239E-13</v>
      </c>
      <c r="AX49" s="4">
        <f t="shared" si="15"/>
        <v>-2.9342856869979394E-13</v>
      </c>
      <c r="AY49" s="4">
        <f t="shared" si="15"/>
        <v>-3.0076428291728882E-13</v>
      </c>
      <c r="AZ49" s="4">
        <f t="shared" si="15"/>
        <v>-3.0828338999022104E-13</v>
      </c>
      <c r="BA49" s="4">
        <f t="shared" si="15"/>
        <v>-3.1599047473997652E-13</v>
      </c>
      <c r="BB49" s="4">
        <f t="shared" si="15"/>
        <v>-3.2389023660847594E-13</v>
      </c>
      <c r="BC49" s="4">
        <f t="shared" si="15"/>
        <v>-3.3198749252368783E-13</v>
      </c>
      <c r="BD49" s="4">
        <f t="shared" si="15"/>
        <v>-3.4028717983678004E-13</v>
      </c>
      <c r="BE49" s="4">
        <f t="shared" si="15"/>
        <v>-3.487943593326995E-13</v>
      </c>
      <c r="BF49" s="4">
        <f t="shared" si="15"/>
        <v>-3.5751421831601702E-13</v>
      </c>
      <c r="BG49" s="4">
        <f t="shared" si="15"/>
        <v>-3.6645207377391745E-13</v>
      </c>
      <c r="BH49" s="4">
        <f t="shared" si="15"/>
        <v>-3.7561337561826539E-13</v>
      </c>
      <c r="BI49" s="4">
        <f t="shared" si="15"/>
        <v>-3.8500371000872198E-13</v>
      </c>
      <c r="BJ49" s="4">
        <f t="shared" si="15"/>
        <v>-3.9462880275894004E-13</v>
      </c>
      <c r="BK49" s="4">
        <f t="shared" si="15"/>
        <v>-4.0449452282791354E-13</v>
      </c>
      <c r="BL49" s="4">
        <f t="shared" si="15"/>
        <v>-4.1460688589861136E-13</v>
      </c>
    </row>
    <row r="50" spans="1:64" x14ac:dyDescent="0.35">
      <c r="A50" s="1"/>
      <c r="C50" s="2" t="s">
        <v>92</v>
      </c>
      <c r="D50" s="4">
        <f>D45</f>
        <v>3207.0984191894527</v>
      </c>
      <c r="E50" s="4">
        <f t="shared" ref="E50:BL50" si="16">E48-E49</f>
        <v>3164.5280960176542</v>
      </c>
      <c r="F50" s="4">
        <f t="shared" si="16"/>
        <v>3119.9590665703099</v>
      </c>
      <c r="G50" s="4">
        <f t="shared" si="16"/>
        <v>3073.3409706104339</v>
      </c>
      <c r="H50" s="4">
        <f t="shared" si="16"/>
        <v>3024.6224087918495</v>
      </c>
      <c r="I50" s="4">
        <f t="shared" si="16"/>
        <v>2973.754142922046</v>
      </c>
      <c r="J50" s="4">
        <f t="shared" si="16"/>
        <v>2920.6859407048119</v>
      </c>
      <c r="K50" s="4">
        <f t="shared" si="16"/>
        <v>2865.8449461711889</v>
      </c>
      <c r="L50" s="4">
        <f t="shared" si="16"/>
        <v>2809.1947531891487</v>
      </c>
      <c r="M50" s="4">
        <f t="shared" si="16"/>
        <v>2764.7409110235376</v>
      </c>
      <c r="N50" s="4">
        <f t="shared" si="16"/>
        <v>2718.3846742780593</v>
      </c>
      <c r="O50" s="4">
        <f t="shared" si="16"/>
        <v>2669.5765469731823</v>
      </c>
      <c r="P50" s="4">
        <f t="shared" si="16"/>
        <v>2618.2446198103512</v>
      </c>
      <c r="Q50" s="4">
        <f t="shared" si="16"/>
        <v>2564.315202232729</v>
      </c>
      <c r="R50" s="4">
        <f t="shared" si="16"/>
        <v>2507.7127816539469</v>
      </c>
      <c r="S50" s="4">
        <f t="shared" si="16"/>
        <v>2448.3599817942377</v>
      </c>
      <c r="T50" s="4">
        <f t="shared" si="16"/>
        <v>2386.1775201049427</v>
      </c>
      <c r="U50" s="4">
        <f t="shared" si="16"/>
        <v>2321.0841642619839</v>
      </c>
      <c r="V50" s="4">
        <f t="shared" si="16"/>
        <v>2252.9966877084903</v>
      </c>
      <c r="W50" s="4">
        <f t="shared" si="16"/>
        <v>2193.0948076648883</v>
      </c>
      <c r="X50" s="4">
        <f t="shared" si="16"/>
        <v>2129.9519786616515</v>
      </c>
      <c r="Y50" s="4">
        <f t="shared" si="16"/>
        <v>2063.4610259454107</v>
      </c>
      <c r="Z50" s="4">
        <f t="shared" si="16"/>
        <v>1993.5117031285222</v>
      </c>
      <c r="AA50" s="4">
        <f t="shared" si="16"/>
        <v>1919.9906095142287</v>
      </c>
      <c r="AB50" s="4">
        <f t="shared" si="16"/>
        <v>1842.7811052666902</v>
      </c>
      <c r="AC50" s="4">
        <f t="shared" si="16"/>
        <v>1761.7632243706826</v>
      </c>
      <c r="AD50" s="4">
        <f t="shared" si="16"/>
        <v>1676.8135853243596</v>
      </c>
      <c r="AE50" s="4">
        <f t="shared" si="16"/>
        <v>1587.8052995070448</v>
      </c>
      <c r="AF50" s="4">
        <f t="shared" si="16"/>
        <v>1494.6078771625414</v>
      </c>
      <c r="AG50" s="4">
        <f t="shared" si="16"/>
        <v>1397.0871309369604</v>
      </c>
      <c r="AH50" s="4">
        <f t="shared" si="16"/>
        <v>1295.1050769085164</v>
      </c>
      <c r="AI50" s="4">
        <f t="shared" si="16"/>
        <v>1188.5198330473411</v>
      </c>
      <c r="AJ50" s="4">
        <f t="shared" si="16"/>
        <v>1077.185515039554</v>
      </c>
      <c r="AK50" s="4">
        <f t="shared" si="16"/>
        <v>960.95212973245373</v>
      </c>
      <c r="AL50" s="4">
        <f t="shared" si="16"/>
        <v>839.66546580946442</v>
      </c>
      <c r="AM50" s="4">
        <f t="shared" si="16"/>
        <v>713.16702980126229</v>
      </c>
      <c r="AN50" s="4">
        <f t="shared" si="16"/>
        <v>581.29393163626389</v>
      </c>
      <c r="AO50" s="4">
        <f t="shared" si="16"/>
        <v>443.8859245246897</v>
      </c>
      <c r="AP50" s="4">
        <f t="shared" si="16"/>
        <v>300.77826898378891</v>
      </c>
      <c r="AQ50" s="4">
        <f t="shared" si="16"/>
        <v>152.86491624510549</v>
      </c>
      <c r="AR50" s="4">
        <f t="shared" si="16"/>
        <v>1.0373923942097463E-11</v>
      </c>
      <c r="AS50" s="4">
        <f t="shared" si="16"/>
        <v>1.0633272040649899E-11</v>
      </c>
      <c r="AT50" s="4">
        <f t="shared" si="16"/>
        <v>1.0899103841666146E-11</v>
      </c>
      <c r="AU50" s="4">
        <f t="shared" si="16"/>
        <v>1.1171581437707799E-11</v>
      </c>
      <c r="AV50" s="4">
        <f t="shared" si="16"/>
        <v>1.1450870973650495E-11</v>
      </c>
      <c r="AW50" s="4">
        <f t="shared" si="16"/>
        <v>1.1737142747991757E-11</v>
      </c>
      <c r="AX50" s="4">
        <f t="shared" si="16"/>
        <v>1.2030571316691551E-11</v>
      </c>
      <c r="AY50" s="4">
        <f t="shared" si="16"/>
        <v>1.233133559960884E-11</v>
      </c>
      <c r="AZ50" s="4">
        <f t="shared" si="16"/>
        <v>1.2639618989599061E-11</v>
      </c>
      <c r="BA50" s="4">
        <f t="shared" si="16"/>
        <v>1.2955609464339037E-11</v>
      </c>
      <c r="BB50" s="4">
        <f t="shared" si="16"/>
        <v>1.3279499700947513E-11</v>
      </c>
      <c r="BC50" s="4">
        <f t="shared" si="16"/>
        <v>1.36114871934712E-11</v>
      </c>
      <c r="BD50" s="4">
        <f t="shared" si="16"/>
        <v>1.395177437330798E-11</v>
      </c>
      <c r="BE50" s="4">
        <f t="shared" si="16"/>
        <v>1.430056873264068E-11</v>
      </c>
      <c r="BF50" s="4">
        <f t="shared" si="16"/>
        <v>1.4658082950956697E-11</v>
      </c>
      <c r="BG50" s="4">
        <f t="shared" si="16"/>
        <v>1.5024535024730614E-11</v>
      </c>
      <c r="BH50" s="4">
        <f t="shared" si="16"/>
        <v>1.5400148400348878E-11</v>
      </c>
      <c r="BI50" s="4">
        <f t="shared" si="16"/>
        <v>1.5785152110357601E-11</v>
      </c>
      <c r="BJ50" s="4">
        <f t="shared" si="16"/>
        <v>1.617978091311654E-11</v>
      </c>
      <c r="BK50" s="4">
        <f t="shared" si="16"/>
        <v>1.6584275435944454E-11</v>
      </c>
      <c r="BL50" s="4">
        <f t="shared" si="16"/>
        <v>1.6998882321843065E-11</v>
      </c>
    </row>
    <row r="51" spans="1:64" x14ac:dyDescent="0.35">
      <c r="A51" s="1"/>
      <c r="C51" s="2" t="s">
        <v>8</v>
      </c>
      <c r="E51" s="4">
        <f t="shared" ref="E51:AJ51" si="17">E48*E36</f>
        <v>48.106476287841787</v>
      </c>
      <c r="F51" s="4">
        <f t="shared" si="17"/>
        <v>47.46792144026481</v>
      </c>
      <c r="G51" s="4">
        <f t="shared" si="17"/>
        <v>46.799385998554648</v>
      </c>
      <c r="H51" s="4">
        <f t="shared" si="17"/>
        <v>46.100114559156509</v>
      </c>
      <c r="I51" s="4">
        <f t="shared" si="17"/>
        <v>45.369336131877738</v>
      </c>
      <c r="J51" s="4">
        <f t="shared" si="17"/>
        <v>44.606312143830685</v>
      </c>
      <c r="K51" s="4">
        <f t="shared" si="17"/>
        <v>43.810289110572178</v>
      </c>
      <c r="L51" s="4">
        <f t="shared" si="17"/>
        <v>42.98767419256783</v>
      </c>
      <c r="M51" s="4">
        <f t="shared" si="17"/>
        <v>56.183895063782977</v>
      </c>
      <c r="N51" s="4">
        <f t="shared" si="17"/>
        <v>55.294818220470752</v>
      </c>
      <c r="O51" s="4">
        <f t="shared" si="17"/>
        <v>54.367693485561183</v>
      </c>
      <c r="P51" s="4">
        <f t="shared" si="17"/>
        <v>53.391530939463649</v>
      </c>
      <c r="Q51" s="4">
        <f t="shared" si="17"/>
        <v>52.364892396207026</v>
      </c>
      <c r="R51" s="4">
        <f t="shared" si="17"/>
        <v>51.286304044654578</v>
      </c>
      <c r="S51" s="4">
        <f t="shared" si="17"/>
        <v>50.15425563307894</v>
      </c>
      <c r="T51" s="4">
        <f t="shared" si="17"/>
        <v>48.967199635884754</v>
      </c>
      <c r="U51" s="4">
        <f t="shared" si="17"/>
        <v>47.723550402098851</v>
      </c>
      <c r="V51" s="4">
        <f t="shared" si="17"/>
        <v>46.421683285239681</v>
      </c>
      <c r="W51" s="4">
        <f t="shared" si="17"/>
        <v>56.324917192712263</v>
      </c>
      <c r="X51" s="4">
        <f t="shared" si="17"/>
        <v>54.827370191622208</v>
      </c>
      <c r="Y51" s="4">
        <f t="shared" si="17"/>
        <v>53.248799466541293</v>
      </c>
      <c r="Z51" s="4">
        <f t="shared" si="17"/>
        <v>51.586525648635273</v>
      </c>
      <c r="AA51" s="4">
        <f t="shared" si="17"/>
        <v>49.837792578213055</v>
      </c>
      <c r="AB51" s="4">
        <f t="shared" si="17"/>
        <v>47.999765237855719</v>
      </c>
      <c r="AC51" s="4">
        <f t="shared" si="17"/>
        <v>46.069527631667256</v>
      </c>
      <c r="AD51" s="4">
        <f t="shared" si="17"/>
        <v>44.04408060926707</v>
      </c>
      <c r="AE51" s="4">
        <f t="shared" si="17"/>
        <v>41.920339633108995</v>
      </c>
      <c r="AF51" s="4">
        <f t="shared" si="17"/>
        <v>39.695132487676119</v>
      </c>
      <c r="AG51" s="4">
        <f t="shared" si="17"/>
        <v>37.365196929063536</v>
      </c>
      <c r="AH51" s="4">
        <f t="shared" si="17"/>
        <v>34.927178273424012</v>
      </c>
      <c r="AI51" s="4">
        <f t="shared" si="17"/>
        <v>32.377626922712913</v>
      </c>
      <c r="AJ51" s="4">
        <f t="shared" si="17"/>
        <v>29.71299582618353</v>
      </c>
      <c r="AK51" s="4">
        <f t="shared" ref="AK51:BL51" si="18">AK48*AK36</f>
        <v>26.929637875988853</v>
      </c>
      <c r="AL51" s="4">
        <f t="shared" si="18"/>
        <v>24.023803243311345</v>
      </c>
      <c r="AM51" s="4">
        <f t="shared" si="18"/>
        <v>20.991636645236611</v>
      </c>
      <c r="AN51" s="4">
        <f t="shared" si="18"/>
        <v>17.829175745031559</v>
      </c>
      <c r="AO51" s="4">
        <f t="shared" si="18"/>
        <v>14.532348290906597</v>
      </c>
      <c r="AP51" s="4">
        <f t="shared" si="18"/>
        <v>11.097148113117242</v>
      </c>
      <c r="AQ51" s="4">
        <f t="shared" si="18"/>
        <v>7.5194567245947228</v>
      </c>
      <c r="AR51" s="4">
        <f t="shared" si="18"/>
        <v>3.8216229061276374</v>
      </c>
      <c r="AS51" s="4">
        <f t="shared" si="18"/>
        <v>2.5934809855243657E-13</v>
      </c>
      <c r="AT51" s="4">
        <f t="shared" si="18"/>
        <v>2.6583180101624749E-13</v>
      </c>
      <c r="AU51" s="4">
        <f t="shared" si="18"/>
        <v>2.7247759604165364E-13</v>
      </c>
      <c r="AV51" s="4">
        <f t="shared" si="18"/>
        <v>2.7928953594269502E-13</v>
      </c>
      <c r="AW51" s="4">
        <f t="shared" si="18"/>
        <v>2.8627177434126239E-13</v>
      </c>
      <c r="AX51" s="4">
        <f t="shared" si="18"/>
        <v>2.9342856869979394E-13</v>
      </c>
      <c r="AY51" s="4">
        <f t="shared" si="18"/>
        <v>3.0076428291728882E-13</v>
      </c>
      <c r="AZ51" s="4">
        <f t="shared" si="18"/>
        <v>3.0828338999022104E-13</v>
      </c>
      <c r="BA51" s="4">
        <f t="shared" si="18"/>
        <v>3.1599047473997652E-13</v>
      </c>
      <c r="BB51" s="4">
        <f t="shared" si="18"/>
        <v>3.2389023660847594E-13</v>
      </c>
      <c r="BC51" s="4">
        <f t="shared" si="18"/>
        <v>3.3198749252368783E-13</v>
      </c>
      <c r="BD51" s="4">
        <f t="shared" si="18"/>
        <v>3.4028717983678004E-13</v>
      </c>
      <c r="BE51" s="4">
        <f t="shared" si="18"/>
        <v>3.487943593326995E-13</v>
      </c>
      <c r="BF51" s="4">
        <f t="shared" si="18"/>
        <v>3.5751421831601702E-13</v>
      </c>
      <c r="BG51" s="4">
        <f t="shared" si="18"/>
        <v>3.6645207377391745E-13</v>
      </c>
      <c r="BH51" s="4">
        <f t="shared" si="18"/>
        <v>3.7561337561826539E-13</v>
      </c>
      <c r="BI51" s="4">
        <f t="shared" si="18"/>
        <v>3.8500371000872198E-13</v>
      </c>
      <c r="BJ51" s="4">
        <f t="shared" si="18"/>
        <v>3.9462880275894004E-13</v>
      </c>
      <c r="BK51" s="4">
        <f t="shared" si="18"/>
        <v>4.0449452282791354E-13</v>
      </c>
      <c r="BL51" s="4">
        <f t="shared" si="18"/>
        <v>4.1460688589861136E-13</v>
      </c>
    </row>
    <row r="52" spans="1:64" x14ac:dyDescent="0.35">
      <c r="A52" s="1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</row>
    <row r="53" spans="1:64" x14ac:dyDescent="0.35">
      <c r="A53" s="1"/>
      <c r="E53" s="26"/>
      <c r="F53" s="26"/>
      <c r="G53" s="26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</row>
    <row r="54" spans="1:64" x14ac:dyDescent="0.35">
      <c r="A54" s="1"/>
      <c r="B54" s="1"/>
      <c r="C54" s="2" t="s">
        <v>116</v>
      </c>
      <c r="D54" s="45">
        <f ca="1">IFERROR(SUM(OFFSET(D43,0,1,1,$D$12)),0)</f>
        <v>276.13123230567987</v>
      </c>
      <c r="E54" s="45">
        <f t="shared" ref="E54:BL54" ca="1" si="19">IFERROR(SUM(OFFSET(E43,0,1,1,$D$12)),0)</f>
        <v>280.27310922378035</v>
      </c>
      <c r="F54" s="45">
        <f t="shared" ca="1" si="19"/>
        <v>284.4737603378527</v>
      </c>
      <c r="G54" s="45">
        <f t="shared" ca="1" si="19"/>
        <v>288.73079274048712</v>
      </c>
      <c r="H54" s="45">
        <f t="shared" ca="1" si="19"/>
        <v>292.56340000694138</v>
      </c>
      <c r="I54" s="45">
        <f t="shared" ca="1" si="19"/>
        <v>295.96366517986803</v>
      </c>
      <c r="J54" s="45">
        <f t="shared" ca="1" si="19"/>
        <v>298.92688804819755</v>
      </c>
      <c r="K54" s="45">
        <f t="shared" ca="1" si="19"/>
        <v>301.92665936995138</v>
      </c>
      <c r="L54" s="45">
        <f t="shared" ca="1" si="19"/>
        <v>305.46461298578134</v>
      </c>
      <c r="M54" s="45">
        <f t="shared" ca="1" si="19"/>
        <v>309.55033385868182</v>
      </c>
      <c r="N54" s="45">
        <f t="shared" ca="1" si="19"/>
        <v>314.19358886656198</v>
      </c>
      <c r="O54" s="45">
        <f t="shared" ca="1" si="19"/>
        <v>318.90649269956037</v>
      </c>
      <c r="P54" s="45">
        <f t="shared" ca="1" si="19"/>
        <v>323.69009009005379</v>
      </c>
      <c r="Q54" s="45">
        <f t="shared" ca="1" si="19"/>
        <v>328.54544144140453</v>
      </c>
      <c r="R54" s="45">
        <f t="shared" ca="1" si="19"/>
        <v>333.47362306302557</v>
      </c>
      <c r="S54" s="45">
        <f t="shared" ca="1" si="19"/>
        <v>338.4757274089709</v>
      </c>
      <c r="T54" s="45">
        <f t="shared" ca="1" si="19"/>
        <v>343.55286332010547</v>
      </c>
      <c r="U54" s="45">
        <f t="shared" ca="1" si="19"/>
        <v>348.70615626990696</v>
      </c>
      <c r="V54" s="45">
        <f t="shared" ca="1" si="19"/>
        <v>353.93674861395556</v>
      </c>
      <c r="W54" s="45">
        <f t="shared" ca="1" si="19"/>
        <v>359.24579984316489</v>
      </c>
      <c r="X54" s="45">
        <f t="shared" ca="1" si="19"/>
        <v>364.63448684081231</v>
      </c>
      <c r="Y54" s="45">
        <f t="shared" ca="1" si="19"/>
        <v>370.10400414342445</v>
      </c>
      <c r="Z54" s="45">
        <f t="shared" ca="1" si="19"/>
        <v>375.65556420557579</v>
      </c>
      <c r="AA54" s="45">
        <f t="shared" ca="1" si="19"/>
        <v>381.29039766865935</v>
      </c>
      <c r="AB54" s="45">
        <f t="shared" ca="1" si="19"/>
        <v>387.00975363368912</v>
      </c>
      <c r="AC54" s="45">
        <f t="shared" ca="1" si="19"/>
        <v>392.81489993819355</v>
      </c>
      <c r="AD54" s="45">
        <f t="shared" ca="1" si="19"/>
        <v>398.70712343724784</v>
      </c>
      <c r="AE54" s="45">
        <f t="shared" ca="1" si="19"/>
        <v>404.68773028869197</v>
      </c>
      <c r="AF54" s="45">
        <f t="shared" ca="1" si="19"/>
        <v>410.75804624040069</v>
      </c>
      <c r="AG54" s="45">
        <f t="shared" ca="1" si="19"/>
        <v>416.9194169197267</v>
      </c>
      <c r="AH54" s="45">
        <f t="shared" ca="1" si="19"/>
        <v>423.17320780094786</v>
      </c>
      <c r="AI54" s="45">
        <f t="shared" ca="1" si="19"/>
        <v>429.52080418336033</v>
      </c>
      <c r="AJ54" s="45">
        <f t="shared" ca="1" si="19"/>
        <v>435.96356300282855</v>
      </c>
      <c r="AK54" s="45">
        <f t="shared" ca="1" si="19"/>
        <v>442.50281372976929</v>
      </c>
      <c r="AL54" s="45">
        <f t="shared" ca="1" si="19"/>
        <v>449.13270196594942</v>
      </c>
      <c r="AM54" s="45">
        <f t="shared" ca="1" si="19"/>
        <v>455.8474329665288</v>
      </c>
      <c r="AN54" s="45">
        <f t="shared" ca="1" si="19"/>
        <v>461.57796851977696</v>
      </c>
      <c r="AO54" s="45">
        <f t="shared" ca="1" si="19"/>
        <v>466.3241522685189</v>
      </c>
      <c r="AP54" s="45">
        <f t="shared" ca="1" si="19"/>
        <v>312.11934861450089</v>
      </c>
      <c r="AQ54" s="45">
        <f t="shared" ca="1" si="19"/>
        <v>156.68653915122275</v>
      </c>
      <c r="AR54" s="45">
        <f t="shared" ca="1" si="19"/>
        <v>0</v>
      </c>
      <c r="AS54" s="45">
        <f t="shared" ca="1" si="19"/>
        <v>0</v>
      </c>
      <c r="AT54" s="45">
        <f t="shared" ca="1" si="19"/>
        <v>0</v>
      </c>
      <c r="AU54" s="45">
        <f t="shared" ca="1" si="19"/>
        <v>0</v>
      </c>
      <c r="AV54" s="45">
        <f t="shared" ca="1" si="19"/>
        <v>0</v>
      </c>
      <c r="AW54" s="45">
        <f t="shared" ca="1" si="19"/>
        <v>0</v>
      </c>
      <c r="AX54" s="45">
        <f t="shared" ca="1" si="19"/>
        <v>0</v>
      </c>
      <c r="AY54" s="45">
        <f t="shared" ca="1" si="19"/>
        <v>0</v>
      </c>
      <c r="AZ54" s="45">
        <f t="shared" ca="1" si="19"/>
        <v>0</v>
      </c>
      <c r="BA54" s="45">
        <f t="shared" ca="1" si="19"/>
        <v>0</v>
      </c>
      <c r="BB54" s="45">
        <f t="shared" ca="1" si="19"/>
        <v>0</v>
      </c>
      <c r="BC54" s="45">
        <f t="shared" ca="1" si="19"/>
        <v>0</v>
      </c>
      <c r="BD54" s="45">
        <f t="shared" ca="1" si="19"/>
        <v>0</v>
      </c>
      <c r="BE54" s="45">
        <f t="shared" ca="1" si="19"/>
        <v>0</v>
      </c>
      <c r="BF54" s="45">
        <f t="shared" ca="1" si="19"/>
        <v>0</v>
      </c>
      <c r="BG54" s="45">
        <f t="shared" ca="1" si="19"/>
        <v>0</v>
      </c>
      <c r="BH54" s="45">
        <f t="shared" ca="1" si="19"/>
        <v>0</v>
      </c>
      <c r="BI54" s="45">
        <f t="shared" ca="1" si="19"/>
        <v>0</v>
      </c>
      <c r="BJ54" s="45">
        <f t="shared" ca="1" si="19"/>
        <v>0</v>
      </c>
      <c r="BK54" s="45">
        <f t="shared" ca="1" si="19"/>
        <v>0</v>
      </c>
      <c r="BL54" s="45">
        <f t="shared" ca="1" si="19"/>
        <v>0</v>
      </c>
    </row>
    <row r="55" spans="1:64" x14ac:dyDescent="0.35">
      <c r="A55" s="1"/>
      <c r="C55" s="2" t="s">
        <v>135</v>
      </c>
      <c r="D55" s="52">
        <v>276.13123230567987</v>
      </c>
      <c r="E55" s="2" t="s">
        <v>139</v>
      </c>
    </row>
    <row r="56" spans="1:64" x14ac:dyDescent="0.35">
      <c r="A56" s="1"/>
      <c r="C56" s="2" t="s">
        <v>96</v>
      </c>
      <c r="D56" s="4">
        <f ca="1">D54-D55</f>
        <v>0</v>
      </c>
      <c r="E56" s="2" t="s">
        <v>138</v>
      </c>
    </row>
    <row r="57" spans="1:64" x14ac:dyDescent="0.35">
      <c r="A57" s="1"/>
    </row>
    <row r="58" spans="1:64" x14ac:dyDescent="0.35">
      <c r="A58" s="1"/>
      <c r="C58" s="2" t="s">
        <v>106</v>
      </c>
      <c r="E58" s="12">
        <f t="shared" ref="E58:BL58" si="20">$D$13/2</f>
        <v>0.01</v>
      </c>
      <c r="F58" s="12">
        <f t="shared" si="20"/>
        <v>0.01</v>
      </c>
      <c r="G58" s="12">
        <f t="shared" si="20"/>
        <v>0.01</v>
      </c>
      <c r="H58" s="12">
        <f t="shared" si="20"/>
        <v>0.01</v>
      </c>
      <c r="I58" s="12">
        <f t="shared" si="20"/>
        <v>0.01</v>
      </c>
      <c r="J58" s="12">
        <f t="shared" si="20"/>
        <v>0.01</v>
      </c>
      <c r="K58" s="12">
        <f t="shared" si="20"/>
        <v>0.01</v>
      </c>
      <c r="L58" s="12">
        <f t="shared" si="20"/>
        <v>0.01</v>
      </c>
      <c r="M58" s="12">
        <f t="shared" si="20"/>
        <v>0.01</v>
      </c>
      <c r="N58" s="12">
        <f t="shared" si="20"/>
        <v>0.01</v>
      </c>
      <c r="O58" s="12">
        <f t="shared" si="20"/>
        <v>0.01</v>
      </c>
      <c r="P58" s="12">
        <f t="shared" si="20"/>
        <v>0.01</v>
      </c>
      <c r="Q58" s="12">
        <f t="shared" si="20"/>
        <v>0.01</v>
      </c>
      <c r="R58" s="12">
        <f t="shared" si="20"/>
        <v>0.01</v>
      </c>
      <c r="S58" s="12">
        <f t="shared" si="20"/>
        <v>0.01</v>
      </c>
      <c r="T58" s="12">
        <f t="shared" si="20"/>
        <v>0.01</v>
      </c>
      <c r="U58" s="12">
        <f t="shared" si="20"/>
        <v>0.01</v>
      </c>
      <c r="V58" s="12">
        <f t="shared" si="20"/>
        <v>0.01</v>
      </c>
      <c r="W58" s="12">
        <f t="shared" si="20"/>
        <v>0.01</v>
      </c>
      <c r="X58" s="12">
        <f t="shared" si="20"/>
        <v>0.01</v>
      </c>
      <c r="Y58" s="12">
        <f t="shared" si="20"/>
        <v>0.01</v>
      </c>
      <c r="Z58" s="12">
        <f t="shared" si="20"/>
        <v>0.01</v>
      </c>
      <c r="AA58" s="12">
        <f t="shared" si="20"/>
        <v>0.01</v>
      </c>
      <c r="AB58" s="12">
        <f t="shared" si="20"/>
        <v>0.01</v>
      </c>
      <c r="AC58" s="12">
        <f t="shared" si="20"/>
        <v>0.01</v>
      </c>
      <c r="AD58" s="12">
        <f t="shared" si="20"/>
        <v>0.01</v>
      </c>
      <c r="AE58" s="12">
        <f t="shared" si="20"/>
        <v>0.01</v>
      </c>
      <c r="AF58" s="12">
        <f t="shared" si="20"/>
        <v>0.01</v>
      </c>
      <c r="AG58" s="12">
        <f t="shared" si="20"/>
        <v>0.01</v>
      </c>
      <c r="AH58" s="12">
        <f t="shared" si="20"/>
        <v>0.01</v>
      </c>
      <c r="AI58" s="12">
        <f t="shared" si="20"/>
        <v>0.01</v>
      </c>
      <c r="AJ58" s="12">
        <f t="shared" si="20"/>
        <v>0.01</v>
      </c>
      <c r="AK58" s="12">
        <f t="shared" si="20"/>
        <v>0.01</v>
      </c>
      <c r="AL58" s="12">
        <f t="shared" si="20"/>
        <v>0.01</v>
      </c>
      <c r="AM58" s="12">
        <f t="shared" si="20"/>
        <v>0.01</v>
      </c>
      <c r="AN58" s="12">
        <f t="shared" si="20"/>
        <v>0.01</v>
      </c>
      <c r="AO58" s="12">
        <f t="shared" si="20"/>
        <v>0.01</v>
      </c>
      <c r="AP58" s="12">
        <f t="shared" si="20"/>
        <v>0.01</v>
      </c>
      <c r="AQ58" s="12">
        <f t="shared" si="20"/>
        <v>0.01</v>
      </c>
      <c r="AR58" s="12">
        <f t="shared" si="20"/>
        <v>0.01</v>
      </c>
      <c r="AS58" s="12">
        <f t="shared" si="20"/>
        <v>0.01</v>
      </c>
      <c r="AT58" s="12">
        <f t="shared" si="20"/>
        <v>0.01</v>
      </c>
      <c r="AU58" s="12">
        <f t="shared" si="20"/>
        <v>0.01</v>
      </c>
      <c r="AV58" s="12">
        <f t="shared" si="20"/>
        <v>0.01</v>
      </c>
      <c r="AW58" s="12">
        <f t="shared" si="20"/>
        <v>0.01</v>
      </c>
      <c r="AX58" s="12">
        <f t="shared" si="20"/>
        <v>0.01</v>
      </c>
      <c r="AY58" s="12">
        <f t="shared" si="20"/>
        <v>0.01</v>
      </c>
      <c r="AZ58" s="12">
        <f t="shared" si="20"/>
        <v>0.01</v>
      </c>
      <c r="BA58" s="12">
        <f t="shared" si="20"/>
        <v>0.01</v>
      </c>
      <c r="BB58" s="12">
        <f t="shared" si="20"/>
        <v>0.01</v>
      </c>
      <c r="BC58" s="12">
        <f t="shared" si="20"/>
        <v>0.01</v>
      </c>
      <c r="BD58" s="12">
        <f t="shared" si="20"/>
        <v>0.01</v>
      </c>
      <c r="BE58" s="12">
        <f t="shared" si="20"/>
        <v>0.01</v>
      </c>
      <c r="BF58" s="12">
        <f t="shared" si="20"/>
        <v>0.01</v>
      </c>
      <c r="BG58" s="12">
        <f t="shared" si="20"/>
        <v>0.01</v>
      </c>
      <c r="BH58" s="12">
        <f t="shared" si="20"/>
        <v>0.01</v>
      </c>
      <c r="BI58" s="12">
        <f t="shared" si="20"/>
        <v>0.01</v>
      </c>
      <c r="BJ58" s="12">
        <f t="shared" si="20"/>
        <v>0.01</v>
      </c>
      <c r="BK58" s="12">
        <f t="shared" si="20"/>
        <v>0.01</v>
      </c>
      <c r="BL58" s="12">
        <f t="shared" si="20"/>
        <v>0.01</v>
      </c>
    </row>
    <row r="59" spans="1:64" x14ac:dyDescent="0.35">
      <c r="A59" s="1"/>
      <c r="C59" s="2" t="s">
        <v>107</v>
      </c>
      <c r="E59" s="4">
        <f t="shared" ref="E59:AJ59" ca="1" si="21">D54*E58</f>
        <v>2.7613123230567989</v>
      </c>
      <c r="F59" s="4">
        <f t="shared" ca="1" si="21"/>
        <v>2.8027310922378037</v>
      </c>
      <c r="G59" s="4">
        <f t="shared" ca="1" si="21"/>
        <v>2.844737603378527</v>
      </c>
      <c r="H59" s="4">
        <f t="shared" ca="1" si="21"/>
        <v>2.8873079274048714</v>
      </c>
      <c r="I59" s="4">
        <f t="shared" ca="1" si="21"/>
        <v>2.9256340000694139</v>
      </c>
      <c r="J59" s="4">
        <f t="shared" ca="1" si="21"/>
        <v>2.9596366517986805</v>
      </c>
      <c r="K59" s="4">
        <f t="shared" ca="1" si="21"/>
        <v>2.9892688804819758</v>
      </c>
      <c r="L59" s="4">
        <f t="shared" ca="1" si="21"/>
        <v>3.019266593699514</v>
      </c>
      <c r="M59" s="4">
        <f t="shared" ca="1" si="21"/>
        <v>3.0546461298578134</v>
      </c>
      <c r="N59" s="4">
        <f t="shared" ca="1" si="21"/>
        <v>3.0955033385868185</v>
      </c>
      <c r="O59" s="4">
        <f t="shared" ca="1" si="21"/>
        <v>3.1419358886656199</v>
      </c>
      <c r="P59" s="4">
        <f t="shared" ca="1" si="21"/>
        <v>3.189064926995604</v>
      </c>
      <c r="Q59" s="4">
        <f t="shared" ca="1" si="21"/>
        <v>3.2369009009005381</v>
      </c>
      <c r="R59" s="4">
        <f t="shared" ca="1" si="21"/>
        <v>3.2854544144140454</v>
      </c>
      <c r="S59" s="4">
        <f t="shared" ca="1" si="21"/>
        <v>3.3347362306302557</v>
      </c>
      <c r="T59" s="4">
        <f t="shared" ca="1" si="21"/>
        <v>3.3847572740897092</v>
      </c>
      <c r="U59" s="4">
        <f t="shared" ca="1" si="21"/>
        <v>3.4355286332010548</v>
      </c>
      <c r="V59" s="4">
        <f t="shared" ca="1" si="21"/>
        <v>3.4870615626990697</v>
      </c>
      <c r="W59" s="4">
        <f t="shared" ca="1" si="21"/>
        <v>3.5393674861395557</v>
      </c>
      <c r="X59" s="4">
        <f t="shared" ca="1" si="21"/>
        <v>3.5924579984316489</v>
      </c>
      <c r="Y59" s="4">
        <f t="shared" ca="1" si="21"/>
        <v>3.6463448684081232</v>
      </c>
      <c r="Z59" s="4">
        <f t="shared" ca="1" si="21"/>
        <v>3.7010400414342444</v>
      </c>
      <c r="AA59" s="4">
        <f t="shared" ca="1" si="21"/>
        <v>3.756555642055758</v>
      </c>
      <c r="AB59" s="4">
        <f t="shared" ca="1" si="21"/>
        <v>3.8129039766865938</v>
      </c>
      <c r="AC59" s="4">
        <f t="shared" ca="1" si="21"/>
        <v>3.8700975363368912</v>
      </c>
      <c r="AD59" s="4">
        <f t="shared" ca="1" si="21"/>
        <v>3.9281489993819356</v>
      </c>
      <c r="AE59" s="4">
        <f t="shared" ca="1" si="21"/>
        <v>3.9870712343724786</v>
      </c>
      <c r="AF59" s="4">
        <f t="shared" ca="1" si="21"/>
        <v>4.0468773028869194</v>
      </c>
      <c r="AG59" s="4">
        <f t="shared" ca="1" si="21"/>
        <v>4.1075804624040071</v>
      </c>
      <c r="AH59" s="4">
        <f t="shared" ca="1" si="21"/>
        <v>4.1691941691972669</v>
      </c>
      <c r="AI59" s="4">
        <f t="shared" ca="1" si="21"/>
        <v>4.2317320780094789</v>
      </c>
      <c r="AJ59" s="4">
        <f t="shared" ca="1" si="21"/>
        <v>4.2952080418336029</v>
      </c>
      <c r="AK59" s="4">
        <f t="shared" ref="AK59:BL59" ca="1" si="22">AJ54*AK58</f>
        <v>4.3596356300282855</v>
      </c>
      <c r="AL59" s="4">
        <f t="shared" ca="1" si="22"/>
        <v>4.4250281372976934</v>
      </c>
      <c r="AM59" s="4">
        <f t="shared" ca="1" si="22"/>
        <v>4.4913270196594945</v>
      </c>
      <c r="AN59" s="4">
        <f t="shared" ca="1" si="22"/>
        <v>4.5584743296652883</v>
      </c>
      <c r="AO59" s="4">
        <f t="shared" ca="1" si="22"/>
        <v>4.6157796851977695</v>
      </c>
      <c r="AP59" s="4">
        <f t="shared" ca="1" si="22"/>
        <v>4.6632415226851895</v>
      </c>
      <c r="AQ59" s="4">
        <f t="shared" ca="1" si="22"/>
        <v>3.121193486145009</v>
      </c>
      <c r="AR59" s="4">
        <f t="shared" ca="1" si="22"/>
        <v>1.5668653915122275</v>
      </c>
      <c r="AS59" s="4">
        <f t="shared" ca="1" si="22"/>
        <v>0</v>
      </c>
      <c r="AT59" s="4">
        <f t="shared" ca="1" si="22"/>
        <v>0</v>
      </c>
      <c r="AU59" s="4">
        <f t="shared" ca="1" si="22"/>
        <v>0</v>
      </c>
      <c r="AV59" s="4">
        <f t="shared" ca="1" si="22"/>
        <v>0</v>
      </c>
      <c r="AW59" s="4">
        <f t="shared" ca="1" si="22"/>
        <v>0</v>
      </c>
      <c r="AX59" s="4">
        <f t="shared" ca="1" si="22"/>
        <v>0</v>
      </c>
      <c r="AY59" s="4">
        <f t="shared" ca="1" si="22"/>
        <v>0</v>
      </c>
      <c r="AZ59" s="4">
        <f t="shared" ca="1" si="22"/>
        <v>0</v>
      </c>
      <c r="BA59" s="4">
        <f t="shared" ca="1" si="22"/>
        <v>0</v>
      </c>
      <c r="BB59" s="4">
        <f t="shared" ca="1" si="22"/>
        <v>0</v>
      </c>
      <c r="BC59" s="4">
        <f t="shared" ca="1" si="22"/>
        <v>0</v>
      </c>
      <c r="BD59" s="4">
        <f t="shared" ca="1" si="22"/>
        <v>0</v>
      </c>
      <c r="BE59" s="4">
        <f t="shared" ca="1" si="22"/>
        <v>0</v>
      </c>
      <c r="BF59" s="4">
        <f t="shared" ca="1" si="22"/>
        <v>0</v>
      </c>
      <c r="BG59" s="4">
        <f t="shared" ca="1" si="22"/>
        <v>0</v>
      </c>
      <c r="BH59" s="4">
        <f t="shared" ca="1" si="22"/>
        <v>0</v>
      </c>
      <c r="BI59" s="4">
        <f t="shared" ca="1" si="22"/>
        <v>0</v>
      </c>
      <c r="BJ59" s="4">
        <f t="shared" ca="1" si="22"/>
        <v>0</v>
      </c>
      <c r="BK59" s="4">
        <f t="shared" ca="1" si="22"/>
        <v>0</v>
      </c>
      <c r="BL59" s="4">
        <f t="shared" ca="1" si="22"/>
        <v>0</v>
      </c>
    </row>
    <row r="60" spans="1:64" x14ac:dyDescent="0.35">
      <c r="A60" s="1"/>
      <c r="C60" s="2" t="s">
        <v>136</v>
      </c>
      <c r="E60" s="52">
        <v>2.7613123230567989</v>
      </c>
      <c r="F60" s="52">
        <v>2.8027310922378041</v>
      </c>
      <c r="G60" s="52">
        <v>2.844737603378527</v>
      </c>
      <c r="H60" s="52">
        <v>2.8873079274048714</v>
      </c>
      <c r="I60" s="52">
        <v>2.9256340000694139</v>
      </c>
      <c r="J60" s="52">
        <v>2.9596366517986805</v>
      </c>
      <c r="K60" s="52">
        <v>2.9892688804819758</v>
      </c>
      <c r="L60" s="52">
        <v>3.019266593699514</v>
      </c>
      <c r="M60" s="52">
        <v>3.0546461298578134</v>
      </c>
      <c r="N60" s="52">
        <v>3.0955033385868185</v>
      </c>
      <c r="O60" s="52">
        <v>3.1419358886656199</v>
      </c>
      <c r="P60" s="52">
        <v>3.1890649269956044</v>
      </c>
      <c r="Q60" s="52">
        <v>3.2369009009005381</v>
      </c>
      <c r="R60" s="52">
        <v>3.2854544144140458</v>
      </c>
      <c r="S60" s="52">
        <v>3.3347362306302561</v>
      </c>
      <c r="T60" s="52">
        <v>3.3847572740897096</v>
      </c>
      <c r="U60" s="52">
        <v>3.4355286332010548</v>
      </c>
      <c r="V60" s="52">
        <v>3.4870615626990697</v>
      </c>
      <c r="W60" s="52">
        <v>3.5393674861395557</v>
      </c>
      <c r="X60" s="52">
        <v>3.5924579984316489</v>
      </c>
      <c r="Y60" s="52">
        <v>3.6463448684081232</v>
      </c>
      <c r="Z60" s="52">
        <v>3.7010400414342444</v>
      </c>
      <c r="AA60" s="52">
        <v>3.756555642055758</v>
      </c>
      <c r="AB60" s="52">
        <v>3.8129039766865938</v>
      </c>
      <c r="AC60" s="52">
        <v>3.8700975363368908</v>
      </c>
      <c r="AD60" s="52">
        <v>3.9281489993819343</v>
      </c>
      <c r="AE60" s="52">
        <v>3.9870712343724772</v>
      </c>
      <c r="AF60" s="52">
        <v>4.0468773028869185</v>
      </c>
      <c r="AG60" s="52">
        <v>4.1075804624040053</v>
      </c>
      <c r="AH60" s="52">
        <v>4.169194169197266</v>
      </c>
      <c r="AI60" s="52">
        <v>4.231732078009478</v>
      </c>
      <c r="AJ60" s="52">
        <v>4.2952080418336038</v>
      </c>
      <c r="AK60" s="52">
        <v>4.3596356300282864</v>
      </c>
      <c r="AL60" s="52">
        <v>4.4250281372976943</v>
      </c>
      <c r="AM60" s="52">
        <v>4.4913270196594954</v>
      </c>
      <c r="AN60" s="52">
        <v>4.5584743296652883</v>
      </c>
      <c r="AO60" s="52">
        <v>4.6157796851977704</v>
      </c>
      <c r="AP60" s="52">
        <v>4.6632415226851895</v>
      </c>
      <c r="AQ60" s="52">
        <v>3.121193486145009</v>
      </c>
      <c r="AR60" s="52">
        <v>1.5668653915122275</v>
      </c>
      <c r="AS60" s="52">
        <v>0</v>
      </c>
      <c r="AT60" s="52">
        <v>0</v>
      </c>
      <c r="AU60" s="52">
        <v>0</v>
      </c>
      <c r="AV60" s="52">
        <v>0</v>
      </c>
      <c r="AW60" s="52">
        <v>0</v>
      </c>
      <c r="AX60" s="52">
        <v>0</v>
      </c>
      <c r="AY60" s="52">
        <v>0</v>
      </c>
      <c r="AZ60" s="52">
        <v>0</v>
      </c>
      <c r="BA60" s="52">
        <v>0</v>
      </c>
      <c r="BB60" s="52">
        <v>0</v>
      </c>
      <c r="BC60" s="52">
        <v>0</v>
      </c>
      <c r="BD60" s="52">
        <v>0</v>
      </c>
      <c r="BE60" s="52">
        <v>0</v>
      </c>
      <c r="BF60" s="52">
        <v>0</v>
      </c>
      <c r="BG60" s="52">
        <v>0</v>
      </c>
      <c r="BH60" s="52">
        <v>0</v>
      </c>
      <c r="BI60" s="52">
        <v>0</v>
      </c>
      <c r="BJ60" s="52">
        <v>0</v>
      </c>
      <c r="BK60" s="52">
        <v>0</v>
      </c>
      <c r="BL60" s="52">
        <v>0</v>
      </c>
    </row>
    <row r="61" spans="1:64" x14ac:dyDescent="0.35">
      <c r="A61" s="1"/>
      <c r="C61" s="2" t="s">
        <v>96</v>
      </c>
      <c r="D61" s="4">
        <f ca="1">SUM(E61:BL61)</f>
        <v>0</v>
      </c>
      <c r="E61" s="4">
        <f t="shared" ref="E61:BL61" ca="1" si="23">E59-E60</f>
        <v>0</v>
      </c>
      <c r="F61" s="4">
        <f t="shared" ca="1" si="23"/>
        <v>0</v>
      </c>
      <c r="G61" s="4">
        <f t="shared" ca="1" si="23"/>
        <v>0</v>
      </c>
      <c r="H61" s="4">
        <f t="shared" ca="1" si="23"/>
        <v>0</v>
      </c>
      <c r="I61" s="4">
        <f t="shared" ca="1" si="23"/>
        <v>0</v>
      </c>
      <c r="J61" s="4">
        <f t="shared" ca="1" si="23"/>
        <v>0</v>
      </c>
      <c r="K61" s="4">
        <f t="shared" ca="1" si="23"/>
        <v>0</v>
      </c>
      <c r="L61" s="4">
        <f t="shared" ca="1" si="23"/>
        <v>0</v>
      </c>
      <c r="M61" s="4">
        <f t="shared" ca="1" si="23"/>
        <v>0</v>
      </c>
      <c r="N61" s="4">
        <f t="shared" ca="1" si="23"/>
        <v>0</v>
      </c>
      <c r="O61" s="4">
        <f t="shared" ca="1" si="23"/>
        <v>0</v>
      </c>
      <c r="P61" s="4">
        <f t="shared" ca="1" si="23"/>
        <v>0</v>
      </c>
      <c r="Q61" s="4">
        <f t="shared" ca="1" si="23"/>
        <v>0</v>
      </c>
      <c r="R61" s="4">
        <f t="shared" ca="1" si="23"/>
        <v>0</v>
      </c>
      <c r="S61" s="4">
        <f t="shared" ca="1" si="23"/>
        <v>0</v>
      </c>
      <c r="T61" s="4">
        <f t="shared" ca="1" si="23"/>
        <v>0</v>
      </c>
      <c r="U61" s="4">
        <f t="shared" ca="1" si="23"/>
        <v>0</v>
      </c>
      <c r="V61" s="4">
        <f t="shared" ca="1" si="23"/>
        <v>0</v>
      </c>
      <c r="W61" s="4">
        <f t="shared" ca="1" si="23"/>
        <v>0</v>
      </c>
      <c r="X61" s="4">
        <f t="shared" ca="1" si="23"/>
        <v>0</v>
      </c>
      <c r="Y61" s="4">
        <f t="shared" ca="1" si="23"/>
        <v>0</v>
      </c>
      <c r="Z61" s="4">
        <f t="shared" ca="1" si="23"/>
        <v>0</v>
      </c>
      <c r="AA61" s="4">
        <f t="shared" ca="1" si="23"/>
        <v>0</v>
      </c>
      <c r="AB61" s="4">
        <f t="shared" ca="1" si="23"/>
        <v>0</v>
      </c>
      <c r="AC61" s="4">
        <f t="shared" ca="1" si="23"/>
        <v>0</v>
      </c>
      <c r="AD61" s="4">
        <f t="shared" ca="1" si="23"/>
        <v>0</v>
      </c>
      <c r="AE61" s="4">
        <f t="shared" ca="1" si="23"/>
        <v>0</v>
      </c>
      <c r="AF61" s="4">
        <f t="shared" ca="1" si="23"/>
        <v>0</v>
      </c>
      <c r="AG61" s="4">
        <f t="shared" ca="1" si="23"/>
        <v>0</v>
      </c>
      <c r="AH61" s="4">
        <f t="shared" ca="1" si="23"/>
        <v>0</v>
      </c>
      <c r="AI61" s="4">
        <f t="shared" ca="1" si="23"/>
        <v>0</v>
      </c>
      <c r="AJ61" s="4">
        <f t="shared" ca="1" si="23"/>
        <v>0</v>
      </c>
      <c r="AK61" s="4">
        <f t="shared" ca="1" si="23"/>
        <v>0</v>
      </c>
      <c r="AL61" s="4">
        <f t="shared" ca="1" si="23"/>
        <v>0</v>
      </c>
      <c r="AM61" s="4">
        <f t="shared" ca="1" si="23"/>
        <v>0</v>
      </c>
      <c r="AN61" s="4">
        <f t="shared" ca="1" si="23"/>
        <v>0</v>
      </c>
      <c r="AO61" s="4">
        <f t="shared" ca="1" si="23"/>
        <v>0</v>
      </c>
      <c r="AP61" s="4">
        <f t="shared" ca="1" si="23"/>
        <v>0</v>
      </c>
      <c r="AQ61" s="4">
        <f t="shared" ca="1" si="23"/>
        <v>0</v>
      </c>
      <c r="AR61" s="4">
        <f t="shared" ca="1" si="23"/>
        <v>0</v>
      </c>
      <c r="AS61" s="4">
        <f t="shared" ca="1" si="23"/>
        <v>0</v>
      </c>
      <c r="AT61" s="4">
        <f t="shared" ca="1" si="23"/>
        <v>0</v>
      </c>
      <c r="AU61" s="4">
        <f t="shared" ca="1" si="23"/>
        <v>0</v>
      </c>
      <c r="AV61" s="4">
        <f t="shared" ca="1" si="23"/>
        <v>0</v>
      </c>
      <c r="AW61" s="4">
        <f t="shared" ca="1" si="23"/>
        <v>0</v>
      </c>
      <c r="AX61" s="4">
        <f t="shared" ca="1" si="23"/>
        <v>0</v>
      </c>
      <c r="AY61" s="4">
        <f t="shared" ca="1" si="23"/>
        <v>0</v>
      </c>
      <c r="AZ61" s="4">
        <f t="shared" ca="1" si="23"/>
        <v>0</v>
      </c>
      <c r="BA61" s="4">
        <f t="shared" ca="1" si="23"/>
        <v>0</v>
      </c>
      <c r="BB61" s="4">
        <f t="shared" ca="1" si="23"/>
        <v>0</v>
      </c>
      <c r="BC61" s="4">
        <f t="shared" ca="1" si="23"/>
        <v>0</v>
      </c>
      <c r="BD61" s="4">
        <f t="shared" ca="1" si="23"/>
        <v>0</v>
      </c>
      <c r="BE61" s="4">
        <f t="shared" ca="1" si="23"/>
        <v>0</v>
      </c>
      <c r="BF61" s="4">
        <f t="shared" ca="1" si="23"/>
        <v>0</v>
      </c>
      <c r="BG61" s="4">
        <f t="shared" ca="1" si="23"/>
        <v>0</v>
      </c>
      <c r="BH61" s="4">
        <f t="shared" ca="1" si="23"/>
        <v>0</v>
      </c>
      <c r="BI61" s="4">
        <f t="shared" ca="1" si="23"/>
        <v>0</v>
      </c>
      <c r="BJ61" s="4">
        <f t="shared" ca="1" si="23"/>
        <v>0</v>
      </c>
      <c r="BK61" s="4">
        <f t="shared" ca="1" si="23"/>
        <v>0</v>
      </c>
      <c r="BL61" s="4">
        <f t="shared" ca="1" si="23"/>
        <v>0</v>
      </c>
    </row>
    <row r="62" spans="1:64" x14ac:dyDescent="0.35">
      <c r="A62" s="1"/>
      <c r="C62" s="2" t="s">
        <v>145</v>
      </c>
      <c r="D62" s="4">
        <f ca="1">diff_int_inc+diff_dsra</f>
        <v>0</v>
      </c>
      <c r="E62" s="4" t="s">
        <v>146</v>
      </c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</row>
    <row r="63" spans="1:64" x14ac:dyDescent="0.35">
      <c r="A63" s="1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</row>
    <row r="64" spans="1:64" x14ac:dyDescent="0.35">
      <c r="A64" s="1"/>
      <c r="B64" s="2" t="s">
        <v>209</v>
      </c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</row>
    <row r="65" spans="1:64" x14ac:dyDescent="0.35">
      <c r="A65" s="1"/>
      <c r="C65" s="2" t="s">
        <v>83</v>
      </c>
      <c r="E65" s="4">
        <f t="array" ref="E65:BL67">dsra_function(27:27,31:31,D12,D8,D19,36:36,D21,58:58)</f>
        <v>276.1312255859375</v>
      </c>
      <c r="F65" s="4">
        <v>276.1312255859375</v>
      </c>
      <c r="G65" s="4">
        <v>276.1312255859375</v>
      </c>
      <c r="H65" s="4">
        <v>276.1312255859375</v>
      </c>
      <c r="I65" s="4">
        <v>276.1312255859375</v>
      </c>
      <c r="J65" s="4">
        <v>276.1312255859375</v>
      </c>
      <c r="K65" s="4">
        <v>276.1312255859375</v>
      </c>
      <c r="L65" s="4">
        <v>276.1312255859375</v>
      </c>
      <c r="M65" s="4">
        <v>276.1312255859375</v>
      </c>
      <c r="N65" s="4">
        <v>276.1312255859375</v>
      </c>
      <c r="O65" s="4">
        <v>276.1312255859375</v>
      </c>
      <c r="P65" s="4">
        <v>276.1312255859375</v>
      </c>
      <c r="Q65" s="4">
        <v>276.1312255859375</v>
      </c>
      <c r="R65" s="4">
        <v>276.1312255859375</v>
      </c>
      <c r="S65" s="4">
        <v>276.1312255859375</v>
      </c>
      <c r="T65" s="4">
        <v>276.1312255859375</v>
      </c>
      <c r="U65" s="4">
        <v>276.1312255859375</v>
      </c>
      <c r="V65" s="4">
        <v>276.1312255859375</v>
      </c>
      <c r="W65" s="4">
        <v>276.1312255859375</v>
      </c>
      <c r="X65" s="4">
        <v>276.1312255859375</v>
      </c>
      <c r="Y65" s="4">
        <v>276.1312255859375</v>
      </c>
      <c r="Z65" s="4">
        <v>276.1312255859375</v>
      </c>
      <c r="AA65" s="4">
        <v>276.1312255859375</v>
      </c>
      <c r="AB65" s="4">
        <v>276.1312255859375</v>
      </c>
      <c r="AC65" s="4">
        <v>276.1312255859375</v>
      </c>
      <c r="AD65" s="4">
        <v>276.1312255859375</v>
      </c>
      <c r="AE65" s="4">
        <v>276.1312255859375</v>
      </c>
      <c r="AF65" s="4">
        <v>276.1312255859375</v>
      </c>
      <c r="AG65" s="4">
        <v>276.1312255859375</v>
      </c>
      <c r="AH65" s="4">
        <v>276.1312255859375</v>
      </c>
      <c r="AI65" s="4">
        <v>276.1312255859375</v>
      </c>
      <c r="AJ65" s="4">
        <v>276.1312255859375</v>
      </c>
      <c r="AK65" s="4">
        <v>276.1312255859375</v>
      </c>
      <c r="AL65" s="4">
        <v>276.1312255859375</v>
      </c>
      <c r="AM65" s="4">
        <v>276.1312255859375</v>
      </c>
      <c r="AN65" s="4">
        <v>276.1312255859375</v>
      </c>
      <c r="AO65" s="4">
        <v>276.1312255859375</v>
      </c>
      <c r="AP65" s="4">
        <v>276.1312255859375</v>
      </c>
      <c r="AQ65" s="4">
        <v>276.1312255859375</v>
      </c>
      <c r="AR65" s="4">
        <v>276.1312255859375</v>
      </c>
      <c r="AS65" s="4">
        <v>0</v>
      </c>
      <c r="AT65" s="4">
        <v>0</v>
      </c>
      <c r="AU65" s="4">
        <v>0</v>
      </c>
      <c r="AV65" s="4">
        <v>0</v>
      </c>
      <c r="AW65" s="4">
        <v>0</v>
      </c>
      <c r="AX65" s="4">
        <v>0</v>
      </c>
      <c r="AY65" s="4">
        <v>0</v>
      </c>
      <c r="AZ65" s="4">
        <v>0</v>
      </c>
      <c r="BA65" s="4">
        <v>0</v>
      </c>
      <c r="BB65" s="4">
        <v>0</v>
      </c>
      <c r="BC65" s="4">
        <v>0</v>
      </c>
      <c r="BD65" s="4">
        <v>0</v>
      </c>
      <c r="BE65" s="4">
        <v>0</v>
      </c>
      <c r="BF65" s="4">
        <v>0</v>
      </c>
      <c r="BG65" s="4">
        <v>0</v>
      </c>
      <c r="BH65" s="4">
        <v>0</v>
      </c>
      <c r="BI65" s="4">
        <v>0</v>
      </c>
      <c r="BJ65" s="4">
        <v>0</v>
      </c>
      <c r="BK65" s="4">
        <v>0</v>
      </c>
      <c r="BL65" s="4">
        <v>0</v>
      </c>
    </row>
    <row r="66" spans="1:64" x14ac:dyDescent="0.35">
      <c r="A66" s="1"/>
      <c r="C66" s="2" t="s">
        <v>148</v>
      </c>
      <c r="E66" s="4">
        <v>2.7613122463226318</v>
      </c>
      <c r="F66" s="4">
        <v>2.8027310371398926</v>
      </c>
      <c r="G66" s="4">
        <v>2.8447375297546387</v>
      </c>
      <c r="H66" s="4">
        <v>2.8873076438903809</v>
      </c>
      <c r="I66" s="4">
        <v>2.9256339073181152</v>
      </c>
      <c r="J66" s="4">
        <v>2.959636926651001</v>
      </c>
      <c r="K66" s="4">
        <v>2.9892687797546387</v>
      </c>
      <c r="L66" s="4">
        <v>3.0192666053771973</v>
      </c>
      <c r="M66" s="4">
        <v>3.0546460151672363</v>
      </c>
      <c r="N66" s="4">
        <v>3.0955033302307129</v>
      </c>
      <c r="O66" s="4">
        <v>3.1419358253479004</v>
      </c>
      <c r="P66" s="4">
        <v>3.1890649795532227</v>
      </c>
      <c r="Q66" s="4">
        <v>3.2369005680084229</v>
      </c>
      <c r="R66" s="4">
        <v>3.2854545116424561</v>
      </c>
      <c r="S66" s="4">
        <v>3.3347361087799072</v>
      </c>
      <c r="T66" s="4">
        <v>3.3847570419311523</v>
      </c>
      <c r="U66" s="4">
        <v>3.4355285167694092</v>
      </c>
      <c r="V66" s="4">
        <v>3.4870615005493164</v>
      </c>
      <c r="W66" s="4">
        <v>3.5393674373626709</v>
      </c>
      <c r="X66" s="4">
        <v>3.5924577713012695</v>
      </c>
      <c r="Y66" s="4">
        <v>3.6463446617126465</v>
      </c>
      <c r="Z66" s="4">
        <v>3.7010400295257568</v>
      </c>
      <c r="AA66" s="4">
        <v>3.7565555572509766</v>
      </c>
      <c r="AB66" s="4">
        <v>3.8129036426544189</v>
      </c>
      <c r="AC66" s="4">
        <v>3.8700973987579346</v>
      </c>
      <c r="AD66" s="4">
        <v>3.9281487464904785</v>
      </c>
      <c r="AE66" s="4">
        <v>3.9870710372924805</v>
      </c>
      <c r="AF66" s="4">
        <v>4.046877384185791</v>
      </c>
      <c r="AG66" s="4">
        <v>4.1075806617736816</v>
      </c>
      <c r="AH66" s="4">
        <v>4.169194221496582</v>
      </c>
      <c r="AI66" s="4">
        <v>4.2317323684692383</v>
      </c>
      <c r="AJ66" s="4">
        <v>4.2952079772949219</v>
      </c>
      <c r="AK66" s="4">
        <v>4.3596358299255371</v>
      </c>
      <c r="AL66" s="4">
        <v>4.4250278472900391</v>
      </c>
      <c r="AM66" s="4">
        <v>4.4913268089294434</v>
      </c>
      <c r="AN66" s="4">
        <v>4.5584745407104492</v>
      </c>
      <c r="AO66" s="4">
        <v>4.6157793998718262</v>
      </c>
      <c r="AP66" s="4">
        <v>4.6632413864135742</v>
      </c>
      <c r="AQ66" s="4">
        <v>3.1211931705474854</v>
      </c>
      <c r="AR66" s="4">
        <v>1.5668654441833496</v>
      </c>
      <c r="AS66" s="4">
        <v>0</v>
      </c>
      <c r="AT66" s="4">
        <v>0</v>
      </c>
      <c r="AU66" s="4">
        <v>0</v>
      </c>
      <c r="AV66" s="4">
        <v>0</v>
      </c>
      <c r="AW66" s="4">
        <v>0</v>
      </c>
      <c r="AX66" s="4">
        <v>0</v>
      </c>
      <c r="AY66" s="4">
        <v>0</v>
      </c>
      <c r="AZ66" s="4">
        <v>0</v>
      </c>
      <c r="BA66" s="4">
        <v>0</v>
      </c>
      <c r="BB66" s="4">
        <v>0</v>
      </c>
      <c r="BC66" s="4">
        <v>0</v>
      </c>
      <c r="BD66" s="4">
        <v>0</v>
      </c>
      <c r="BE66" s="4">
        <v>0</v>
      </c>
      <c r="BF66" s="4">
        <v>0</v>
      </c>
      <c r="BG66" s="4">
        <v>0</v>
      </c>
      <c r="BH66" s="4">
        <v>0</v>
      </c>
      <c r="BI66" s="4">
        <v>0</v>
      </c>
      <c r="BJ66" s="4">
        <v>0</v>
      </c>
      <c r="BK66" s="4">
        <v>0</v>
      </c>
      <c r="BL66" s="4">
        <v>0</v>
      </c>
    </row>
    <row r="67" spans="1:64" x14ac:dyDescent="0.35">
      <c r="C67" s="2" t="s">
        <v>19</v>
      </c>
      <c r="E67" s="4">
        <v>90.676795959472656</v>
      </c>
      <c r="F67" s="4">
        <v>92.036949157714844</v>
      </c>
      <c r="G67" s="4">
        <v>93.41748046875</v>
      </c>
      <c r="H67" s="4">
        <v>94.818672180175781</v>
      </c>
      <c r="I67" s="4">
        <v>96.237602233886719</v>
      </c>
      <c r="J67" s="4">
        <v>97.674514770507813</v>
      </c>
      <c r="K67" s="4">
        <v>98.651283264160156</v>
      </c>
      <c r="L67" s="4">
        <v>99.637863159179688</v>
      </c>
      <c r="M67" s="4">
        <v>100.63773345947266</v>
      </c>
      <c r="N67" s="4">
        <v>101.65105438232422</v>
      </c>
      <c r="O67" s="4">
        <v>103.17581939697266</v>
      </c>
      <c r="P67" s="4">
        <v>104.72345733642578</v>
      </c>
      <c r="Q67" s="4">
        <v>106.29430389404297</v>
      </c>
      <c r="R67" s="4">
        <v>107.88872528076172</v>
      </c>
      <c r="S67" s="4">
        <v>109.50704956054688</v>
      </c>
      <c r="T67" s="4">
        <v>111.149658203125</v>
      </c>
      <c r="U67" s="4">
        <v>112.81690216064453</v>
      </c>
      <c r="V67" s="4">
        <v>114.5091552734375</v>
      </c>
      <c r="W67" s="4">
        <v>116.22679138183594</v>
      </c>
      <c r="X67" s="4">
        <v>117.97019958496094</v>
      </c>
      <c r="Y67" s="4">
        <v>119.73974609375</v>
      </c>
      <c r="Z67" s="4">
        <v>121.53584289550781</v>
      </c>
      <c r="AA67" s="4">
        <v>123.35888671875</v>
      </c>
      <c r="AB67" s="4">
        <v>125.20926666259766</v>
      </c>
      <c r="AC67" s="4">
        <v>127.08740234375</v>
      </c>
      <c r="AD67" s="4">
        <v>128.99371337890625</v>
      </c>
      <c r="AE67" s="4">
        <v>130.92861938476563</v>
      </c>
      <c r="AF67" s="4">
        <v>132.89254760742188</v>
      </c>
      <c r="AG67" s="4">
        <v>134.88594055175781</v>
      </c>
      <c r="AH67" s="4">
        <v>136.90922546386719</v>
      </c>
      <c r="AI67" s="4">
        <v>138.96287536621094</v>
      </c>
      <c r="AJ67" s="4">
        <v>141.04731750488281</v>
      </c>
      <c r="AK67" s="4">
        <v>143.16302490234375</v>
      </c>
      <c r="AL67" s="4">
        <v>145.31047058105469</v>
      </c>
      <c r="AM67" s="4">
        <v>147.49006652832031</v>
      </c>
      <c r="AN67" s="4">
        <v>149.7022705078125</v>
      </c>
      <c r="AO67" s="4">
        <v>151.94035339355469</v>
      </c>
      <c r="AP67" s="4">
        <v>154.20480346679688</v>
      </c>
      <c r="AQ67" s="4">
        <v>155.43280029296875</v>
      </c>
      <c r="AR67" s="4">
        <v>156.68653869628906</v>
      </c>
      <c r="AS67" s="4">
        <v>0</v>
      </c>
      <c r="AT67" s="4">
        <v>0</v>
      </c>
      <c r="AU67" s="4">
        <v>0</v>
      </c>
      <c r="AV67" s="4">
        <v>0</v>
      </c>
      <c r="AW67" s="4">
        <v>0</v>
      </c>
      <c r="AX67" s="4">
        <v>0</v>
      </c>
      <c r="AY67" s="4">
        <v>0</v>
      </c>
      <c r="AZ67" s="4">
        <v>0</v>
      </c>
      <c r="BA67" s="4">
        <v>0</v>
      </c>
      <c r="BB67" s="4">
        <v>0</v>
      </c>
      <c r="BC67" s="4">
        <v>0</v>
      </c>
      <c r="BD67" s="4">
        <v>0</v>
      </c>
      <c r="BE67" s="4">
        <v>0</v>
      </c>
      <c r="BF67" s="4">
        <v>0</v>
      </c>
      <c r="BG67" s="4">
        <v>0</v>
      </c>
      <c r="BH67" s="4">
        <v>0</v>
      </c>
      <c r="BI67" s="4">
        <v>0</v>
      </c>
      <c r="BJ67" s="4">
        <v>0</v>
      </c>
      <c r="BK67" s="4">
        <v>0</v>
      </c>
      <c r="BL67" s="4">
        <v>0</v>
      </c>
    </row>
    <row r="68" spans="1:64" x14ac:dyDescent="0.35">
      <c r="C68" s="2" t="s">
        <v>9</v>
      </c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</row>
    <row r="69" spans="1:64" ht="15" thickBot="1" x14ac:dyDescent="0.4">
      <c r="A69" s="1"/>
    </row>
    <row r="70" spans="1:64" ht="15" thickBot="1" x14ac:dyDescent="0.4">
      <c r="A70" s="1"/>
      <c r="C70" s="2" t="s">
        <v>94</v>
      </c>
      <c r="D70" s="33">
        <f>I20</f>
        <v>0</v>
      </c>
      <c r="E70" s="4">
        <f t="shared" ref="E70:AJ70" si="24">E27*E33</f>
        <v>134.71131224632262</v>
      </c>
      <c r="F70" s="4">
        <f t="shared" si="24"/>
        <v>136.73198109223776</v>
      </c>
      <c r="G70" s="4">
        <f t="shared" si="24"/>
        <v>138.78292635337849</v>
      </c>
      <c r="H70" s="4">
        <f t="shared" si="24"/>
        <v>140.86456950865482</v>
      </c>
      <c r="I70" s="4">
        <f t="shared" si="24"/>
        <v>142.97255450503812</v>
      </c>
      <c r="J70" s="4">
        <f t="shared" si="24"/>
        <v>145.10726096434192</v>
      </c>
      <c r="K70" s="4">
        <f t="shared" si="24"/>
        <v>146.55836943615063</v>
      </c>
      <c r="L70" s="4">
        <f t="shared" si="24"/>
        <v>148.02405815492486</v>
      </c>
      <c r="M70" s="4">
        <f t="shared" si="24"/>
        <v>149.50948560669542</v>
      </c>
      <c r="N70" s="4">
        <f t="shared" si="24"/>
        <v>151.01489121019279</v>
      </c>
      <c r="O70" s="4">
        <f t="shared" si="24"/>
        <v>153.28011457834566</v>
      </c>
      <c r="P70" s="4">
        <f t="shared" si="24"/>
        <v>155.57931629702082</v>
      </c>
      <c r="Q70" s="4">
        <f t="shared" si="24"/>
        <v>157.91300604147614</v>
      </c>
      <c r="R70" s="4">
        <f t="shared" si="24"/>
        <v>160.28170113209825</v>
      </c>
      <c r="S70" s="4">
        <f t="shared" si="24"/>
        <v>162.68592664907973</v>
      </c>
      <c r="T70" s="4">
        <f t="shared" si="24"/>
        <v>165.12621554881591</v>
      </c>
      <c r="U70" s="4">
        <f t="shared" si="24"/>
        <v>167.60310878204811</v>
      </c>
      <c r="V70" s="4">
        <f t="shared" si="24"/>
        <v>170.11715541377882</v>
      </c>
      <c r="W70" s="4">
        <f t="shared" si="24"/>
        <v>172.66891274498548</v>
      </c>
      <c r="X70" s="4">
        <f t="shared" si="24"/>
        <v>175.25894643616024</v>
      </c>
      <c r="Y70" s="4">
        <f t="shared" si="24"/>
        <v>177.88783063270265</v>
      </c>
      <c r="Z70" s="4">
        <f t="shared" si="24"/>
        <v>180.55614809219315</v>
      </c>
      <c r="AA70" s="4">
        <f t="shared" si="24"/>
        <v>183.26449031357603</v>
      </c>
      <c r="AB70" s="4">
        <f t="shared" si="24"/>
        <v>186.01345766827964</v>
      </c>
      <c r="AC70" s="4">
        <f t="shared" si="24"/>
        <v>188.80365953330383</v>
      </c>
      <c r="AD70" s="4">
        <f t="shared" si="24"/>
        <v>191.63571442630337</v>
      </c>
      <c r="AE70" s="4">
        <f t="shared" si="24"/>
        <v>194.51025014269771</v>
      </c>
      <c r="AF70" s="4">
        <f t="shared" si="24"/>
        <v>197.42790389483702</v>
      </c>
      <c r="AG70" s="4">
        <f t="shared" si="24"/>
        <v>200.38932245323335</v>
      </c>
      <c r="AH70" s="4">
        <f t="shared" si="24"/>
        <v>203.39516228988902</v>
      </c>
      <c r="AI70" s="4">
        <f t="shared" si="24"/>
        <v>206.44608972051159</v>
      </c>
      <c r="AJ70" s="4">
        <f t="shared" si="24"/>
        <v>209.54278104897321</v>
      </c>
      <c r="AK70" s="4">
        <f t="shared" ref="AK70:BL70" si="25">AK27*AK33</f>
        <v>212.68592223227498</v>
      </c>
      <c r="AL70" s="4">
        <f t="shared" si="25"/>
        <v>215.87620903857805</v>
      </c>
      <c r="AM70" s="4">
        <f t="shared" si="25"/>
        <v>219.11427563445906</v>
      </c>
      <c r="AN70" s="4">
        <f t="shared" si="25"/>
        <v>222.40076717368683</v>
      </c>
      <c r="AO70" s="4">
        <f t="shared" si="25"/>
        <v>225.72570692187961</v>
      </c>
      <c r="AP70" s="4">
        <f t="shared" si="25"/>
        <v>229.08981766791723</v>
      </c>
      <c r="AQ70" s="4">
        <f t="shared" si="25"/>
        <v>230.91416827355553</v>
      </c>
      <c r="AR70" s="4">
        <f t="shared" si="25"/>
        <v>232.77673480073389</v>
      </c>
      <c r="AS70" s="4">
        <f t="shared" si="25"/>
        <v>0</v>
      </c>
      <c r="AT70" s="4">
        <f t="shared" si="25"/>
        <v>0</v>
      </c>
      <c r="AU70" s="4">
        <f t="shared" si="25"/>
        <v>0</v>
      </c>
      <c r="AV70" s="4">
        <f t="shared" si="25"/>
        <v>0</v>
      </c>
      <c r="AW70" s="4">
        <f t="shared" si="25"/>
        <v>0</v>
      </c>
      <c r="AX70" s="4">
        <f t="shared" si="25"/>
        <v>0</v>
      </c>
      <c r="AY70" s="4">
        <f t="shared" si="25"/>
        <v>0</v>
      </c>
      <c r="AZ70" s="4">
        <f t="shared" si="25"/>
        <v>0</v>
      </c>
      <c r="BA70" s="4">
        <f t="shared" si="25"/>
        <v>0</v>
      </c>
      <c r="BB70" s="4">
        <f t="shared" si="25"/>
        <v>0</v>
      </c>
      <c r="BC70" s="4">
        <f t="shared" si="25"/>
        <v>0</v>
      </c>
      <c r="BD70" s="4">
        <f t="shared" si="25"/>
        <v>0</v>
      </c>
      <c r="BE70" s="4">
        <f t="shared" si="25"/>
        <v>0</v>
      </c>
      <c r="BF70" s="4">
        <f t="shared" si="25"/>
        <v>0</v>
      </c>
      <c r="BG70" s="4">
        <f t="shared" si="25"/>
        <v>0</v>
      </c>
      <c r="BH70" s="4">
        <f t="shared" si="25"/>
        <v>0</v>
      </c>
      <c r="BI70" s="4">
        <f t="shared" si="25"/>
        <v>0</v>
      </c>
      <c r="BJ70" s="4">
        <f t="shared" si="25"/>
        <v>0</v>
      </c>
      <c r="BK70" s="4">
        <f t="shared" si="25"/>
        <v>0</v>
      </c>
      <c r="BL70" s="4">
        <f t="shared" si="25"/>
        <v>0</v>
      </c>
    </row>
    <row r="71" spans="1:64" x14ac:dyDescent="0.35">
      <c r="A71" s="1"/>
      <c r="D71" s="12"/>
    </row>
    <row r="72" spans="1:64" x14ac:dyDescent="0.35">
      <c r="A72" s="1"/>
      <c r="C72" s="2" t="s">
        <v>103</v>
      </c>
      <c r="D72" s="12"/>
      <c r="E72" s="4">
        <f t="shared" ref="E72:AJ72" ca="1" si="26">E54-D54</f>
        <v>4.1418769181004791</v>
      </c>
      <c r="F72" s="4">
        <f t="shared" ca="1" si="26"/>
        <v>4.2006511140723433</v>
      </c>
      <c r="G72" s="4">
        <f t="shared" ca="1" si="26"/>
        <v>4.2570324026344224</v>
      </c>
      <c r="H72" s="4">
        <f t="shared" ca="1" si="26"/>
        <v>3.8326072664542608</v>
      </c>
      <c r="I72" s="4">
        <f t="shared" ca="1" si="26"/>
        <v>3.4002651729266518</v>
      </c>
      <c r="J72" s="4">
        <f t="shared" ca="1" si="26"/>
        <v>2.9632228683295239</v>
      </c>
      <c r="K72" s="4">
        <f t="shared" ca="1" si="26"/>
        <v>2.9997713217538262</v>
      </c>
      <c r="L72" s="4">
        <f t="shared" ca="1" si="26"/>
        <v>3.5379536158299629</v>
      </c>
      <c r="M72" s="4">
        <f t="shared" ca="1" si="26"/>
        <v>4.085720872900481</v>
      </c>
      <c r="N72" s="4">
        <f t="shared" ca="1" si="26"/>
        <v>4.6432550078801569</v>
      </c>
      <c r="O72" s="4">
        <f t="shared" ca="1" si="26"/>
        <v>4.7129038329983928</v>
      </c>
      <c r="P72" s="4">
        <f t="shared" ca="1" si="26"/>
        <v>4.7835973904934121</v>
      </c>
      <c r="Q72" s="4">
        <f t="shared" ca="1" si="26"/>
        <v>4.8553513513507482</v>
      </c>
      <c r="R72" s="4">
        <f t="shared" ca="1" si="26"/>
        <v>4.9281816216210359</v>
      </c>
      <c r="S72" s="4">
        <f t="shared" ca="1" si="26"/>
        <v>5.0021043459453267</v>
      </c>
      <c r="T72" s="4">
        <f t="shared" ca="1" si="26"/>
        <v>5.077135911134576</v>
      </c>
      <c r="U72" s="4">
        <f t="shared" ca="1" si="26"/>
        <v>5.1532929498014823</v>
      </c>
      <c r="V72" s="4">
        <f t="shared" ca="1" si="26"/>
        <v>5.2305923440486026</v>
      </c>
      <c r="W72" s="4">
        <f t="shared" ca="1" si="26"/>
        <v>5.3090512292093308</v>
      </c>
      <c r="X72" s="4">
        <f t="shared" ca="1" si="26"/>
        <v>5.3886869976474259</v>
      </c>
      <c r="Y72" s="4">
        <f t="shared" ca="1" si="26"/>
        <v>5.4695173026121324</v>
      </c>
      <c r="Z72" s="4">
        <f t="shared" ca="1" si="26"/>
        <v>5.5515600621513386</v>
      </c>
      <c r="AA72" s="4">
        <f t="shared" ca="1" si="26"/>
        <v>5.6348334630835666</v>
      </c>
      <c r="AB72" s="4">
        <f t="shared" ca="1" si="26"/>
        <v>5.719355965029763</v>
      </c>
      <c r="AC72" s="4">
        <f t="shared" ca="1" si="26"/>
        <v>5.8051463045044329</v>
      </c>
      <c r="AD72" s="4">
        <f t="shared" ca="1" si="26"/>
        <v>5.8922234990542961</v>
      </c>
      <c r="AE72" s="4">
        <f t="shared" ca="1" si="26"/>
        <v>5.9806068514441222</v>
      </c>
      <c r="AF72" s="4">
        <f t="shared" ca="1" si="26"/>
        <v>6.0703159517087215</v>
      </c>
      <c r="AG72" s="4">
        <f t="shared" ca="1" si="26"/>
        <v>6.1613706793260121</v>
      </c>
      <c r="AH72" s="4">
        <f t="shared" ca="1" si="26"/>
        <v>6.253790881221164</v>
      </c>
      <c r="AI72" s="4">
        <f t="shared" ca="1" si="26"/>
        <v>6.3475963824124619</v>
      </c>
      <c r="AJ72" s="4">
        <f t="shared" ca="1" si="26"/>
        <v>6.4427588194682244</v>
      </c>
      <c r="AK72" s="4">
        <f t="shared" ref="AK72:BL72" ca="1" si="27">AK54-AJ54</f>
        <v>6.5392507269407361</v>
      </c>
      <c r="AL72" s="4">
        <f t="shared" ca="1" si="27"/>
        <v>6.6298882361801361</v>
      </c>
      <c r="AM72" s="4">
        <f t="shared" ca="1" si="27"/>
        <v>6.714731000579377</v>
      </c>
      <c r="AN72" s="4">
        <f t="shared" ca="1" si="27"/>
        <v>5.7305355532481599</v>
      </c>
      <c r="AO72" s="4">
        <f t="shared" ca="1" si="27"/>
        <v>4.7461837487419416</v>
      </c>
      <c r="AP72" s="4">
        <f t="shared" ca="1" si="27"/>
        <v>-154.20480365401801</v>
      </c>
      <c r="AQ72" s="4">
        <f t="shared" ca="1" si="27"/>
        <v>-155.43280946327815</v>
      </c>
      <c r="AR72" s="4">
        <f t="shared" ca="1" si="27"/>
        <v>-156.68653915122275</v>
      </c>
      <c r="AS72" s="4">
        <f t="shared" ca="1" si="27"/>
        <v>0</v>
      </c>
      <c r="AT72" s="4">
        <f t="shared" ca="1" si="27"/>
        <v>0</v>
      </c>
      <c r="AU72" s="4">
        <f t="shared" ca="1" si="27"/>
        <v>0</v>
      </c>
      <c r="AV72" s="4">
        <f t="shared" ca="1" si="27"/>
        <v>0</v>
      </c>
      <c r="AW72" s="4">
        <f t="shared" ca="1" si="27"/>
        <v>0</v>
      </c>
      <c r="AX72" s="4">
        <f t="shared" ca="1" si="27"/>
        <v>0</v>
      </c>
      <c r="AY72" s="4">
        <f t="shared" ca="1" si="27"/>
        <v>0</v>
      </c>
      <c r="AZ72" s="4">
        <f t="shared" ca="1" si="27"/>
        <v>0</v>
      </c>
      <c r="BA72" s="4">
        <f t="shared" ca="1" si="27"/>
        <v>0</v>
      </c>
      <c r="BB72" s="4">
        <f t="shared" ca="1" si="27"/>
        <v>0</v>
      </c>
      <c r="BC72" s="4">
        <f t="shared" ca="1" si="27"/>
        <v>0</v>
      </c>
      <c r="BD72" s="4">
        <f t="shared" ca="1" si="27"/>
        <v>0</v>
      </c>
      <c r="BE72" s="4">
        <f t="shared" ca="1" si="27"/>
        <v>0</v>
      </c>
      <c r="BF72" s="4">
        <f t="shared" ca="1" si="27"/>
        <v>0</v>
      </c>
      <c r="BG72" s="4">
        <f t="shared" ca="1" si="27"/>
        <v>0</v>
      </c>
      <c r="BH72" s="4">
        <f t="shared" ca="1" si="27"/>
        <v>0</v>
      </c>
      <c r="BI72" s="4">
        <f t="shared" ca="1" si="27"/>
        <v>0</v>
      </c>
      <c r="BJ72" s="4">
        <f t="shared" ca="1" si="27"/>
        <v>0</v>
      </c>
      <c r="BK72" s="4">
        <f t="shared" ca="1" si="27"/>
        <v>0</v>
      </c>
      <c r="BL72" s="4">
        <f t="shared" ca="1" si="27"/>
        <v>0</v>
      </c>
    </row>
    <row r="73" spans="1:64" x14ac:dyDescent="0.35">
      <c r="A73" s="1"/>
      <c r="D73" s="4"/>
      <c r="AG73" s="4"/>
      <c r="AH73" s="4"/>
    </row>
    <row r="74" spans="1:64" x14ac:dyDescent="0.35">
      <c r="A74" s="1"/>
      <c r="C74" s="2" t="s">
        <v>101</v>
      </c>
      <c r="D74" s="4">
        <f>-D19-D20+D50</f>
        <v>-1069.0328063964848</v>
      </c>
      <c r="E74" s="4">
        <f t="shared" ref="E74:AJ74" ca="1" si="28">E31-E49-E51-E72</f>
        <v>37.131323622259202</v>
      </c>
      <c r="F74" s="4">
        <f t="shared" ca="1" si="28"/>
        <v>37.691647998318494</v>
      </c>
      <c r="G74" s="4">
        <f t="shared" ca="1" si="28"/>
        <v>38.263674388935122</v>
      </c>
      <c r="H74" s="4">
        <f t="shared" ca="1" si="28"/>
        <v>39.325977937054887</v>
      </c>
      <c r="I74" s="4">
        <f t="shared" ca="1" si="28"/>
        <v>40.409053330360585</v>
      </c>
      <c r="J74" s="4">
        <f t="shared" ca="1" si="28"/>
        <v>41.50988708314889</v>
      </c>
      <c r="K74" s="4">
        <f t="shared" ca="1" si="28"/>
        <v>41.918045589719718</v>
      </c>
      <c r="L74" s="4">
        <f t="shared" ca="1" si="28"/>
        <v>41.82897077078723</v>
      </c>
      <c r="M74" s="4">
        <f t="shared" ca="1" si="28"/>
        <v>41.731381374542828</v>
      </c>
      <c r="N74" s="4">
        <f t="shared" ca="1" si="28"/>
        <v>41.625077897776883</v>
      </c>
      <c r="O74" s="4">
        <f t="shared" ca="1" si="28"/>
        <v>42.249454066243509</v>
      </c>
      <c r="P74" s="4">
        <f t="shared" ca="1" si="28"/>
        <v>42.8831958772371</v>
      </c>
      <c r="Q74" s="4">
        <f t="shared" ca="1" si="28"/>
        <v>43.526443815395723</v>
      </c>
      <c r="R74" s="4">
        <f t="shared" ca="1" si="28"/>
        <v>44.179340472626642</v>
      </c>
      <c r="S74" s="4">
        <f t="shared" ca="1" si="28"/>
        <v>44.842030579716045</v>
      </c>
      <c r="T74" s="4">
        <f t="shared" ca="1" si="28"/>
        <v>45.514661038411717</v>
      </c>
      <c r="U74" s="4">
        <f t="shared" ca="1" si="28"/>
        <v>46.197380953988002</v>
      </c>
      <c r="V74" s="4">
        <f t="shared" ca="1" si="28"/>
        <v>46.890341668297708</v>
      </c>
      <c r="W74" s="4">
        <f t="shared" ca="1" si="28"/>
        <v>47.593696793322167</v>
      </c>
      <c r="X74" s="4">
        <f t="shared" ca="1" si="28"/>
        <v>48.307602245222029</v>
      </c>
      <c r="Y74" s="4">
        <f t="shared" ca="1" si="28"/>
        <v>49.032216278900371</v>
      </c>
      <c r="Z74" s="4">
        <f t="shared" ca="1" si="28"/>
        <v>49.767699523083834</v>
      </c>
      <c r="AA74" s="4">
        <f t="shared" ca="1" si="28"/>
        <v>50.514215015930134</v>
      </c>
      <c r="AB74" s="4">
        <f t="shared" ca="1" si="28"/>
        <v>51.271928241169142</v>
      </c>
      <c r="AC74" s="4">
        <f t="shared" ca="1" si="28"/>
        <v>52.041007164787459</v>
      </c>
      <c r="AD74" s="4">
        <f t="shared" ca="1" si="28"/>
        <v>52.821622272276983</v>
      </c>
      <c r="AE74" s="4">
        <f t="shared" ca="1" si="28"/>
        <v>53.613946606457233</v>
      </c>
      <c r="AF74" s="4">
        <f t="shared" ca="1" si="28"/>
        <v>54.418155808061925</v>
      </c>
      <c r="AG74" s="4">
        <f t="shared" ca="1" si="28"/>
        <v>55.234428156858819</v>
      </c>
      <c r="AH74" s="4">
        <f t="shared" ca="1" si="28"/>
        <v>56.062944937602559</v>
      </c>
      <c r="AI74" s="4">
        <f t="shared" ca="1" si="28"/>
        <v>56.903890476201504</v>
      </c>
      <c r="AJ74" s="4">
        <f t="shared" ca="1" si="28"/>
        <v>57.757500353700863</v>
      </c>
      <c r="AK74" s="4">
        <f t="shared" ref="AK74:BL74" ca="1" si="29">AK31-AK49-AK51-AK72</f>
        <v>58.624012692216752</v>
      </c>
      <c r="AL74" s="4">
        <f t="shared" ca="1" si="29"/>
        <v>59.510825498799619</v>
      </c>
      <c r="AM74" s="4">
        <f t="shared" ca="1" si="29"/>
        <v>60.418144960781433</v>
      </c>
      <c r="AN74" s="4">
        <f t="shared" ca="1" si="29"/>
        <v>62.409483380743438</v>
      </c>
      <c r="AO74" s="4">
        <f t="shared" ca="1" si="29"/>
        <v>64.423388085459109</v>
      </c>
      <c r="AP74" s="4">
        <f t="shared" ca="1" si="29"/>
        <v>224.42657614523202</v>
      </c>
      <c r="AQ74" s="4">
        <f t="shared" ca="1" si="29"/>
        <v>227.79297478741051</v>
      </c>
      <c r="AR74" s="4">
        <f t="shared" ca="1" si="29"/>
        <v>231.20986940922165</v>
      </c>
      <c r="AS74" s="4">
        <f t="shared" ca="1" si="29"/>
        <v>234.67801745035996</v>
      </c>
      <c r="AT74" s="4">
        <f t="shared" ca="1" si="29"/>
        <v>238.19818771211533</v>
      </c>
      <c r="AU74" s="4">
        <f t="shared" ca="1" si="29"/>
        <v>241.77116052779704</v>
      </c>
      <c r="AV74" s="4">
        <f t="shared" ca="1" si="29"/>
        <v>245.39772793571396</v>
      </c>
      <c r="AW74" s="4">
        <f t="shared" ca="1" si="29"/>
        <v>249.07869385474964</v>
      </c>
      <c r="AX74" s="4">
        <f t="shared" ca="1" si="29"/>
        <v>252.81487426257087</v>
      </c>
      <c r="AY74" s="4">
        <f t="shared" ca="1" si="29"/>
        <v>256.60709737650939</v>
      </c>
      <c r="AZ74" s="4">
        <f t="shared" ca="1" si="29"/>
        <v>260.45620383715698</v>
      </c>
      <c r="BA74" s="4">
        <f t="shared" ca="1" si="29"/>
        <v>264.36304689471433</v>
      </c>
      <c r="BB74" s="4">
        <f t="shared" ca="1" si="29"/>
        <v>268.32849259813503</v>
      </c>
      <c r="BC74" s="4">
        <f t="shared" ca="1" si="29"/>
        <v>272.35341998710703</v>
      </c>
      <c r="BD74" s="4">
        <f t="shared" ca="1" si="29"/>
        <v>276.43872128691362</v>
      </c>
      <c r="BE74" s="4">
        <f t="shared" ca="1" si="29"/>
        <v>280.58530210621728</v>
      </c>
      <c r="BF74" s="4">
        <f t="shared" ca="1" si="29"/>
        <v>284.79408163781051</v>
      </c>
      <c r="BG74" s="4">
        <f t="shared" ca="1" si="29"/>
        <v>289.06599286237764</v>
      </c>
      <c r="BH74" s="4">
        <f t="shared" ca="1" si="29"/>
        <v>293.40198275531327</v>
      </c>
      <c r="BI74" s="4">
        <f t="shared" ca="1" si="29"/>
        <v>297.80301249664296</v>
      </c>
      <c r="BJ74" s="4">
        <f t="shared" ca="1" si="29"/>
        <v>302.27005768409259</v>
      </c>
      <c r="BK74" s="4">
        <f t="shared" ca="1" si="29"/>
        <v>306.80410854935394</v>
      </c>
      <c r="BL74" s="4">
        <f t="shared" ca="1" si="29"/>
        <v>311.40617017759422</v>
      </c>
    </row>
    <row r="75" spans="1:64" x14ac:dyDescent="0.35">
      <c r="A75" s="1"/>
      <c r="C75" s="2" t="s">
        <v>100</v>
      </c>
      <c r="D75" s="12">
        <f ca="1">IRR(74:74)</f>
        <v>5.8107792685288207E-2</v>
      </c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94" r:id="rId3" name="Button 10">
              <controlPr defaultSize="0" print="0" autoFill="0" autoPict="0" macro="[0]!dsra_copy_paste">
                <anchor moveWithCells="1" sizeWithCells="1">
                  <from>
                    <xdr:col>3</xdr:col>
                    <xdr:colOff>50800</xdr:colOff>
                    <xdr:row>73</xdr:row>
                    <xdr:rowOff>88900</xdr:rowOff>
                  </from>
                  <to>
                    <xdr:col>4</xdr:col>
                    <xdr:colOff>114300</xdr:colOff>
                    <xdr:row>74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5" r:id="rId4" name="Button 11">
              <controlPr defaultSize="0" print="0" autoFill="0" autoPict="0" macro="[0]!dsra_copy_paste">
                <anchor moveWithCells="1" sizeWithCells="1">
                  <from>
                    <xdr:col>6</xdr:col>
                    <xdr:colOff>50800</xdr:colOff>
                    <xdr:row>11</xdr:row>
                    <xdr:rowOff>31750</xdr:rowOff>
                  </from>
                  <to>
                    <xdr:col>6</xdr:col>
                    <xdr:colOff>723900</xdr:colOff>
                    <xdr:row>12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6" r:id="rId5" name="Button 12">
              <controlPr defaultSize="0" print="0" autoFill="0" autoPict="0" macro="[0]!Int_inc_function">
                <anchor moveWithCells="1" sizeWithCells="1">
                  <from>
                    <xdr:col>6</xdr:col>
                    <xdr:colOff>50800</xdr:colOff>
                    <xdr:row>8</xdr:row>
                    <xdr:rowOff>31750</xdr:rowOff>
                  </from>
                  <to>
                    <xdr:col>6</xdr:col>
                    <xdr:colOff>723900</xdr:colOff>
                    <xdr:row>9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5">
    <tabColor rgb="FFFFFF00"/>
  </sheetPr>
  <dimension ref="A1:BL71"/>
  <sheetViews>
    <sheetView zoomScale="80" zoomScaleNormal="80" workbookViewId="0">
      <pane xSplit="3" ySplit="9" topLeftCell="D10" activePane="bottomRight" state="frozen"/>
      <selection activeCell="E21" sqref="E21"/>
      <selection pane="topRight" activeCell="E21" sqref="E21"/>
      <selection pane="bottomLeft" activeCell="E21" sqref="E21"/>
      <selection pane="bottomRight" activeCell="H1" sqref="H1"/>
    </sheetView>
  </sheetViews>
  <sheetFormatPr defaultColWidth="9.1796875" defaultRowHeight="14.5" outlineLevelRow="1" x14ac:dyDescent="0.35"/>
  <cols>
    <col min="1" max="2" width="1.26953125" style="2" customWidth="1"/>
    <col min="3" max="3" width="38.81640625" style="2" customWidth="1"/>
    <col min="4" max="4" width="12.7265625" style="2" bestFit="1" customWidth="1"/>
    <col min="5" max="64" width="10.81640625" style="2" customWidth="1"/>
    <col min="65" max="16384" width="9.1796875" style="2"/>
  </cols>
  <sheetData>
    <row r="1" spans="1:18" s="40" customFormat="1" x14ac:dyDescent="0.35">
      <c r="A1" s="40" t="s">
        <v>77</v>
      </c>
    </row>
    <row r="2" spans="1:18" outlineLevel="1" x14ac:dyDescent="0.35">
      <c r="A2" s="1"/>
      <c r="B2" s="2" t="s">
        <v>65</v>
      </c>
      <c r="D2" s="51">
        <v>1</v>
      </c>
      <c r="E2" s="51">
        <v>5</v>
      </c>
      <c r="F2" s="51">
        <v>10</v>
      </c>
      <c r="K2" s="2" t="s">
        <v>132</v>
      </c>
    </row>
    <row r="3" spans="1:18" outlineLevel="1" x14ac:dyDescent="0.35">
      <c r="A3" s="1"/>
      <c r="B3" s="2" t="s">
        <v>24</v>
      </c>
      <c r="D3" s="50">
        <v>0.03</v>
      </c>
      <c r="E3" s="50">
        <v>0.04</v>
      </c>
      <c r="F3" s="50">
        <v>0.05</v>
      </c>
      <c r="K3" s="2" t="s">
        <v>232</v>
      </c>
      <c r="R3" s="2" t="s">
        <v>129</v>
      </c>
    </row>
    <row r="4" spans="1:18" outlineLevel="1" x14ac:dyDescent="0.35">
      <c r="A4" s="1"/>
      <c r="B4" s="2" t="s">
        <v>84</v>
      </c>
      <c r="D4" s="52">
        <v>1.3</v>
      </c>
      <c r="E4" s="4"/>
      <c r="F4" s="4"/>
      <c r="K4" s="2" t="s">
        <v>134</v>
      </c>
      <c r="R4" s="2" t="s">
        <v>126</v>
      </c>
    </row>
    <row r="5" spans="1:18" outlineLevel="1" x14ac:dyDescent="0.35">
      <c r="A5" s="1"/>
      <c r="D5" s="4"/>
      <c r="E5" s="12"/>
      <c r="F5" s="12"/>
      <c r="R5" s="2" t="s">
        <v>127</v>
      </c>
    </row>
    <row r="6" spans="1:18" outlineLevel="1" x14ac:dyDescent="0.35">
      <c r="A6" s="1"/>
      <c r="B6" s="2" t="s">
        <v>85</v>
      </c>
      <c r="D6" s="51">
        <v>20</v>
      </c>
      <c r="K6" s="2" t="s">
        <v>140</v>
      </c>
      <c r="R6" s="2" t="s">
        <v>128</v>
      </c>
    </row>
    <row r="7" spans="1:18" outlineLevel="1" x14ac:dyDescent="0.35">
      <c r="A7" s="1"/>
      <c r="B7" s="2" t="s">
        <v>78</v>
      </c>
      <c r="D7" s="51">
        <v>24</v>
      </c>
      <c r="H7" s="12"/>
      <c r="K7" s="2" t="s">
        <v>141</v>
      </c>
    </row>
    <row r="8" spans="1:18" outlineLevel="1" x14ac:dyDescent="0.35">
      <c r="A8" s="1"/>
      <c r="B8" s="2" t="s">
        <v>82</v>
      </c>
      <c r="D8" s="2">
        <v>3</v>
      </c>
      <c r="H8" s="12"/>
      <c r="K8" s="2" t="s">
        <v>142</v>
      </c>
      <c r="R8" s="2" t="s">
        <v>130</v>
      </c>
    </row>
    <row r="9" spans="1:18" outlineLevel="1" x14ac:dyDescent="0.35">
      <c r="A9" s="1"/>
      <c r="B9" s="2" t="s">
        <v>79</v>
      </c>
      <c r="D9" s="53">
        <v>0.02</v>
      </c>
      <c r="H9" s="4"/>
      <c r="K9" s="2" t="s">
        <v>143</v>
      </c>
      <c r="R9" s="2" t="s">
        <v>131</v>
      </c>
    </row>
    <row r="10" spans="1:18" outlineLevel="1" x14ac:dyDescent="0.35">
      <c r="A10" s="1"/>
      <c r="R10" s="2" t="s">
        <v>137</v>
      </c>
    </row>
    <row r="11" spans="1:18" outlineLevel="1" x14ac:dyDescent="0.35">
      <c r="A11" s="1"/>
      <c r="B11" s="2" t="s">
        <v>66</v>
      </c>
      <c r="D11" s="51">
        <v>130</v>
      </c>
      <c r="K11" s="2" t="s">
        <v>117</v>
      </c>
    </row>
    <row r="12" spans="1:18" outlineLevel="1" x14ac:dyDescent="0.35">
      <c r="A12" s="1"/>
      <c r="D12" s="51">
        <v>1</v>
      </c>
      <c r="E12" s="51">
        <v>4</v>
      </c>
      <c r="F12" s="51">
        <v>6</v>
      </c>
      <c r="K12" s="2" t="s">
        <v>118</v>
      </c>
    </row>
    <row r="13" spans="1:18" outlineLevel="1" x14ac:dyDescent="0.35">
      <c r="A13" s="1"/>
      <c r="B13" s="2" t="s">
        <v>38</v>
      </c>
      <c r="D13" s="53">
        <v>0.03</v>
      </c>
      <c r="E13" s="53">
        <v>0.02</v>
      </c>
      <c r="F13" s="53">
        <v>0.03</v>
      </c>
      <c r="K13" s="2" t="s">
        <v>119</v>
      </c>
    </row>
    <row r="14" spans="1:18" outlineLevel="1" x14ac:dyDescent="0.35">
      <c r="A14" s="1"/>
      <c r="K14" s="2" t="s">
        <v>120</v>
      </c>
    </row>
    <row r="15" spans="1:18" outlineLevel="1" x14ac:dyDescent="0.35">
      <c r="A15" s="1"/>
      <c r="B15" s="2" t="s">
        <v>12</v>
      </c>
      <c r="D15" s="52">
        <v>4000</v>
      </c>
      <c r="G15" s="32" t="s">
        <v>97</v>
      </c>
      <c r="H15" s="32" t="s">
        <v>10</v>
      </c>
      <c r="I15" s="32" t="s">
        <v>15</v>
      </c>
      <c r="J15" s="32"/>
      <c r="K15" s="2" t="s">
        <v>233</v>
      </c>
    </row>
    <row r="16" spans="1:18" outlineLevel="1" x14ac:dyDescent="0.35">
      <c r="A16" s="1"/>
      <c r="B16" s="2" t="s">
        <v>95</v>
      </c>
      <c r="D16" s="4">
        <f>E61</f>
        <v>276.1312255859375</v>
      </c>
      <c r="G16" s="31">
        <f>E61</f>
        <v>276.1312255859375</v>
      </c>
      <c r="H16" s="30"/>
      <c r="I16" s="30"/>
      <c r="J16" s="28"/>
      <c r="N16" s="4"/>
      <c r="O16" s="4"/>
      <c r="P16" s="4"/>
    </row>
    <row r="17" spans="1:64" outlineLevel="1" x14ac:dyDescent="0.35">
      <c r="A17" s="1"/>
      <c r="B17" s="2" t="s">
        <v>86</v>
      </c>
      <c r="D17" s="53">
        <v>0.75</v>
      </c>
      <c r="I17" s="26"/>
    </row>
    <row r="18" spans="1:64" outlineLevel="1" x14ac:dyDescent="0.35">
      <c r="A18" s="1"/>
      <c r="B18" s="2" t="s">
        <v>93</v>
      </c>
      <c r="D18" s="4">
        <f>(D15+D16)*D17</f>
        <v>3207.0984191894531</v>
      </c>
    </row>
    <row r="19" spans="1:64" s="10" customFormat="1" outlineLevel="1" x14ac:dyDescent="0.35">
      <c r="A19" s="22"/>
    </row>
    <row r="20" spans="1:64" s="10" customFormat="1" outlineLevel="1" x14ac:dyDescent="0.35">
      <c r="A20" s="22" t="s">
        <v>210</v>
      </c>
    </row>
    <row r="21" spans="1:64" x14ac:dyDescent="0.35">
      <c r="A21" s="1"/>
      <c r="B21" s="2" t="s">
        <v>65</v>
      </c>
      <c r="E21" s="51">
        <v>1</v>
      </c>
      <c r="F21" s="51">
        <v>2</v>
      </c>
      <c r="G21" s="51">
        <v>3</v>
      </c>
      <c r="H21" s="51">
        <v>4</v>
      </c>
      <c r="I21" s="51">
        <v>5</v>
      </c>
      <c r="J21" s="51">
        <v>6</v>
      </c>
      <c r="K21" s="51">
        <v>7</v>
      </c>
      <c r="L21" s="51">
        <v>8</v>
      </c>
      <c r="M21" s="51">
        <v>9</v>
      </c>
      <c r="N21" s="51">
        <v>10</v>
      </c>
      <c r="O21" s="51">
        <v>11</v>
      </c>
      <c r="P21" s="51">
        <v>12</v>
      </c>
      <c r="Q21" s="51">
        <v>13</v>
      </c>
      <c r="R21" s="51">
        <v>14</v>
      </c>
      <c r="S21" s="51">
        <v>15</v>
      </c>
      <c r="T21" s="51">
        <v>16</v>
      </c>
      <c r="U21" s="51">
        <v>17</v>
      </c>
      <c r="V21" s="51">
        <v>18</v>
      </c>
      <c r="W21" s="51">
        <v>19</v>
      </c>
      <c r="X21" s="51">
        <v>20</v>
      </c>
      <c r="Y21" s="51">
        <v>21</v>
      </c>
      <c r="Z21" s="51">
        <v>22</v>
      </c>
      <c r="AA21" s="51">
        <v>23</v>
      </c>
      <c r="AB21" s="51">
        <v>24</v>
      </c>
      <c r="AC21" s="51">
        <v>25</v>
      </c>
      <c r="AD21" s="51">
        <v>26</v>
      </c>
      <c r="AE21" s="51">
        <v>27</v>
      </c>
      <c r="AF21" s="51">
        <v>28</v>
      </c>
      <c r="AG21" s="51">
        <v>29</v>
      </c>
      <c r="AH21" s="51">
        <v>30</v>
      </c>
      <c r="AI21" s="51">
        <v>31</v>
      </c>
      <c r="AJ21" s="51">
        <v>32</v>
      </c>
      <c r="AK21" s="51">
        <v>33</v>
      </c>
      <c r="AL21" s="51">
        <v>34</v>
      </c>
      <c r="AM21" s="51">
        <v>35</v>
      </c>
      <c r="AN21" s="51">
        <v>36</v>
      </c>
      <c r="AO21" s="51">
        <v>37</v>
      </c>
      <c r="AP21" s="51">
        <v>38</v>
      </c>
      <c r="AQ21" s="51">
        <v>39</v>
      </c>
      <c r="AR21" s="51">
        <v>40</v>
      </c>
      <c r="AS21" s="51">
        <v>41</v>
      </c>
      <c r="AT21" s="51">
        <v>42</v>
      </c>
      <c r="AU21" s="51">
        <v>43</v>
      </c>
      <c r="AV21" s="51">
        <v>44</v>
      </c>
      <c r="AW21" s="51">
        <v>45</v>
      </c>
      <c r="AX21" s="51">
        <v>46</v>
      </c>
      <c r="AY21" s="51">
        <v>47</v>
      </c>
      <c r="AZ21" s="51">
        <v>48</v>
      </c>
      <c r="BA21" s="51">
        <v>49</v>
      </c>
      <c r="BB21" s="51">
        <v>50</v>
      </c>
      <c r="BC21" s="51">
        <v>51</v>
      </c>
      <c r="BD21" s="51">
        <v>52</v>
      </c>
      <c r="BE21" s="51">
        <v>53</v>
      </c>
      <c r="BF21" s="51">
        <v>54</v>
      </c>
      <c r="BG21" s="51">
        <v>55</v>
      </c>
      <c r="BH21" s="51">
        <v>56</v>
      </c>
      <c r="BI21" s="51">
        <v>57</v>
      </c>
      <c r="BJ21" s="51">
        <v>58</v>
      </c>
      <c r="BK21" s="51">
        <v>59</v>
      </c>
      <c r="BL21" s="51">
        <v>60</v>
      </c>
    </row>
    <row r="22" spans="1:64" x14ac:dyDescent="0.35">
      <c r="A22" s="1"/>
      <c r="B22" s="2" t="s">
        <v>30</v>
      </c>
      <c r="E22" s="2">
        <f t="shared" ref="E22:BL22" si="0">ROUNDUP(E21/2,0)</f>
        <v>1</v>
      </c>
      <c r="F22" s="2">
        <f t="shared" si="0"/>
        <v>1</v>
      </c>
      <c r="G22" s="2">
        <f t="shared" si="0"/>
        <v>2</v>
      </c>
      <c r="H22" s="2">
        <f t="shared" si="0"/>
        <v>2</v>
      </c>
      <c r="I22" s="2">
        <f t="shared" si="0"/>
        <v>3</v>
      </c>
      <c r="J22" s="2">
        <f t="shared" si="0"/>
        <v>3</v>
      </c>
      <c r="K22" s="2">
        <f t="shared" si="0"/>
        <v>4</v>
      </c>
      <c r="L22" s="2">
        <f t="shared" si="0"/>
        <v>4</v>
      </c>
      <c r="M22" s="2">
        <f t="shared" si="0"/>
        <v>5</v>
      </c>
      <c r="N22" s="2">
        <f t="shared" si="0"/>
        <v>5</v>
      </c>
      <c r="O22" s="2">
        <f t="shared" si="0"/>
        <v>6</v>
      </c>
      <c r="P22" s="2">
        <f t="shared" si="0"/>
        <v>6</v>
      </c>
      <c r="Q22" s="2">
        <f t="shared" si="0"/>
        <v>7</v>
      </c>
      <c r="R22" s="2">
        <f t="shared" si="0"/>
        <v>7</v>
      </c>
      <c r="S22" s="2">
        <f t="shared" si="0"/>
        <v>8</v>
      </c>
      <c r="T22" s="2">
        <f t="shared" si="0"/>
        <v>8</v>
      </c>
      <c r="U22" s="2">
        <f t="shared" si="0"/>
        <v>9</v>
      </c>
      <c r="V22" s="2">
        <f t="shared" si="0"/>
        <v>9</v>
      </c>
      <c r="W22" s="2">
        <f t="shared" si="0"/>
        <v>10</v>
      </c>
      <c r="X22" s="2">
        <f t="shared" si="0"/>
        <v>10</v>
      </c>
      <c r="Y22" s="2">
        <f t="shared" si="0"/>
        <v>11</v>
      </c>
      <c r="Z22" s="2">
        <f t="shared" si="0"/>
        <v>11</v>
      </c>
      <c r="AA22" s="2">
        <f t="shared" si="0"/>
        <v>12</v>
      </c>
      <c r="AB22" s="2">
        <f t="shared" si="0"/>
        <v>12</v>
      </c>
      <c r="AC22" s="2">
        <f t="shared" si="0"/>
        <v>13</v>
      </c>
      <c r="AD22" s="2">
        <f t="shared" si="0"/>
        <v>13</v>
      </c>
      <c r="AE22" s="2">
        <f t="shared" si="0"/>
        <v>14</v>
      </c>
      <c r="AF22" s="2">
        <f t="shared" si="0"/>
        <v>14</v>
      </c>
      <c r="AG22" s="2">
        <f t="shared" si="0"/>
        <v>15</v>
      </c>
      <c r="AH22" s="2">
        <f t="shared" si="0"/>
        <v>15</v>
      </c>
      <c r="AI22" s="2">
        <f t="shared" si="0"/>
        <v>16</v>
      </c>
      <c r="AJ22" s="2">
        <f t="shared" si="0"/>
        <v>16</v>
      </c>
      <c r="AK22" s="2">
        <f t="shared" si="0"/>
        <v>17</v>
      </c>
      <c r="AL22" s="2">
        <f t="shared" si="0"/>
        <v>17</v>
      </c>
      <c r="AM22" s="2">
        <f t="shared" si="0"/>
        <v>18</v>
      </c>
      <c r="AN22" s="2">
        <f t="shared" si="0"/>
        <v>18</v>
      </c>
      <c r="AO22" s="2">
        <f t="shared" si="0"/>
        <v>19</v>
      </c>
      <c r="AP22" s="2">
        <f t="shared" si="0"/>
        <v>19</v>
      </c>
      <c r="AQ22" s="2">
        <f t="shared" si="0"/>
        <v>20</v>
      </c>
      <c r="AR22" s="2">
        <f t="shared" si="0"/>
        <v>20</v>
      </c>
      <c r="AS22" s="2">
        <f t="shared" si="0"/>
        <v>21</v>
      </c>
      <c r="AT22" s="2">
        <f t="shared" si="0"/>
        <v>21</v>
      </c>
      <c r="AU22" s="2">
        <f t="shared" si="0"/>
        <v>22</v>
      </c>
      <c r="AV22" s="2">
        <f t="shared" si="0"/>
        <v>22</v>
      </c>
      <c r="AW22" s="2">
        <f t="shared" si="0"/>
        <v>23</v>
      </c>
      <c r="AX22" s="2">
        <f t="shared" si="0"/>
        <v>23</v>
      </c>
      <c r="AY22" s="2">
        <f t="shared" si="0"/>
        <v>24</v>
      </c>
      <c r="AZ22" s="2">
        <f t="shared" si="0"/>
        <v>24</v>
      </c>
      <c r="BA22" s="2">
        <f t="shared" si="0"/>
        <v>25</v>
      </c>
      <c r="BB22" s="2">
        <f t="shared" si="0"/>
        <v>25</v>
      </c>
      <c r="BC22" s="2">
        <f t="shared" si="0"/>
        <v>26</v>
      </c>
      <c r="BD22" s="2">
        <f t="shared" si="0"/>
        <v>26</v>
      </c>
      <c r="BE22" s="2">
        <f t="shared" si="0"/>
        <v>27</v>
      </c>
      <c r="BF22" s="2">
        <f t="shared" si="0"/>
        <v>27</v>
      </c>
      <c r="BG22" s="2">
        <f t="shared" si="0"/>
        <v>28</v>
      </c>
      <c r="BH22" s="2">
        <f t="shared" si="0"/>
        <v>28</v>
      </c>
      <c r="BI22" s="2">
        <f t="shared" si="0"/>
        <v>29</v>
      </c>
      <c r="BJ22" s="2">
        <f t="shared" si="0"/>
        <v>29</v>
      </c>
      <c r="BK22" s="2">
        <f t="shared" si="0"/>
        <v>30</v>
      </c>
      <c r="BL22" s="2">
        <f t="shared" si="0"/>
        <v>30</v>
      </c>
    </row>
    <row r="23" spans="1:64" x14ac:dyDescent="0.35">
      <c r="A23" s="1"/>
      <c r="C23" s="2" t="s">
        <v>80</v>
      </c>
      <c r="E23" s="2" t="b">
        <f t="shared" ref="E23:BL23" si="1">E21&lt;=$D$6*2</f>
        <v>1</v>
      </c>
      <c r="F23" s="2" t="b">
        <f t="shared" si="1"/>
        <v>1</v>
      </c>
      <c r="G23" s="2" t="b">
        <f t="shared" si="1"/>
        <v>1</v>
      </c>
      <c r="H23" s="2" t="b">
        <f t="shared" si="1"/>
        <v>1</v>
      </c>
      <c r="I23" s="2" t="b">
        <f t="shared" si="1"/>
        <v>1</v>
      </c>
      <c r="J23" s="2" t="b">
        <f t="shared" si="1"/>
        <v>1</v>
      </c>
      <c r="K23" s="2" t="b">
        <f t="shared" si="1"/>
        <v>1</v>
      </c>
      <c r="L23" s="2" t="b">
        <f t="shared" si="1"/>
        <v>1</v>
      </c>
      <c r="M23" s="2" t="b">
        <f t="shared" si="1"/>
        <v>1</v>
      </c>
      <c r="N23" s="2" t="b">
        <f t="shared" si="1"/>
        <v>1</v>
      </c>
      <c r="O23" s="2" t="b">
        <f t="shared" si="1"/>
        <v>1</v>
      </c>
      <c r="P23" s="2" t="b">
        <f t="shared" si="1"/>
        <v>1</v>
      </c>
      <c r="Q23" s="2" t="b">
        <f t="shared" si="1"/>
        <v>1</v>
      </c>
      <c r="R23" s="2" t="b">
        <f t="shared" si="1"/>
        <v>1</v>
      </c>
      <c r="S23" s="2" t="b">
        <f t="shared" si="1"/>
        <v>1</v>
      </c>
      <c r="T23" s="2" t="b">
        <f t="shared" si="1"/>
        <v>1</v>
      </c>
      <c r="U23" s="2" t="b">
        <f t="shared" si="1"/>
        <v>1</v>
      </c>
      <c r="V23" s="2" t="b">
        <f t="shared" si="1"/>
        <v>1</v>
      </c>
      <c r="W23" s="2" t="b">
        <f t="shared" si="1"/>
        <v>1</v>
      </c>
      <c r="X23" s="2" t="b">
        <f t="shared" si="1"/>
        <v>1</v>
      </c>
      <c r="Y23" s="2" t="b">
        <f t="shared" si="1"/>
        <v>1</v>
      </c>
      <c r="Z23" s="2" t="b">
        <f t="shared" si="1"/>
        <v>1</v>
      </c>
      <c r="AA23" s="2" t="b">
        <f t="shared" si="1"/>
        <v>1</v>
      </c>
      <c r="AB23" s="2" t="b">
        <f t="shared" si="1"/>
        <v>1</v>
      </c>
      <c r="AC23" s="2" t="b">
        <f t="shared" si="1"/>
        <v>1</v>
      </c>
      <c r="AD23" s="2" t="b">
        <f t="shared" si="1"/>
        <v>1</v>
      </c>
      <c r="AE23" s="2" t="b">
        <f t="shared" si="1"/>
        <v>1</v>
      </c>
      <c r="AF23" s="2" t="b">
        <f t="shared" si="1"/>
        <v>1</v>
      </c>
      <c r="AG23" s="2" t="b">
        <f t="shared" si="1"/>
        <v>1</v>
      </c>
      <c r="AH23" s="2" t="b">
        <f t="shared" si="1"/>
        <v>1</v>
      </c>
      <c r="AI23" s="2" t="b">
        <f t="shared" si="1"/>
        <v>1</v>
      </c>
      <c r="AJ23" s="2" t="b">
        <f t="shared" si="1"/>
        <v>1</v>
      </c>
      <c r="AK23" s="2" t="b">
        <f t="shared" si="1"/>
        <v>1</v>
      </c>
      <c r="AL23" s="2" t="b">
        <f t="shared" si="1"/>
        <v>1</v>
      </c>
      <c r="AM23" s="2" t="b">
        <f t="shared" si="1"/>
        <v>1</v>
      </c>
      <c r="AN23" s="2" t="b">
        <f t="shared" si="1"/>
        <v>1</v>
      </c>
      <c r="AO23" s="2" t="b">
        <f t="shared" si="1"/>
        <v>1</v>
      </c>
      <c r="AP23" s="2" t="b">
        <f t="shared" si="1"/>
        <v>1</v>
      </c>
      <c r="AQ23" s="2" t="b">
        <f t="shared" si="1"/>
        <v>1</v>
      </c>
      <c r="AR23" s="2" t="b">
        <f t="shared" si="1"/>
        <v>1</v>
      </c>
      <c r="AS23" s="2" t="b">
        <f t="shared" si="1"/>
        <v>0</v>
      </c>
      <c r="AT23" s="2" t="b">
        <f t="shared" si="1"/>
        <v>0</v>
      </c>
      <c r="AU23" s="2" t="b">
        <f t="shared" si="1"/>
        <v>0</v>
      </c>
      <c r="AV23" s="2" t="b">
        <f t="shared" si="1"/>
        <v>0</v>
      </c>
      <c r="AW23" s="2" t="b">
        <f t="shared" si="1"/>
        <v>0</v>
      </c>
      <c r="AX23" s="2" t="b">
        <f t="shared" si="1"/>
        <v>0</v>
      </c>
      <c r="AY23" s="2" t="b">
        <f t="shared" si="1"/>
        <v>0</v>
      </c>
      <c r="AZ23" s="2" t="b">
        <f t="shared" si="1"/>
        <v>0</v>
      </c>
      <c r="BA23" s="2" t="b">
        <f t="shared" si="1"/>
        <v>0</v>
      </c>
      <c r="BB23" s="2" t="b">
        <f t="shared" si="1"/>
        <v>0</v>
      </c>
      <c r="BC23" s="2" t="b">
        <f t="shared" si="1"/>
        <v>0</v>
      </c>
      <c r="BD23" s="2" t="b">
        <f t="shared" si="1"/>
        <v>0</v>
      </c>
      <c r="BE23" s="2" t="b">
        <f t="shared" si="1"/>
        <v>0</v>
      </c>
      <c r="BF23" s="2" t="b">
        <f t="shared" si="1"/>
        <v>0</v>
      </c>
      <c r="BG23" s="2" t="b">
        <f t="shared" si="1"/>
        <v>0</v>
      </c>
      <c r="BH23" s="2" t="b">
        <f t="shared" si="1"/>
        <v>0</v>
      </c>
      <c r="BI23" s="2" t="b">
        <f t="shared" si="1"/>
        <v>0</v>
      </c>
      <c r="BJ23" s="2" t="b">
        <f t="shared" si="1"/>
        <v>0</v>
      </c>
      <c r="BK23" s="2" t="b">
        <f t="shared" si="1"/>
        <v>0</v>
      </c>
      <c r="BL23" s="2" t="b">
        <f t="shared" si="1"/>
        <v>0</v>
      </c>
    </row>
    <row r="24" spans="1:64" x14ac:dyDescent="0.35">
      <c r="A24" s="1"/>
      <c r="C24" s="2" t="s">
        <v>144</v>
      </c>
      <c r="E24" s="51" t="b">
        <v>1</v>
      </c>
      <c r="F24" s="51" t="b">
        <v>1</v>
      </c>
      <c r="G24" s="51" t="b">
        <v>1</v>
      </c>
      <c r="H24" s="51" t="b">
        <v>1</v>
      </c>
      <c r="I24" s="51" t="b">
        <v>1</v>
      </c>
      <c r="J24" s="51" t="b">
        <v>1</v>
      </c>
      <c r="K24" s="51" t="b">
        <v>1</v>
      </c>
      <c r="L24" s="51" t="b">
        <v>1</v>
      </c>
      <c r="M24" s="51" t="b">
        <v>1</v>
      </c>
      <c r="N24" s="51" t="b">
        <v>1</v>
      </c>
      <c r="O24" s="51" t="b">
        <v>1</v>
      </c>
      <c r="P24" s="51" t="b">
        <v>1</v>
      </c>
      <c r="Q24" s="51" t="b">
        <v>1</v>
      </c>
      <c r="R24" s="51" t="b">
        <v>1</v>
      </c>
      <c r="S24" s="51" t="b">
        <v>1</v>
      </c>
      <c r="T24" s="51" t="b">
        <v>1</v>
      </c>
      <c r="U24" s="51" t="b">
        <v>1</v>
      </c>
      <c r="V24" s="51" t="b">
        <v>1</v>
      </c>
      <c r="W24" s="51" t="b">
        <v>1</v>
      </c>
      <c r="X24" s="51" t="b">
        <v>1</v>
      </c>
      <c r="Y24" s="51" t="b">
        <v>1</v>
      </c>
      <c r="Z24" s="51" t="b">
        <v>1</v>
      </c>
      <c r="AA24" s="51" t="b">
        <v>1</v>
      </c>
      <c r="AB24" s="51" t="b">
        <v>1</v>
      </c>
      <c r="AC24" s="51" t="b">
        <v>1</v>
      </c>
      <c r="AD24" s="51" t="b">
        <v>1</v>
      </c>
      <c r="AE24" s="51" t="b">
        <v>1</v>
      </c>
      <c r="AF24" s="51" t="b">
        <v>1</v>
      </c>
      <c r="AG24" s="51" t="b">
        <v>1</v>
      </c>
      <c r="AH24" s="51" t="b">
        <v>1</v>
      </c>
      <c r="AI24" s="51" t="b">
        <v>1</v>
      </c>
      <c r="AJ24" s="51" t="b">
        <v>1</v>
      </c>
      <c r="AK24" s="51" t="b">
        <v>1</v>
      </c>
      <c r="AL24" s="51" t="b">
        <v>1</v>
      </c>
      <c r="AM24" s="51" t="b">
        <v>1</v>
      </c>
      <c r="AN24" s="51" t="b">
        <v>1</v>
      </c>
      <c r="AO24" s="51" t="b">
        <v>1</v>
      </c>
      <c r="AP24" s="51" t="b">
        <v>1</v>
      </c>
      <c r="AQ24" s="51" t="b">
        <v>1</v>
      </c>
      <c r="AR24" s="51" t="b">
        <v>1</v>
      </c>
      <c r="AS24" s="51" t="b">
        <v>1</v>
      </c>
      <c r="AT24" s="51" t="b">
        <v>1</v>
      </c>
      <c r="AU24" s="51" t="b">
        <v>1</v>
      </c>
      <c r="AV24" s="51" t="b">
        <v>1</v>
      </c>
      <c r="AW24" s="51" t="b">
        <v>1</v>
      </c>
      <c r="AX24" s="51" t="b">
        <v>1</v>
      </c>
      <c r="AY24" s="51" t="b">
        <v>1</v>
      </c>
      <c r="AZ24" s="51" t="b">
        <v>1</v>
      </c>
      <c r="BA24" s="51" t="b">
        <v>1</v>
      </c>
      <c r="BB24" s="51" t="b">
        <v>1</v>
      </c>
      <c r="BC24" s="51" t="b">
        <v>1</v>
      </c>
      <c r="BD24" s="51" t="b">
        <v>1</v>
      </c>
      <c r="BE24" s="51" t="b">
        <v>1</v>
      </c>
      <c r="BF24" s="51" t="b">
        <v>1</v>
      </c>
      <c r="BG24" s="51" t="b">
        <v>1</v>
      </c>
      <c r="BH24" s="51" t="b">
        <v>1</v>
      </c>
      <c r="BI24" s="51" t="b">
        <v>1</v>
      </c>
      <c r="BJ24" s="51" t="b">
        <v>1</v>
      </c>
      <c r="BK24" s="51" t="b">
        <v>1</v>
      </c>
      <c r="BL24" s="51" t="b">
        <v>1</v>
      </c>
    </row>
    <row r="25" spans="1:64" x14ac:dyDescent="0.35">
      <c r="A25" s="1"/>
    </row>
    <row r="26" spans="1:64" x14ac:dyDescent="0.35">
      <c r="A26" s="1"/>
      <c r="C26" s="2" t="s">
        <v>38</v>
      </c>
      <c r="E26" s="12">
        <f t="shared" ref="E26:BL26" si="2">LOOKUP(E22,12:12,13:13)/2</f>
        <v>1.4999999999999999E-2</v>
      </c>
      <c r="F26" s="12">
        <f t="shared" si="2"/>
        <v>1.4999999999999999E-2</v>
      </c>
      <c r="G26" s="12">
        <f t="shared" si="2"/>
        <v>1.4999999999999999E-2</v>
      </c>
      <c r="H26" s="12">
        <f t="shared" si="2"/>
        <v>1.4999999999999999E-2</v>
      </c>
      <c r="I26" s="12">
        <f t="shared" si="2"/>
        <v>1.4999999999999999E-2</v>
      </c>
      <c r="J26" s="12">
        <f t="shared" si="2"/>
        <v>1.4999999999999999E-2</v>
      </c>
      <c r="K26" s="12">
        <f t="shared" si="2"/>
        <v>0.01</v>
      </c>
      <c r="L26" s="12">
        <f t="shared" si="2"/>
        <v>0.01</v>
      </c>
      <c r="M26" s="12">
        <f t="shared" si="2"/>
        <v>0.01</v>
      </c>
      <c r="N26" s="12">
        <f t="shared" si="2"/>
        <v>0.01</v>
      </c>
      <c r="O26" s="12">
        <f t="shared" si="2"/>
        <v>1.4999999999999999E-2</v>
      </c>
      <c r="P26" s="12">
        <f t="shared" si="2"/>
        <v>1.4999999999999999E-2</v>
      </c>
      <c r="Q26" s="12">
        <f t="shared" si="2"/>
        <v>1.4999999999999999E-2</v>
      </c>
      <c r="R26" s="12">
        <f t="shared" si="2"/>
        <v>1.4999999999999999E-2</v>
      </c>
      <c r="S26" s="12">
        <f t="shared" si="2"/>
        <v>1.4999999999999999E-2</v>
      </c>
      <c r="T26" s="12">
        <f t="shared" si="2"/>
        <v>1.4999999999999999E-2</v>
      </c>
      <c r="U26" s="12">
        <f t="shared" si="2"/>
        <v>1.4999999999999999E-2</v>
      </c>
      <c r="V26" s="12">
        <f t="shared" si="2"/>
        <v>1.4999999999999999E-2</v>
      </c>
      <c r="W26" s="12">
        <f t="shared" si="2"/>
        <v>1.4999999999999999E-2</v>
      </c>
      <c r="X26" s="12">
        <f t="shared" si="2"/>
        <v>1.4999999999999999E-2</v>
      </c>
      <c r="Y26" s="12">
        <f t="shared" si="2"/>
        <v>1.4999999999999999E-2</v>
      </c>
      <c r="Z26" s="12">
        <f t="shared" si="2"/>
        <v>1.4999999999999999E-2</v>
      </c>
      <c r="AA26" s="12">
        <f t="shared" si="2"/>
        <v>1.4999999999999999E-2</v>
      </c>
      <c r="AB26" s="12">
        <f t="shared" si="2"/>
        <v>1.4999999999999999E-2</v>
      </c>
      <c r="AC26" s="12">
        <f t="shared" si="2"/>
        <v>1.4999999999999999E-2</v>
      </c>
      <c r="AD26" s="12">
        <f t="shared" si="2"/>
        <v>1.4999999999999999E-2</v>
      </c>
      <c r="AE26" s="12">
        <f t="shared" si="2"/>
        <v>1.4999999999999999E-2</v>
      </c>
      <c r="AF26" s="12">
        <f t="shared" si="2"/>
        <v>1.4999999999999999E-2</v>
      </c>
      <c r="AG26" s="12">
        <f t="shared" si="2"/>
        <v>1.4999999999999999E-2</v>
      </c>
      <c r="AH26" s="12">
        <f t="shared" si="2"/>
        <v>1.4999999999999999E-2</v>
      </c>
      <c r="AI26" s="12">
        <f t="shared" si="2"/>
        <v>1.4999999999999999E-2</v>
      </c>
      <c r="AJ26" s="12">
        <f t="shared" si="2"/>
        <v>1.4999999999999999E-2</v>
      </c>
      <c r="AK26" s="12">
        <f t="shared" si="2"/>
        <v>1.4999999999999999E-2</v>
      </c>
      <c r="AL26" s="12">
        <f t="shared" si="2"/>
        <v>1.4999999999999999E-2</v>
      </c>
      <c r="AM26" s="12">
        <f t="shared" si="2"/>
        <v>1.4999999999999999E-2</v>
      </c>
      <c r="AN26" s="12">
        <f t="shared" si="2"/>
        <v>1.4999999999999999E-2</v>
      </c>
      <c r="AO26" s="12">
        <f t="shared" si="2"/>
        <v>1.4999999999999999E-2</v>
      </c>
      <c r="AP26" s="12">
        <f t="shared" si="2"/>
        <v>1.4999999999999999E-2</v>
      </c>
      <c r="AQ26" s="12">
        <f t="shared" si="2"/>
        <v>1.4999999999999999E-2</v>
      </c>
      <c r="AR26" s="12">
        <f t="shared" si="2"/>
        <v>1.4999999999999999E-2</v>
      </c>
      <c r="AS26" s="12">
        <f t="shared" si="2"/>
        <v>1.4999999999999999E-2</v>
      </c>
      <c r="AT26" s="12">
        <f t="shared" si="2"/>
        <v>1.4999999999999999E-2</v>
      </c>
      <c r="AU26" s="12">
        <f t="shared" si="2"/>
        <v>1.4999999999999999E-2</v>
      </c>
      <c r="AV26" s="12">
        <f t="shared" si="2"/>
        <v>1.4999999999999999E-2</v>
      </c>
      <c r="AW26" s="12">
        <f t="shared" si="2"/>
        <v>1.4999999999999999E-2</v>
      </c>
      <c r="AX26" s="12">
        <f t="shared" si="2"/>
        <v>1.4999999999999999E-2</v>
      </c>
      <c r="AY26" s="12">
        <f t="shared" si="2"/>
        <v>1.4999999999999999E-2</v>
      </c>
      <c r="AZ26" s="12">
        <f t="shared" si="2"/>
        <v>1.4999999999999999E-2</v>
      </c>
      <c r="BA26" s="12">
        <f t="shared" si="2"/>
        <v>1.4999999999999999E-2</v>
      </c>
      <c r="BB26" s="12">
        <f t="shared" si="2"/>
        <v>1.4999999999999999E-2</v>
      </c>
      <c r="BC26" s="12">
        <f t="shared" si="2"/>
        <v>1.4999999999999999E-2</v>
      </c>
      <c r="BD26" s="12">
        <f t="shared" si="2"/>
        <v>1.4999999999999999E-2</v>
      </c>
      <c r="BE26" s="12">
        <f t="shared" si="2"/>
        <v>1.4999999999999999E-2</v>
      </c>
      <c r="BF26" s="12">
        <f t="shared" si="2"/>
        <v>1.4999999999999999E-2</v>
      </c>
      <c r="BG26" s="12">
        <f t="shared" si="2"/>
        <v>1.4999999999999999E-2</v>
      </c>
      <c r="BH26" s="12">
        <f t="shared" si="2"/>
        <v>1.4999999999999999E-2</v>
      </c>
      <c r="BI26" s="12">
        <f t="shared" si="2"/>
        <v>1.4999999999999999E-2</v>
      </c>
      <c r="BJ26" s="12">
        <f t="shared" si="2"/>
        <v>1.4999999999999999E-2</v>
      </c>
      <c r="BK26" s="12">
        <f t="shared" si="2"/>
        <v>1.4999999999999999E-2</v>
      </c>
      <c r="BL26" s="12">
        <f t="shared" si="2"/>
        <v>1.4999999999999999E-2</v>
      </c>
    </row>
    <row r="27" spans="1:64" x14ac:dyDescent="0.35">
      <c r="A27" s="1"/>
      <c r="C27" s="2" t="s">
        <v>104</v>
      </c>
      <c r="D27" s="4">
        <f>D11</f>
        <v>130</v>
      </c>
      <c r="E27" s="4">
        <f t="shared" ref="E27:BL27" si="3">D27*(1+E26)</f>
        <v>131.94999999999999</v>
      </c>
      <c r="F27" s="4">
        <f t="shared" si="3"/>
        <v>133.92924999999997</v>
      </c>
      <c r="G27" s="4">
        <f t="shared" si="3"/>
        <v>135.93818874999997</v>
      </c>
      <c r="H27" s="4">
        <f t="shared" si="3"/>
        <v>137.97726158124996</v>
      </c>
      <c r="I27" s="4">
        <f t="shared" si="3"/>
        <v>140.04692050496871</v>
      </c>
      <c r="J27" s="4">
        <f t="shared" si="3"/>
        <v>142.14762431254323</v>
      </c>
      <c r="K27" s="4">
        <f t="shared" si="3"/>
        <v>143.56910055566865</v>
      </c>
      <c r="L27" s="4">
        <f t="shared" si="3"/>
        <v>145.00479156122535</v>
      </c>
      <c r="M27" s="4">
        <f t="shared" si="3"/>
        <v>146.45483947683761</v>
      </c>
      <c r="N27" s="4">
        <f t="shared" si="3"/>
        <v>147.91938787160598</v>
      </c>
      <c r="O27" s="4">
        <f t="shared" si="3"/>
        <v>150.13817868968005</v>
      </c>
      <c r="P27" s="4">
        <f t="shared" si="3"/>
        <v>152.39025137002523</v>
      </c>
      <c r="Q27" s="4">
        <f t="shared" si="3"/>
        <v>154.6761051405756</v>
      </c>
      <c r="R27" s="4">
        <f t="shared" si="3"/>
        <v>156.99624671768422</v>
      </c>
      <c r="S27" s="4">
        <f t="shared" si="3"/>
        <v>159.35119041844948</v>
      </c>
      <c r="T27" s="4">
        <f t="shared" si="3"/>
        <v>161.7414582747262</v>
      </c>
      <c r="U27" s="4">
        <f t="shared" si="3"/>
        <v>164.16758014884707</v>
      </c>
      <c r="V27" s="4">
        <f t="shared" si="3"/>
        <v>166.63009385107975</v>
      </c>
      <c r="W27" s="4">
        <f t="shared" si="3"/>
        <v>169.12954525884592</v>
      </c>
      <c r="X27" s="4">
        <f t="shared" si="3"/>
        <v>171.66648843772859</v>
      </c>
      <c r="Y27" s="4">
        <f t="shared" si="3"/>
        <v>174.24148576429451</v>
      </c>
      <c r="Z27" s="4">
        <f t="shared" si="3"/>
        <v>176.8551080507589</v>
      </c>
      <c r="AA27" s="4">
        <f t="shared" si="3"/>
        <v>179.50793467152027</v>
      </c>
      <c r="AB27" s="4">
        <f t="shared" si="3"/>
        <v>182.20055369159306</v>
      </c>
      <c r="AC27" s="4">
        <f t="shared" si="3"/>
        <v>184.93356199696694</v>
      </c>
      <c r="AD27" s="4">
        <f t="shared" si="3"/>
        <v>187.70756542692143</v>
      </c>
      <c r="AE27" s="4">
        <f t="shared" si="3"/>
        <v>190.52317890832524</v>
      </c>
      <c r="AF27" s="4">
        <f t="shared" si="3"/>
        <v>193.3810265919501</v>
      </c>
      <c r="AG27" s="4">
        <f t="shared" si="3"/>
        <v>196.28174199082935</v>
      </c>
      <c r="AH27" s="4">
        <f t="shared" si="3"/>
        <v>199.22596812069176</v>
      </c>
      <c r="AI27" s="4">
        <f t="shared" si="3"/>
        <v>202.21435764250211</v>
      </c>
      <c r="AJ27" s="4">
        <f t="shared" si="3"/>
        <v>205.24757300713961</v>
      </c>
      <c r="AK27" s="4">
        <f t="shared" si="3"/>
        <v>208.32628660224668</v>
      </c>
      <c r="AL27" s="4">
        <f t="shared" si="3"/>
        <v>211.45118090128037</v>
      </c>
      <c r="AM27" s="4">
        <f t="shared" si="3"/>
        <v>214.62294861479955</v>
      </c>
      <c r="AN27" s="4">
        <f t="shared" si="3"/>
        <v>217.84229284402153</v>
      </c>
      <c r="AO27" s="4">
        <f t="shared" si="3"/>
        <v>221.10992723668184</v>
      </c>
      <c r="AP27" s="4">
        <f t="shared" si="3"/>
        <v>224.42657614523205</v>
      </c>
      <c r="AQ27" s="4">
        <f t="shared" si="3"/>
        <v>227.79297478741051</v>
      </c>
      <c r="AR27" s="4">
        <f t="shared" si="3"/>
        <v>231.20986940922165</v>
      </c>
      <c r="AS27" s="4">
        <f t="shared" si="3"/>
        <v>234.67801745035996</v>
      </c>
      <c r="AT27" s="4">
        <f t="shared" si="3"/>
        <v>238.19818771211533</v>
      </c>
      <c r="AU27" s="4">
        <f t="shared" si="3"/>
        <v>241.77116052779704</v>
      </c>
      <c r="AV27" s="4">
        <f t="shared" si="3"/>
        <v>245.39772793571396</v>
      </c>
      <c r="AW27" s="4">
        <f t="shared" si="3"/>
        <v>249.07869385474964</v>
      </c>
      <c r="AX27" s="4">
        <f t="shared" si="3"/>
        <v>252.81487426257087</v>
      </c>
      <c r="AY27" s="4">
        <f t="shared" si="3"/>
        <v>256.60709737650939</v>
      </c>
      <c r="AZ27" s="4">
        <f t="shared" si="3"/>
        <v>260.45620383715698</v>
      </c>
      <c r="BA27" s="4">
        <f t="shared" si="3"/>
        <v>264.36304689471433</v>
      </c>
      <c r="BB27" s="4">
        <f t="shared" si="3"/>
        <v>268.32849259813503</v>
      </c>
      <c r="BC27" s="4">
        <f t="shared" si="3"/>
        <v>272.35341998710703</v>
      </c>
      <c r="BD27" s="4">
        <f t="shared" si="3"/>
        <v>276.43872128691362</v>
      </c>
      <c r="BE27" s="4">
        <f t="shared" si="3"/>
        <v>280.58530210621728</v>
      </c>
      <c r="BF27" s="4">
        <f t="shared" si="3"/>
        <v>284.79408163781051</v>
      </c>
      <c r="BG27" s="4">
        <f t="shared" si="3"/>
        <v>289.06599286237764</v>
      </c>
      <c r="BH27" s="4">
        <f t="shared" si="3"/>
        <v>293.40198275531327</v>
      </c>
      <c r="BI27" s="4">
        <f t="shared" si="3"/>
        <v>297.80301249664296</v>
      </c>
      <c r="BJ27" s="4">
        <f t="shared" si="3"/>
        <v>302.27005768409259</v>
      </c>
      <c r="BK27" s="4">
        <f t="shared" si="3"/>
        <v>306.80410854935394</v>
      </c>
      <c r="BL27" s="4">
        <f t="shared" si="3"/>
        <v>311.40617017759422</v>
      </c>
    </row>
    <row r="28" spans="1:64" x14ac:dyDescent="0.35">
      <c r="A28" s="1"/>
      <c r="C28" s="2" t="s">
        <v>105</v>
      </c>
      <c r="D28" s="4"/>
      <c r="E28" s="29">
        <f>E62</f>
        <v>2.7613122463226318</v>
      </c>
      <c r="F28" s="29">
        <f t="shared" ref="F28:BL28" si="4">F56</f>
        <v>2.8027310922378041</v>
      </c>
      <c r="G28" s="29">
        <f t="shared" si="4"/>
        <v>2.844737603378527</v>
      </c>
      <c r="H28" s="29">
        <f t="shared" si="4"/>
        <v>2.8873079274048714</v>
      </c>
      <c r="I28" s="29">
        <f t="shared" si="4"/>
        <v>2.9256340000694139</v>
      </c>
      <c r="J28" s="29">
        <f t="shared" si="4"/>
        <v>2.9596366517986805</v>
      </c>
      <c r="K28" s="29">
        <f t="shared" si="4"/>
        <v>2.9892688804819758</v>
      </c>
      <c r="L28" s="29">
        <f t="shared" si="4"/>
        <v>3.019266593699514</v>
      </c>
      <c r="M28" s="29">
        <f t="shared" si="4"/>
        <v>3.0546461298578134</v>
      </c>
      <c r="N28" s="29">
        <f t="shared" si="4"/>
        <v>3.0955033385868185</v>
      </c>
      <c r="O28" s="29">
        <f t="shared" si="4"/>
        <v>3.1419358886656199</v>
      </c>
      <c r="P28" s="29">
        <f t="shared" si="4"/>
        <v>3.1890649269956044</v>
      </c>
      <c r="Q28" s="29">
        <f t="shared" si="4"/>
        <v>3.2369009009005381</v>
      </c>
      <c r="R28" s="29">
        <f t="shared" si="4"/>
        <v>3.2854544144140458</v>
      </c>
      <c r="S28" s="29">
        <f t="shared" si="4"/>
        <v>3.3347362306302561</v>
      </c>
      <c r="T28" s="29">
        <f t="shared" si="4"/>
        <v>3.3847572740897096</v>
      </c>
      <c r="U28" s="29">
        <f t="shared" si="4"/>
        <v>3.4355286332010548</v>
      </c>
      <c r="V28" s="29">
        <f t="shared" si="4"/>
        <v>3.4870615626990697</v>
      </c>
      <c r="W28" s="29">
        <f t="shared" si="4"/>
        <v>3.5393674861395557</v>
      </c>
      <c r="X28" s="29">
        <f t="shared" si="4"/>
        <v>3.5924579984316489</v>
      </c>
      <c r="Y28" s="29">
        <f t="shared" si="4"/>
        <v>3.6463448684081232</v>
      </c>
      <c r="Z28" s="29">
        <f t="shared" si="4"/>
        <v>3.7010400414342444</v>
      </c>
      <c r="AA28" s="29">
        <f t="shared" si="4"/>
        <v>3.756555642055758</v>
      </c>
      <c r="AB28" s="29">
        <f t="shared" si="4"/>
        <v>3.8129039766865938</v>
      </c>
      <c r="AC28" s="29">
        <f t="shared" si="4"/>
        <v>3.8700975363368908</v>
      </c>
      <c r="AD28" s="29">
        <f t="shared" si="4"/>
        <v>3.9281489993819343</v>
      </c>
      <c r="AE28" s="29">
        <f t="shared" si="4"/>
        <v>3.9870712343724772</v>
      </c>
      <c r="AF28" s="29">
        <f t="shared" si="4"/>
        <v>4.0468773028869185</v>
      </c>
      <c r="AG28" s="29">
        <f t="shared" si="4"/>
        <v>4.1075804624040053</v>
      </c>
      <c r="AH28" s="29">
        <f t="shared" si="4"/>
        <v>4.169194169197266</v>
      </c>
      <c r="AI28" s="29">
        <f t="shared" si="4"/>
        <v>4.231732078009478</v>
      </c>
      <c r="AJ28" s="29">
        <f t="shared" si="4"/>
        <v>4.2952080418336038</v>
      </c>
      <c r="AK28" s="29">
        <f t="shared" si="4"/>
        <v>4.3596356300282864</v>
      </c>
      <c r="AL28" s="29">
        <f t="shared" si="4"/>
        <v>4.4250281372976943</v>
      </c>
      <c r="AM28" s="29">
        <f t="shared" si="4"/>
        <v>4.4913270196594954</v>
      </c>
      <c r="AN28" s="29">
        <f t="shared" si="4"/>
        <v>4.5584743296652883</v>
      </c>
      <c r="AO28" s="29">
        <f t="shared" si="4"/>
        <v>4.6157796851977704</v>
      </c>
      <c r="AP28" s="29">
        <f t="shared" si="4"/>
        <v>4.6632415226851895</v>
      </c>
      <c r="AQ28" s="29">
        <f t="shared" si="4"/>
        <v>3.121193486145009</v>
      </c>
      <c r="AR28" s="29">
        <f t="shared" si="4"/>
        <v>1.5668653915122275</v>
      </c>
      <c r="AS28" s="29">
        <f t="shared" si="4"/>
        <v>0</v>
      </c>
      <c r="AT28" s="29">
        <f t="shared" si="4"/>
        <v>0</v>
      </c>
      <c r="AU28" s="29">
        <f t="shared" si="4"/>
        <v>0</v>
      </c>
      <c r="AV28" s="29">
        <f t="shared" si="4"/>
        <v>0</v>
      </c>
      <c r="AW28" s="29">
        <f t="shared" si="4"/>
        <v>0</v>
      </c>
      <c r="AX28" s="29">
        <f t="shared" si="4"/>
        <v>0</v>
      </c>
      <c r="AY28" s="29">
        <f t="shared" si="4"/>
        <v>0</v>
      </c>
      <c r="AZ28" s="29">
        <f t="shared" si="4"/>
        <v>0</v>
      </c>
      <c r="BA28" s="29">
        <f t="shared" si="4"/>
        <v>0</v>
      </c>
      <c r="BB28" s="29">
        <f t="shared" si="4"/>
        <v>0</v>
      </c>
      <c r="BC28" s="29">
        <f t="shared" si="4"/>
        <v>0</v>
      </c>
      <c r="BD28" s="29">
        <f t="shared" si="4"/>
        <v>0</v>
      </c>
      <c r="BE28" s="29">
        <f t="shared" si="4"/>
        <v>0</v>
      </c>
      <c r="BF28" s="29">
        <f t="shared" si="4"/>
        <v>0</v>
      </c>
      <c r="BG28" s="29">
        <f t="shared" si="4"/>
        <v>0</v>
      </c>
      <c r="BH28" s="29">
        <f t="shared" si="4"/>
        <v>0</v>
      </c>
      <c r="BI28" s="29">
        <f t="shared" si="4"/>
        <v>0</v>
      </c>
      <c r="BJ28" s="29">
        <f t="shared" si="4"/>
        <v>0</v>
      </c>
      <c r="BK28" s="29">
        <f t="shared" si="4"/>
        <v>0</v>
      </c>
      <c r="BL28" s="29">
        <f t="shared" si="4"/>
        <v>0</v>
      </c>
    </row>
    <row r="29" spans="1:64" ht="15" thickBot="1" x14ac:dyDescent="0.4">
      <c r="A29" s="1"/>
      <c r="C29" s="24" t="s">
        <v>2</v>
      </c>
      <c r="D29" s="25"/>
      <c r="E29" s="25">
        <f>E27+E28</f>
        <v>134.71131224632262</v>
      </c>
      <c r="F29" s="25">
        <f t="shared" ref="F29:BL29" si="5">F27+F28</f>
        <v>136.73198109223776</v>
      </c>
      <c r="G29" s="25">
        <f t="shared" si="5"/>
        <v>138.78292635337849</v>
      </c>
      <c r="H29" s="25">
        <f t="shared" si="5"/>
        <v>140.86456950865482</v>
      </c>
      <c r="I29" s="25">
        <f t="shared" si="5"/>
        <v>142.97255450503812</v>
      </c>
      <c r="J29" s="25">
        <f t="shared" si="5"/>
        <v>145.10726096434192</v>
      </c>
      <c r="K29" s="25">
        <f t="shared" si="5"/>
        <v>146.55836943615063</v>
      </c>
      <c r="L29" s="25">
        <f t="shared" si="5"/>
        <v>148.02405815492486</v>
      </c>
      <c r="M29" s="25">
        <f t="shared" si="5"/>
        <v>149.50948560669542</v>
      </c>
      <c r="N29" s="25">
        <f t="shared" si="5"/>
        <v>151.01489121019279</v>
      </c>
      <c r="O29" s="25">
        <f t="shared" si="5"/>
        <v>153.28011457834566</v>
      </c>
      <c r="P29" s="25">
        <f t="shared" si="5"/>
        <v>155.57931629702082</v>
      </c>
      <c r="Q29" s="25">
        <f t="shared" si="5"/>
        <v>157.91300604147614</v>
      </c>
      <c r="R29" s="25">
        <f t="shared" si="5"/>
        <v>160.28170113209825</v>
      </c>
      <c r="S29" s="25">
        <f t="shared" si="5"/>
        <v>162.68592664907973</v>
      </c>
      <c r="T29" s="25">
        <f t="shared" si="5"/>
        <v>165.12621554881591</v>
      </c>
      <c r="U29" s="25">
        <f t="shared" si="5"/>
        <v>167.60310878204811</v>
      </c>
      <c r="V29" s="25">
        <f t="shared" si="5"/>
        <v>170.11715541377882</v>
      </c>
      <c r="W29" s="25">
        <f t="shared" si="5"/>
        <v>172.66891274498548</v>
      </c>
      <c r="X29" s="25">
        <f t="shared" si="5"/>
        <v>175.25894643616024</v>
      </c>
      <c r="Y29" s="25">
        <f t="shared" si="5"/>
        <v>177.88783063270265</v>
      </c>
      <c r="Z29" s="25">
        <f t="shared" si="5"/>
        <v>180.55614809219315</v>
      </c>
      <c r="AA29" s="25">
        <f t="shared" si="5"/>
        <v>183.26449031357603</v>
      </c>
      <c r="AB29" s="25">
        <f t="shared" si="5"/>
        <v>186.01345766827964</v>
      </c>
      <c r="AC29" s="25">
        <f t="shared" si="5"/>
        <v>188.80365953330383</v>
      </c>
      <c r="AD29" s="25">
        <f t="shared" si="5"/>
        <v>191.63571442630337</v>
      </c>
      <c r="AE29" s="25">
        <f t="shared" si="5"/>
        <v>194.51025014269771</v>
      </c>
      <c r="AF29" s="25">
        <f t="shared" si="5"/>
        <v>197.42790389483702</v>
      </c>
      <c r="AG29" s="25">
        <f t="shared" si="5"/>
        <v>200.38932245323335</v>
      </c>
      <c r="AH29" s="25">
        <f t="shared" si="5"/>
        <v>203.39516228988902</v>
      </c>
      <c r="AI29" s="25">
        <f t="shared" si="5"/>
        <v>206.44608972051159</v>
      </c>
      <c r="AJ29" s="25">
        <f t="shared" si="5"/>
        <v>209.54278104897321</v>
      </c>
      <c r="AK29" s="25">
        <f t="shared" si="5"/>
        <v>212.68592223227498</v>
      </c>
      <c r="AL29" s="25">
        <f t="shared" si="5"/>
        <v>215.87620903857805</v>
      </c>
      <c r="AM29" s="25">
        <f t="shared" si="5"/>
        <v>219.11427563445906</v>
      </c>
      <c r="AN29" s="25">
        <f t="shared" si="5"/>
        <v>222.40076717368683</v>
      </c>
      <c r="AO29" s="25">
        <f t="shared" si="5"/>
        <v>225.72570692187961</v>
      </c>
      <c r="AP29" s="25">
        <f t="shared" si="5"/>
        <v>229.08981766791723</v>
      </c>
      <c r="AQ29" s="25">
        <f t="shared" si="5"/>
        <v>230.91416827355553</v>
      </c>
      <c r="AR29" s="25">
        <f t="shared" si="5"/>
        <v>232.77673480073389</v>
      </c>
      <c r="AS29" s="25">
        <f t="shared" si="5"/>
        <v>234.67801745035996</v>
      </c>
      <c r="AT29" s="25">
        <f t="shared" si="5"/>
        <v>238.19818771211533</v>
      </c>
      <c r="AU29" s="25">
        <f t="shared" si="5"/>
        <v>241.77116052779704</v>
      </c>
      <c r="AV29" s="25">
        <f t="shared" si="5"/>
        <v>245.39772793571396</v>
      </c>
      <c r="AW29" s="25">
        <f t="shared" si="5"/>
        <v>249.07869385474964</v>
      </c>
      <c r="AX29" s="25">
        <f t="shared" si="5"/>
        <v>252.81487426257087</v>
      </c>
      <c r="AY29" s="25">
        <f t="shared" si="5"/>
        <v>256.60709737650939</v>
      </c>
      <c r="AZ29" s="25">
        <f t="shared" si="5"/>
        <v>260.45620383715698</v>
      </c>
      <c r="BA29" s="25">
        <f t="shared" si="5"/>
        <v>264.36304689471433</v>
      </c>
      <c r="BB29" s="25">
        <f t="shared" si="5"/>
        <v>268.32849259813503</v>
      </c>
      <c r="BC29" s="25">
        <f t="shared" si="5"/>
        <v>272.35341998710703</v>
      </c>
      <c r="BD29" s="25">
        <f t="shared" si="5"/>
        <v>276.43872128691362</v>
      </c>
      <c r="BE29" s="25">
        <f t="shared" si="5"/>
        <v>280.58530210621728</v>
      </c>
      <c r="BF29" s="25">
        <f t="shared" si="5"/>
        <v>284.79408163781051</v>
      </c>
      <c r="BG29" s="25">
        <f t="shared" si="5"/>
        <v>289.06599286237764</v>
      </c>
      <c r="BH29" s="25">
        <f t="shared" si="5"/>
        <v>293.40198275531327</v>
      </c>
      <c r="BI29" s="25">
        <f t="shared" si="5"/>
        <v>297.80301249664296</v>
      </c>
      <c r="BJ29" s="25">
        <f t="shared" si="5"/>
        <v>302.27005768409259</v>
      </c>
      <c r="BK29" s="25">
        <f t="shared" si="5"/>
        <v>306.80410854935394</v>
      </c>
      <c r="BL29" s="25">
        <f t="shared" si="5"/>
        <v>311.40617017759422</v>
      </c>
    </row>
    <row r="30" spans="1:64" x14ac:dyDescent="0.35">
      <c r="A30" s="1"/>
      <c r="C30" s="10" t="s">
        <v>122</v>
      </c>
      <c r="D30" s="46"/>
      <c r="E30" s="46">
        <f>E29*E23</f>
        <v>134.71131224632262</v>
      </c>
      <c r="F30" s="46">
        <f t="shared" ref="F30:BL30" si="6">F29*F23</f>
        <v>136.73198109223776</v>
      </c>
      <c r="G30" s="46">
        <f t="shared" si="6"/>
        <v>138.78292635337849</v>
      </c>
      <c r="H30" s="46">
        <f t="shared" si="6"/>
        <v>140.86456950865482</v>
      </c>
      <c r="I30" s="46">
        <f t="shared" si="6"/>
        <v>142.97255450503812</v>
      </c>
      <c r="J30" s="46">
        <f t="shared" si="6"/>
        <v>145.10726096434192</v>
      </c>
      <c r="K30" s="46">
        <f t="shared" si="6"/>
        <v>146.55836943615063</v>
      </c>
      <c r="L30" s="46">
        <f t="shared" si="6"/>
        <v>148.02405815492486</v>
      </c>
      <c r="M30" s="46">
        <f t="shared" si="6"/>
        <v>149.50948560669542</v>
      </c>
      <c r="N30" s="46">
        <f t="shared" si="6"/>
        <v>151.01489121019279</v>
      </c>
      <c r="O30" s="46">
        <f t="shared" si="6"/>
        <v>153.28011457834566</v>
      </c>
      <c r="P30" s="46">
        <f t="shared" si="6"/>
        <v>155.57931629702082</v>
      </c>
      <c r="Q30" s="46">
        <f t="shared" si="6"/>
        <v>157.91300604147614</v>
      </c>
      <c r="R30" s="46">
        <f t="shared" si="6"/>
        <v>160.28170113209825</v>
      </c>
      <c r="S30" s="46">
        <f t="shared" si="6"/>
        <v>162.68592664907973</v>
      </c>
      <c r="T30" s="46">
        <f t="shared" si="6"/>
        <v>165.12621554881591</v>
      </c>
      <c r="U30" s="46">
        <f t="shared" si="6"/>
        <v>167.60310878204811</v>
      </c>
      <c r="V30" s="46">
        <f t="shared" si="6"/>
        <v>170.11715541377882</v>
      </c>
      <c r="W30" s="46">
        <f t="shared" si="6"/>
        <v>172.66891274498548</v>
      </c>
      <c r="X30" s="46">
        <f t="shared" si="6"/>
        <v>175.25894643616024</v>
      </c>
      <c r="Y30" s="46">
        <f t="shared" si="6"/>
        <v>177.88783063270265</v>
      </c>
      <c r="Z30" s="46">
        <f t="shared" si="6"/>
        <v>180.55614809219315</v>
      </c>
      <c r="AA30" s="46">
        <f t="shared" si="6"/>
        <v>183.26449031357603</v>
      </c>
      <c r="AB30" s="46">
        <f t="shared" si="6"/>
        <v>186.01345766827964</v>
      </c>
      <c r="AC30" s="46">
        <f t="shared" si="6"/>
        <v>188.80365953330383</v>
      </c>
      <c r="AD30" s="46">
        <f t="shared" si="6"/>
        <v>191.63571442630337</v>
      </c>
      <c r="AE30" s="46">
        <f t="shared" si="6"/>
        <v>194.51025014269771</v>
      </c>
      <c r="AF30" s="46">
        <f t="shared" si="6"/>
        <v>197.42790389483702</v>
      </c>
      <c r="AG30" s="46">
        <f t="shared" si="6"/>
        <v>200.38932245323335</v>
      </c>
      <c r="AH30" s="46">
        <f t="shared" si="6"/>
        <v>203.39516228988902</v>
      </c>
      <c r="AI30" s="46">
        <f t="shared" si="6"/>
        <v>206.44608972051159</v>
      </c>
      <c r="AJ30" s="46">
        <f t="shared" si="6"/>
        <v>209.54278104897321</v>
      </c>
      <c r="AK30" s="46">
        <f t="shared" si="6"/>
        <v>212.68592223227498</v>
      </c>
      <c r="AL30" s="46">
        <f t="shared" si="6"/>
        <v>215.87620903857805</v>
      </c>
      <c r="AM30" s="46">
        <f t="shared" si="6"/>
        <v>219.11427563445906</v>
      </c>
      <c r="AN30" s="46">
        <f t="shared" si="6"/>
        <v>222.40076717368683</v>
      </c>
      <c r="AO30" s="46">
        <f t="shared" si="6"/>
        <v>225.72570692187961</v>
      </c>
      <c r="AP30" s="46">
        <f t="shared" si="6"/>
        <v>229.08981766791723</v>
      </c>
      <c r="AQ30" s="46">
        <f t="shared" si="6"/>
        <v>230.91416827355553</v>
      </c>
      <c r="AR30" s="46">
        <f t="shared" si="6"/>
        <v>232.77673480073389</v>
      </c>
      <c r="AS30" s="46">
        <f t="shared" si="6"/>
        <v>0</v>
      </c>
      <c r="AT30" s="46">
        <f t="shared" si="6"/>
        <v>0</v>
      </c>
      <c r="AU30" s="46">
        <f t="shared" si="6"/>
        <v>0</v>
      </c>
      <c r="AV30" s="46">
        <f t="shared" si="6"/>
        <v>0</v>
      </c>
      <c r="AW30" s="46">
        <f t="shared" si="6"/>
        <v>0</v>
      </c>
      <c r="AX30" s="46">
        <f t="shared" si="6"/>
        <v>0</v>
      </c>
      <c r="AY30" s="46">
        <f t="shared" si="6"/>
        <v>0</v>
      </c>
      <c r="AZ30" s="46">
        <f t="shared" si="6"/>
        <v>0</v>
      </c>
      <c r="BA30" s="46">
        <f t="shared" si="6"/>
        <v>0</v>
      </c>
      <c r="BB30" s="46">
        <f t="shared" si="6"/>
        <v>0</v>
      </c>
      <c r="BC30" s="46">
        <f t="shared" si="6"/>
        <v>0</v>
      </c>
      <c r="BD30" s="46">
        <f t="shared" si="6"/>
        <v>0</v>
      </c>
      <c r="BE30" s="46">
        <f t="shared" si="6"/>
        <v>0</v>
      </c>
      <c r="BF30" s="46">
        <f t="shared" si="6"/>
        <v>0</v>
      </c>
      <c r="BG30" s="46">
        <f t="shared" si="6"/>
        <v>0</v>
      </c>
      <c r="BH30" s="46">
        <f t="shared" si="6"/>
        <v>0</v>
      </c>
      <c r="BI30" s="46">
        <f t="shared" si="6"/>
        <v>0</v>
      </c>
      <c r="BJ30" s="46">
        <f t="shared" si="6"/>
        <v>0</v>
      </c>
      <c r="BK30" s="46">
        <f t="shared" si="6"/>
        <v>0</v>
      </c>
      <c r="BL30" s="46">
        <f t="shared" si="6"/>
        <v>0</v>
      </c>
    </row>
    <row r="31" spans="1:64" x14ac:dyDescent="0.35">
      <c r="A31" s="1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</row>
    <row r="32" spans="1:64" x14ac:dyDescent="0.35">
      <c r="A32" s="1"/>
      <c r="C32" s="2" t="s">
        <v>72</v>
      </c>
      <c r="E32" s="12">
        <f t="shared" ref="E32:BL32" si="7">LOOKUP(E22,2:2,3:3)/2</f>
        <v>1.4999999999999999E-2</v>
      </c>
      <c r="F32" s="12">
        <f t="shared" si="7"/>
        <v>1.4999999999999999E-2</v>
      </c>
      <c r="G32" s="12">
        <f t="shared" si="7"/>
        <v>1.4999999999999999E-2</v>
      </c>
      <c r="H32" s="12">
        <f t="shared" si="7"/>
        <v>1.4999999999999999E-2</v>
      </c>
      <c r="I32" s="12">
        <f t="shared" si="7"/>
        <v>1.4999999999999999E-2</v>
      </c>
      <c r="J32" s="12">
        <f t="shared" si="7"/>
        <v>1.4999999999999999E-2</v>
      </c>
      <c r="K32" s="12">
        <f t="shared" si="7"/>
        <v>1.4999999999999999E-2</v>
      </c>
      <c r="L32" s="12">
        <f t="shared" si="7"/>
        <v>1.4999999999999999E-2</v>
      </c>
      <c r="M32" s="12">
        <f t="shared" si="7"/>
        <v>0.02</v>
      </c>
      <c r="N32" s="12">
        <f t="shared" si="7"/>
        <v>0.02</v>
      </c>
      <c r="O32" s="12">
        <f t="shared" si="7"/>
        <v>0.02</v>
      </c>
      <c r="P32" s="12">
        <f t="shared" si="7"/>
        <v>0.02</v>
      </c>
      <c r="Q32" s="12">
        <f t="shared" si="7"/>
        <v>0.02</v>
      </c>
      <c r="R32" s="12">
        <f t="shared" si="7"/>
        <v>0.02</v>
      </c>
      <c r="S32" s="12">
        <f t="shared" si="7"/>
        <v>0.02</v>
      </c>
      <c r="T32" s="12">
        <f t="shared" si="7"/>
        <v>0.02</v>
      </c>
      <c r="U32" s="12">
        <f t="shared" si="7"/>
        <v>0.02</v>
      </c>
      <c r="V32" s="12">
        <f t="shared" si="7"/>
        <v>0.02</v>
      </c>
      <c r="W32" s="12">
        <f t="shared" si="7"/>
        <v>2.5000000000000001E-2</v>
      </c>
      <c r="X32" s="12">
        <f t="shared" si="7"/>
        <v>2.5000000000000001E-2</v>
      </c>
      <c r="Y32" s="12">
        <f t="shared" si="7"/>
        <v>2.5000000000000001E-2</v>
      </c>
      <c r="Z32" s="12">
        <f t="shared" si="7"/>
        <v>2.5000000000000001E-2</v>
      </c>
      <c r="AA32" s="12">
        <f t="shared" si="7"/>
        <v>2.5000000000000001E-2</v>
      </c>
      <c r="AB32" s="12">
        <f t="shared" si="7"/>
        <v>2.5000000000000001E-2</v>
      </c>
      <c r="AC32" s="12">
        <f t="shared" si="7"/>
        <v>2.5000000000000001E-2</v>
      </c>
      <c r="AD32" s="12">
        <f t="shared" si="7"/>
        <v>2.5000000000000001E-2</v>
      </c>
      <c r="AE32" s="12">
        <f t="shared" si="7"/>
        <v>2.5000000000000001E-2</v>
      </c>
      <c r="AF32" s="12">
        <f t="shared" si="7"/>
        <v>2.5000000000000001E-2</v>
      </c>
      <c r="AG32" s="12">
        <f t="shared" si="7"/>
        <v>2.5000000000000001E-2</v>
      </c>
      <c r="AH32" s="12">
        <f t="shared" si="7"/>
        <v>2.5000000000000001E-2</v>
      </c>
      <c r="AI32" s="12">
        <f t="shared" si="7"/>
        <v>2.5000000000000001E-2</v>
      </c>
      <c r="AJ32" s="12">
        <f t="shared" si="7"/>
        <v>2.5000000000000001E-2</v>
      </c>
      <c r="AK32" s="12">
        <f t="shared" si="7"/>
        <v>2.5000000000000001E-2</v>
      </c>
      <c r="AL32" s="12">
        <f t="shared" si="7"/>
        <v>2.5000000000000001E-2</v>
      </c>
      <c r="AM32" s="12">
        <f t="shared" si="7"/>
        <v>2.5000000000000001E-2</v>
      </c>
      <c r="AN32" s="12">
        <f t="shared" si="7"/>
        <v>2.5000000000000001E-2</v>
      </c>
      <c r="AO32" s="12">
        <f t="shared" si="7"/>
        <v>2.5000000000000001E-2</v>
      </c>
      <c r="AP32" s="12">
        <f t="shared" si="7"/>
        <v>2.5000000000000001E-2</v>
      </c>
      <c r="AQ32" s="12">
        <f t="shared" si="7"/>
        <v>2.5000000000000001E-2</v>
      </c>
      <c r="AR32" s="12">
        <f t="shared" si="7"/>
        <v>2.5000000000000001E-2</v>
      </c>
      <c r="AS32" s="12">
        <f t="shared" si="7"/>
        <v>2.5000000000000001E-2</v>
      </c>
      <c r="AT32" s="12">
        <f t="shared" si="7"/>
        <v>2.5000000000000001E-2</v>
      </c>
      <c r="AU32" s="12">
        <f t="shared" si="7"/>
        <v>2.5000000000000001E-2</v>
      </c>
      <c r="AV32" s="12">
        <f t="shared" si="7"/>
        <v>2.5000000000000001E-2</v>
      </c>
      <c r="AW32" s="12">
        <f t="shared" si="7"/>
        <v>2.5000000000000001E-2</v>
      </c>
      <c r="AX32" s="12">
        <f t="shared" si="7"/>
        <v>2.5000000000000001E-2</v>
      </c>
      <c r="AY32" s="12">
        <f t="shared" si="7"/>
        <v>2.5000000000000001E-2</v>
      </c>
      <c r="AZ32" s="12">
        <f t="shared" si="7"/>
        <v>2.5000000000000001E-2</v>
      </c>
      <c r="BA32" s="12">
        <f t="shared" si="7"/>
        <v>2.5000000000000001E-2</v>
      </c>
      <c r="BB32" s="12">
        <f t="shared" si="7"/>
        <v>2.5000000000000001E-2</v>
      </c>
      <c r="BC32" s="12">
        <f t="shared" si="7"/>
        <v>2.5000000000000001E-2</v>
      </c>
      <c r="BD32" s="12">
        <f t="shared" si="7"/>
        <v>2.5000000000000001E-2</v>
      </c>
      <c r="BE32" s="12">
        <f t="shared" si="7"/>
        <v>2.5000000000000001E-2</v>
      </c>
      <c r="BF32" s="12">
        <f t="shared" si="7"/>
        <v>2.5000000000000001E-2</v>
      </c>
      <c r="BG32" s="12">
        <f t="shared" si="7"/>
        <v>2.5000000000000001E-2</v>
      </c>
      <c r="BH32" s="12">
        <f t="shared" si="7"/>
        <v>2.5000000000000001E-2</v>
      </c>
      <c r="BI32" s="12">
        <f t="shared" si="7"/>
        <v>2.5000000000000001E-2</v>
      </c>
      <c r="BJ32" s="12">
        <f t="shared" si="7"/>
        <v>2.5000000000000001E-2</v>
      </c>
      <c r="BK32" s="12">
        <f t="shared" si="7"/>
        <v>2.5000000000000001E-2</v>
      </c>
      <c r="BL32" s="12">
        <f t="shared" si="7"/>
        <v>2.5000000000000001E-2</v>
      </c>
    </row>
    <row r="33" spans="1:64" x14ac:dyDescent="0.35">
      <c r="A33" s="1"/>
      <c r="C33" s="2" t="s">
        <v>89</v>
      </c>
      <c r="D33" s="51">
        <v>1</v>
      </c>
      <c r="E33" s="4">
        <f t="shared" ref="E33:BL33" si="8">D33*(1+E32)</f>
        <v>1.0149999999999999</v>
      </c>
      <c r="F33" s="4">
        <f t="shared" si="8"/>
        <v>1.0302249999999997</v>
      </c>
      <c r="G33" s="4">
        <f t="shared" si="8"/>
        <v>1.0456783749999996</v>
      </c>
      <c r="H33" s="4">
        <f t="shared" si="8"/>
        <v>1.0613635506249994</v>
      </c>
      <c r="I33" s="4">
        <f t="shared" si="8"/>
        <v>1.0772840038843743</v>
      </c>
      <c r="J33" s="4">
        <f t="shared" si="8"/>
        <v>1.0934432639426397</v>
      </c>
      <c r="K33" s="4">
        <f t="shared" si="8"/>
        <v>1.1098449129017791</v>
      </c>
      <c r="L33" s="4">
        <f t="shared" si="8"/>
        <v>1.1264925865953057</v>
      </c>
      <c r="M33" s="4">
        <f t="shared" si="8"/>
        <v>1.1490224383272118</v>
      </c>
      <c r="N33" s="4">
        <f t="shared" si="8"/>
        <v>1.172002887093756</v>
      </c>
      <c r="O33" s="4">
        <f t="shared" si="8"/>
        <v>1.1954429448356312</v>
      </c>
      <c r="P33" s="4">
        <f t="shared" si="8"/>
        <v>1.2193518037323439</v>
      </c>
      <c r="Q33" s="4">
        <f t="shared" si="8"/>
        <v>1.2437388398069908</v>
      </c>
      <c r="R33" s="4">
        <f t="shared" si="8"/>
        <v>1.2686136166031308</v>
      </c>
      <c r="S33" s="4">
        <f t="shared" si="8"/>
        <v>1.2939858889351934</v>
      </c>
      <c r="T33" s="4">
        <f t="shared" si="8"/>
        <v>1.3198656067138972</v>
      </c>
      <c r="U33" s="4">
        <f t="shared" si="8"/>
        <v>1.3462629188481752</v>
      </c>
      <c r="V33" s="4">
        <f t="shared" si="8"/>
        <v>1.3731881772251386</v>
      </c>
      <c r="W33" s="4">
        <f t="shared" si="8"/>
        <v>1.407517881655767</v>
      </c>
      <c r="X33" s="4">
        <f t="shared" si="8"/>
        <v>1.442705828697161</v>
      </c>
      <c r="Y33" s="4">
        <f t="shared" si="8"/>
        <v>1.47877347441459</v>
      </c>
      <c r="Z33" s="4">
        <f t="shared" si="8"/>
        <v>1.5157428112749545</v>
      </c>
      <c r="AA33" s="4">
        <f t="shared" si="8"/>
        <v>1.5536363815568281</v>
      </c>
      <c r="AB33" s="4">
        <f t="shared" si="8"/>
        <v>1.5924772910957488</v>
      </c>
      <c r="AC33" s="4">
        <f t="shared" si="8"/>
        <v>1.6322892233731423</v>
      </c>
      <c r="AD33" s="4">
        <f t="shared" si="8"/>
        <v>1.6730964539574706</v>
      </c>
      <c r="AE33" s="4">
        <f t="shared" si="8"/>
        <v>1.7149238653064072</v>
      </c>
      <c r="AF33" s="4">
        <f t="shared" si="8"/>
        <v>1.7577969619390672</v>
      </c>
      <c r="AG33" s="4">
        <f t="shared" si="8"/>
        <v>1.8017418859875438</v>
      </c>
      <c r="AH33" s="4">
        <f t="shared" si="8"/>
        <v>1.8467854331372322</v>
      </c>
      <c r="AI33" s="4">
        <f t="shared" si="8"/>
        <v>1.8929550689656629</v>
      </c>
      <c r="AJ33" s="4">
        <f t="shared" si="8"/>
        <v>1.9402789456898044</v>
      </c>
      <c r="AK33" s="4">
        <f t="shared" si="8"/>
        <v>1.9887859193320494</v>
      </c>
      <c r="AL33" s="4">
        <f t="shared" si="8"/>
        <v>2.0385055673153505</v>
      </c>
      <c r="AM33" s="4">
        <f t="shared" si="8"/>
        <v>2.0894682064982342</v>
      </c>
      <c r="AN33" s="4">
        <f t="shared" si="8"/>
        <v>2.1417049116606899</v>
      </c>
      <c r="AO33" s="4">
        <f t="shared" si="8"/>
        <v>2.1952475344522071</v>
      </c>
      <c r="AP33" s="4">
        <f t="shared" si="8"/>
        <v>2.2501287228135123</v>
      </c>
      <c r="AQ33" s="4">
        <f t="shared" si="8"/>
        <v>2.30638194088385</v>
      </c>
      <c r="AR33" s="4">
        <f t="shared" si="8"/>
        <v>2.3640414894059458</v>
      </c>
      <c r="AS33" s="4">
        <f t="shared" si="8"/>
        <v>2.4231425266410942</v>
      </c>
      <c r="AT33" s="4">
        <f t="shared" si="8"/>
        <v>2.4837210898071214</v>
      </c>
      <c r="AU33" s="4">
        <f t="shared" si="8"/>
        <v>2.545814117052299</v>
      </c>
      <c r="AV33" s="4">
        <f t="shared" si="8"/>
        <v>2.6094594699786064</v>
      </c>
      <c r="AW33" s="4">
        <f t="shared" si="8"/>
        <v>2.6746959567280713</v>
      </c>
      <c r="AX33" s="4">
        <f t="shared" si="8"/>
        <v>2.7415633556462726</v>
      </c>
      <c r="AY33" s="4">
        <f t="shared" si="8"/>
        <v>2.8101024395374292</v>
      </c>
      <c r="AZ33" s="4">
        <f t="shared" si="8"/>
        <v>2.8803550005258649</v>
      </c>
      <c r="BA33" s="4">
        <f t="shared" si="8"/>
        <v>2.9523638755390111</v>
      </c>
      <c r="BB33" s="4">
        <f t="shared" si="8"/>
        <v>3.026172972427486</v>
      </c>
      <c r="BC33" s="4">
        <f t="shared" si="8"/>
        <v>3.1018272967381728</v>
      </c>
      <c r="BD33" s="4">
        <f t="shared" si="8"/>
        <v>3.1793729791566268</v>
      </c>
      <c r="BE33" s="4">
        <f t="shared" si="8"/>
        <v>3.2588573036355419</v>
      </c>
      <c r="BF33" s="4">
        <f t="shared" si="8"/>
        <v>3.34032873622643</v>
      </c>
      <c r="BG33" s="4">
        <f t="shared" si="8"/>
        <v>3.4238369546320904</v>
      </c>
      <c r="BH33" s="4">
        <f t="shared" si="8"/>
        <v>3.5094328784978925</v>
      </c>
      <c r="BI33" s="4">
        <f t="shared" si="8"/>
        <v>3.5971687004603394</v>
      </c>
      <c r="BJ33" s="4">
        <f t="shared" si="8"/>
        <v>3.6870979179718475</v>
      </c>
      <c r="BK33" s="4">
        <f t="shared" si="8"/>
        <v>3.7792753659211433</v>
      </c>
      <c r="BL33" s="4">
        <f t="shared" si="8"/>
        <v>3.8737572500691715</v>
      </c>
    </row>
    <row r="34" spans="1:64" x14ac:dyDescent="0.35">
      <c r="A34" s="1"/>
      <c r="C34" s="2" t="s">
        <v>15</v>
      </c>
      <c r="D34" s="4">
        <f>SUMPRODUCT(E30:BL30/E33:BL33)</f>
        <v>4764.5311604145563</v>
      </c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</row>
    <row r="35" spans="1:64" x14ac:dyDescent="0.35">
      <c r="A35" s="1"/>
      <c r="C35" s="2" t="s">
        <v>123</v>
      </c>
      <c r="D35" s="4">
        <f>D34/D18</f>
        <v>1.4856205010442809</v>
      </c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</row>
    <row r="36" spans="1:64" x14ac:dyDescent="0.35">
      <c r="A36" s="1"/>
      <c r="C36" s="2" t="s">
        <v>124</v>
      </c>
      <c r="D36" s="4" t="b">
        <f>D35&gt;D4</f>
        <v>1</v>
      </c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</row>
    <row r="37" spans="1:64" x14ac:dyDescent="0.35">
      <c r="A37" s="1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</row>
    <row r="38" spans="1:64" x14ac:dyDescent="0.35">
      <c r="A38" s="1"/>
      <c r="C38" s="2" t="s">
        <v>147</v>
      </c>
      <c r="D38" s="4">
        <f>MAX(D4,D35)</f>
        <v>1.4856205010442809</v>
      </c>
      <c r="E38" s="4">
        <f t="shared" ref="E38:BL38" si="9">D38</f>
        <v>1.4856205010442809</v>
      </c>
      <c r="F38" s="4">
        <f t="shared" si="9"/>
        <v>1.4856205010442809</v>
      </c>
      <c r="G38" s="4">
        <f t="shared" si="9"/>
        <v>1.4856205010442809</v>
      </c>
      <c r="H38" s="4">
        <f t="shared" si="9"/>
        <v>1.4856205010442809</v>
      </c>
      <c r="I38" s="4">
        <f t="shared" si="9"/>
        <v>1.4856205010442809</v>
      </c>
      <c r="J38" s="4">
        <f t="shared" si="9"/>
        <v>1.4856205010442809</v>
      </c>
      <c r="K38" s="4">
        <f t="shared" si="9"/>
        <v>1.4856205010442809</v>
      </c>
      <c r="L38" s="4">
        <f t="shared" si="9"/>
        <v>1.4856205010442809</v>
      </c>
      <c r="M38" s="4">
        <f t="shared" si="9"/>
        <v>1.4856205010442809</v>
      </c>
      <c r="N38" s="4">
        <f t="shared" si="9"/>
        <v>1.4856205010442809</v>
      </c>
      <c r="O38" s="4">
        <f t="shared" si="9"/>
        <v>1.4856205010442809</v>
      </c>
      <c r="P38" s="4">
        <f t="shared" si="9"/>
        <v>1.4856205010442809</v>
      </c>
      <c r="Q38" s="4">
        <f t="shared" si="9"/>
        <v>1.4856205010442809</v>
      </c>
      <c r="R38" s="4">
        <f t="shared" si="9"/>
        <v>1.4856205010442809</v>
      </c>
      <c r="S38" s="4">
        <f t="shared" si="9"/>
        <v>1.4856205010442809</v>
      </c>
      <c r="T38" s="4">
        <f t="shared" si="9"/>
        <v>1.4856205010442809</v>
      </c>
      <c r="U38" s="4">
        <f t="shared" si="9"/>
        <v>1.4856205010442809</v>
      </c>
      <c r="V38" s="4">
        <f t="shared" si="9"/>
        <v>1.4856205010442809</v>
      </c>
      <c r="W38" s="4">
        <f t="shared" si="9"/>
        <v>1.4856205010442809</v>
      </c>
      <c r="X38" s="4">
        <f t="shared" si="9"/>
        <v>1.4856205010442809</v>
      </c>
      <c r="Y38" s="4">
        <f t="shared" si="9"/>
        <v>1.4856205010442809</v>
      </c>
      <c r="Z38" s="4">
        <f t="shared" si="9"/>
        <v>1.4856205010442809</v>
      </c>
      <c r="AA38" s="4">
        <f t="shared" si="9"/>
        <v>1.4856205010442809</v>
      </c>
      <c r="AB38" s="4">
        <f t="shared" si="9"/>
        <v>1.4856205010442809</v>
      </c>
      <c r="AC38" s="4">
        <f t="shared" si="9"/>
        <v>1.4856205010442809</v>
      </c>
      <c r="AD38" s="4">
        <f t="shared" si="9"/>
        <v>1.4856205010442809</v>
      </c>
      <c r="AE38" s="4">
        <f t="shared" si="9"/>
        <v>1.4856205010442809</v>
      </c>
      <c r="AF38" s="4">
        <f t="shared" si="9"/>
        <v>1.4856205010442809</v>
      </c>
      <c r="AG38" s="4">
        <f t="shared" si="9"/>
        <v>1.4856205010442809</v>
      </c>
      <c r="AH38" s="4">
        <f t="shared" si="9"/>
        <v>1.4856205010442809</v>
      </c>
      <c r="AI38" s="4">
        <f t="shared" si="9"/>
        <v>1.4856205010442809</v>
      </c>
      <c r="AJ38" s="4">
        <f t="shared" si="9"/>
        <v>1.4856205010442809</v>
      </c>
      <c r="AK38" s="4">
        <f t="shared" si="9"/>
        <v>1.4856205010442809</v>
      </c>
      <c r="AL38" s="4">
        <f t="shared" si="9"/>
        <v>1.4856205010442809</v>
      </c>
      <c r="AM38" s="4">
        <f t="shared" si="9"/>
        <v>1.4856205010442809</v>
      </c>
      <c r="AN38" s="4">
        <f t="shared" si="9"/>
        <v>1.4856205010442809</v>
      </c>
      <c r="AO38" s="4">
        <f t="shared" si="9"/>
        <v>1.4856205010442809</v>
      </c>
      <c r="AP38" s="4">
        <f t="shared" si="9"/>
        <v>1.4856205010442809</v>
      </c>
      <c r="AQ38" s="4">
        <f t="shared" si="9"/>
        <v>1.4856205010442809</v>
      </c>
      <c r="AR38" s="4">
        <f t="shared" si="9"/>
        <v>1.4856205010442809</v>
      </c>
      <c r="AS38" s="4">
        <f t="shared" si="9"/>
        <v>1.4856205010442809</v>
      </c>
      <c r="AT38" s="4">
        <f t="shared" si="9"/>
        <v>1.4856205010442809</v>
      </c>
      <c r="AU38" s="4">
        <f t="shared" si="9"/>
        <v>1.4856205010442809</v>
      </c>
      <c r="AV38" s="4">
        <f t="shared" si="9"/>
        <v>1.4856205010442809</v>
      </c>
      <c r="AW38" s="4">
        <f t="shared" si="9"/>
        <v>1.4856205010442809</v>
      </c>
      <c r="AX38" s="4">
        <f t="shared" si="9"/>
        <v>1.4856205010442809</v>
      </c>
      <c r="AY38" s="4">
        <f t="shared" si="9"/>
        <v>1.4856205010442809</v>
      </c>
      <c r="AZ38" s="4">
        <f t="shared" si="9"/>
        <v>1.4856205010442809</v>
      </c>
      <c r="BA38" s="4">
        <f t="shared" si="9"/>
        <v>1.4856205010442809</v>
      </c>
      <c r="BB38" s="4">
        <f t="shared" si="9"/>
        <v>1.4856205010442809</v>
      </c>
      <c r="BC38" s="4">
        <f t="shared" si="9"/>
        <v>1.4856205010442809</v>
      </c>
      <c r="BD38" s="4">
        <f t="shared" si="9"/>
        <v>1.4856205010442809</v>
      </c>
      <c r="BE38" s="4">
        <f t="shared" si="9"/>
        <v>1.4856205010442809</v>
      </c>
      <c r="BF38" s="4">
        <f t="shared" si="9"/>
        <v>1.4856205010442809</v>
      </c>
      <c r="BG38" s="4">
        <f t="shared" si="9"/>
        <v>1.4856205010442809</v>
      </c>
      <c r="BH38" s="4">
        <f t="shared" si="9"/>
        <v>1.4856205010442809</v>
      </c>
      <c r="BI38" s="4">
        <f t="shared" si="9"/>
        <v>1.4856205010442809</v>
      </c>
      <c r="BJ38" s="4">
        <f t="shared" si="9"/>
        <v>1.4856205010442809</v>
      </c>
      <c r="BK38" s="4">
        <f t="shared" si="9"/>
        <v>1.4856205010442809</v>
      </c>
      <c r="BL38" s="4">
        <f t="shared" si="9"/>
        <v>1.4856205010442809</v>
      </c>
    </row>
    <row r="39" spans="1:64" x14ac:dyDescent="0.35">
      <c r="A39" s="1"/>
      <c r="C39" s="2" t="s">
        <v>81</v>
      </c>
      <c r="E39" s="4">
        <f>E30/E38</f>
        <v>90.676799459640307</v>
      </c>
      <c r="F39" s="4">
        <f t="shared" ref="F39:BL39" si="10">F30/F38</f>
        <v>92.036950887609137</v>
      </c>
      <c r="G39" s="4">
        <f t="shared" si="10"/>
        <v>93.417481958430429</v>
      </c>
      <c r="H39" s="4">
        <f t="shared" si="10"/>
        <v>94.818676377740815</v>
      </c>
      <c r="I39" s="4">
        <f t="shared" si="10"/>
        <v>96.237602001681466</v>
      </c>
      <c r="J39" s="4">
        <f t="shared" si="10"/>
        <v>97.674514361064809</v>
      </c>
      <c r="K39" s="4">
        <f t="shared" si="10"/>
        <v>98.651283644195118</v>
      </c>
      <c r="L39" s="4">
        <f t="shared" si="10"/>
        <v>99.637867174608147</v>
      </c>
      <c r="M39" s="4">
        <f t="shared" si="10"/>
        <v>100.63773722939429</v>
      </c>
      <c r="N39" s="4">
        <f t="shared" si="10"/>
        <v>101.65105496594893</v>
      </c>
      <c r="O39" s="4">
        <f t="shared" si="10"/>
        <v>103.17582079043815</v>
      </c>
      <c r="P39" s="4">
        <f t="shared" si="10"/>
        <v>104.72345810229471</v>
      </c>
      <c r="Q39" s="4">
        <f t="shared" si="10"/>
        <v>106.29430997382913</v>
      </c>
      <c r="R39" s="4">
        <f t="shared" si="10"/>
        <v>107.88872462343654</v>
      </c>
      <c r="S39" s="4">
        <f t="shared" si="10"/>
        <v>109.5070554927881</v>
      </c>
      <c r="T39" s="4">
        <f t="shared" si="10"/>
        <v>111.14966132517991</v>
      </c>
      <c r="U39" s="4">
        <f t="shared" si="10"/>
        <v>112.81690624505758</v>
      </c>
      <c r="V39" s="4">
        <f t="shared" si="10"/>
        <v>114.50915983873344</v>
      </c>
      <c r="W39" s="4">
        <f t="shared" si="10"/>
        <v>116.22679723631443</v>
      </c>
      <c r="X39" s="4">
        <f t="shared" si="10"/>
        <v>117.97019919485913</v>
      </c>
      <c r="Y39" s="4">
        <f t="shared" si="10"/>
        <v>119.73975218278201</v>
      </c>
      <c r="Z39" s="4">
        <f t="shared" si="10"/>
        <v>121.53584846552373</v>
      </c>
      <c r="AA39" s="4">
        <f t="shared" si="10"/>
        <v>123.35888619250657</v>
      </c>
      <c r="AB39" s="4">
        <f t="shared" si="10"/>
        <v>125.20926948539415</v>
      </c>
      <c r="AC39" s="4">
        <f t="shared" si="10"/>
        <v>127.08740852767505</v>
      </c>
      <c r="AD39" s="4">
        <f t="shared" si="10"/>
        <v>128.99371965559016</v>
      </c>
      <c r="AE39" s="4">
        <f t="shared" si="10"/>
        <v>130.92862545042388</v>
      </c>
      <c r="AF39" s="4">
        <f t="shared" si="10"/>
        <v>132.89255483217946</v>
      </c>
      <c r="AG39" s="4">
        <f t="shared" si="10"/>
        <v>134.88594315464451</v>
      </c>
      <c r="AH39" s="4">
        <f t="shared" si="10"/>
        <v>136.90923230186803</v>
      </c>
      <c r="AI39" s="4">
        <f t="shared" si="10"/>
        <v>138.96287078388815</v>
      </c>
      <c r="AJ39" s="4">
        <f t="shared" si="10"/>
        <v>141.04731383397052</v>
      </c>
      <c r="AK39" s="4">
        <f t="shared" si="10"/>
        <v>143.16302318308919</v>
      </c>
      <c r="AL39" s="4">
        <f t="shared" si="10"/>
        <v>145.31046716630061</v>
      </c>
      <c r="AM39" s="4">
        <f t="shared" si="10"/>
        <v>147.49007265343874</v>
      </c>
      <c r="AN39" s="4">
        <f t="shared" si="10"/>
        <v>149.70227391002993</v>
      </c>
      <c r="AO39" s="4">
        <f t="shared" si="10"/>
        <v>151.94035540248078</v>
      </c>
      <c r="AP39" s="4">
        <f t="shared" si="10"/>
        <v>154.20480365401804</v>
      </c>
      <c r="AQ39" s="4">
        <f t="shared" si="10"/>
        <v>155.43280946327815</v>
      </c>
      <c r="AR39" s="4">
        <f t="shared" si="10"/>
        <v>156.68653915122275</v>
      </c>
      <c r="AS39" s="4">
        <f t="shared" si="10"/>
        <v>0</v>
      </c>
      <c r="AT39" s="4">
        <f t="shared" si="10"/>
        <v>0</v>
      </c>
      <c r="AU39" s="4">
        <f t="shared" si="10"/>
        <v>0</v>
      </c>
      <c r="AV39" s="4">
        <f t="shared" si="10"/>
        <v>0</v>
      </c>
      <c r="AW39" s="4">
        <f t="shared" si="10"/>
        <v>0</v>
      </c>
      <c r="AX39" s="4">
        <f t="shared" si="10"/>
        <v>0</v>
      </c>
      <c r="AY39" s="4">
        <f t="shared" si="10"/>
        <v>0</v>
      </c>
      <c r="AZ39" s="4">
        <f t="shared" si="10"/>
        <v>0</v>
      </c>
      <c r="BA39" s="4">
        <f t="shared" si="10"/>
        <v>0</v>
      </c>
      <c r="BB39" s="4">
        <f t="shared" si="10"/>
        <v>0</v>
      </c>
      <c r="BC39" s="4">
        <f t="shared" si="10"/>
        <v>0</v>
      </c>
      <c r="BD39" s="4">
        <f t="shared" si="10"/>
        <v>0</v>
      </c>
      <c r="BE39" s="4">
        <f t="shared" si="10"/>
        <v>0</v>
      </c>
      <c r="BF39" s="4">
        <f t="shared" si="10"/>
        <v>0</v>
      </c>
      <c r="BG39" s="4">
        <f t="shared" si="10"/>
        <v>0</v>
      </c>
      <c r="BH39" s="4">
        <f t="shared" si="10"/>
        <v>0</v>
      </c>
      <c r="BI39" s="4">
        <f t="shared" si="10"/>
        <v>0</v>
      </c>
      <c r="BJ39" s="4">
        <f t="shared" si="10"/>
        <v>0</v>
      </c>
      <c r="BK39" s="4">
        <f t="shared" si="10"/>
        <v>0</v>
      </c>
      <c r="BL39" s="4">
        <f t="shared" si="10"/>
        <v>0</v>
      </c>
    </row>
    <row r="40" spans="1:64" x14ac:dyDescent="0.35">
      <c r="A40" s="1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</row>
    <row r="41" spans="1:64" x14ac:dyDescent="0.35">
      <c r="A41" s="1"/>
      <c r="C41" s="2" t="s">
        <v>90</v>
      </c>
      <c r="D41" s="4">
        <f>SUMPRODUCT(E39:BL39/E33:BL33)</f>
        <v>3207.0984191894527</v>
      </c>
    </row>
    <row r="42" spans="1:64" x14ac:dyDescent="0.35">
      <c r="A42" s="1"/>
      <c r="C42" s="34" t="s">
        <v>125</v>
      </c>
      <c r="D42" s="47">
        <f>D41</f>
        <v>3207.0984191894527</v>
      </c>
    </row>
    <row r="43" spans="1:64" x14ac:dyDescent="0.35">
      <c r="A43" s="1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</row>
    <row r="44" spans="1:64" x14ac:dyDescent="0.35">
      <c r="A44" s="1"/>
      <c r="C44" s="2" t="s">
        <v>91</v>
      </c>
      <c r="E44" s="4">
        <f t="shared" ref="E44:BL44" si="11">D46</f>
        <v>3207.0984191894527</v>
      </c>
      <c r="F44" s="4">
        <f t="shared" si="11"/>
        <v>3164.5280960176542</v>
      </c>
      <c r="G44" s="4">
        <f t="shared" si="11"/>
        <v>3119.9590665703099</v>
      </c>
      <c r="H44" s="4">
        <f t="shared" si="11"/>
        <v>3073.3409706104339</v>
      </c>
      <c r="I44" s="4">
        <f t="shared" si="11"/>
        <v>3024.6224087918495</v>
      </c>
      <c r="J44" s="4">
        <f t="shared" si="11"/>
        <v>2973.754142922046</v>
      </c>
      <c r="K44" s="4">
        <f t="shared" si="11"/>
        <v>2920.6859407048119</v>
      </c>
      <c r="L44" s="4">
        <f t="shared" si="11"/>
        <v>2865.8449461711889</v>
      </c>
      <c r="M44" s="4">
        <f t="shared" si="11"/>
        <v>2809.1947531891487</v>
      </c>
      <c r="N44" s="4">
        <f t="shared" si="11"/>
        <v>2764.7409110235376</v>
      </c>
      <c r="O44" s="4">
        <f t="shared" si="11"/>
        <v>2718.3846742780593</v>
      </c>
      <c r="P44" s="4">
        <f t="shared" si="11"/>
        <v>2669.5765469731823</v>
      </c>
      <c r="Q44" s="4">
        <f t="shared" si="11"/>
        <v>2618.2446198103512</v>
      </c>
      <c r="R44" s="4">
        <f t="shared" si="11"/>
        <v>2564.315202232729</v>
      </c>
      <c r="S44" s="4">
        <f t="shared" si="11"/>
        <v>2507.7127816539469</v>
      </c>
      <c r="T44" s="4">
        <f t="shared" si="11"/>
        <v>2448.3599817942377</v>
      </c>
      <c r="U44" s="4">
        <f t="shared" si="11"/>
        <v>2386.1775201049427</v>
      </c>
      <c r="V44" s="4">
        <f t="shared" si="11"/>
        <v>2321.0841642619839</v>
      </c>
      <c r="W44" s="4">
        <f t="shared" si="11"/>
        <v>2252.9966877084903</v>
      </c>
      <c r="X44" s="4">
        <f t="shared" si="11"/>
        <v>2193.0948076648883</v>
      </c>
      <c r="Y44" s="4">
        <f t="shared" si="11"/>
        <v>2129.9519786616515</v>
      </c>
      <c r="Z44" s="4">
        <f t="shared" si="11"/>
        <v>2063.4610259454107</v>
      </c>
      <c r="AA44" s="4">
        <f t="shared" si="11"/>
        <v>1993.5117031285222</v>
      </c>
      <c r="AB44" s="4">
        <f t="shared" si="11"/>
        <v>1919.9906095142287</v>
      </c>
      <c r="AC44" s="4">
        <f t="shared" si="11"/>
        <v>1842.7811052666902</v>
      </c>
      <c r="AD44" s="4">
        <f t="shared" si="11"/>
        <v>1761.7632243706826</v>
      </c>
      <c r="AE44" s="4">
        <f t="shared" si="11"/>
        <v>1676.8135853243596</v>
      </c>
      <c r="AF44" s="4">
        <f t="shared" si="11"/>
        <v>1587.8052995070448</v>
      </c>
      <c r="AG44" s="4">
        <f t="shared" si="11"/>
        <v>1494.6078771625414</v>
      </c>
      <c r="AH44" s="4">
        <f t="shared" si="11"/>
        <v>1397.0871309369604</v>
      </c>
      <c r="AI44" s="4">
        <f t="shared" si="11"/>
        <v>1295.1050769085164</v>
      </c>
      <c r="AJ44" s="4">
        <f t="shared" si="11"/>
        <v>1188.5198330473411</v>
      </c>
      <c r="AK44" s="4">
        <f t="shared" si="11"/>
        <v>1077.185515039554</v>
      </c>
      <c r="AL44" s="4">
        <f t="shared" si="11"/>
        <v>960.95212973245373</v>
      </c>
      <c r="AM44" s="4">
        <f t="shared" si="11"/>
        <v>839.66546580946442</v>
      </c>
      <c r="AN44" s="4">
        <f t="shared" si="11"/>
        <v>713.16702980126229</v>
      </c>
      <c r="AO44" s="4">
        <f t="shared" si="11"/>
        <v>581.29393163626389</v>
      </c>
      <c r="AP44" s="4">
        <f t="shared" si="11"/>
        <v>443.8859245246897</v>
      </c>
      <c r="AQ44" s="4">
        <f t="shared" si="11"/>
        <v>300.77826898378891</v>
      </c>
      <c r="AR44" s="4">
        <f t="shared" si="11"/>
        <v>152.86491624510549</v>
      </c>
      <c r="AS44" s="4">
        <f t="shared" si="11"/>
        <v>1.0373923942097463E-11</v>
      </c>
      <c r="AT44" s="4">
        <f t="shared" si="11"/>
        <v>1.0633272040649899E-11</v>
      </c>
      <c r="AU44" s="4">
        <f t="shared" si="11"/>
        <v>1.0899103841666146E-11</v>
      </c>
      <c r="AV44" s="4">
        <f t="shared" si="11"/>
        <v>1.1171581437707799E-11</v>
      </c>
      <c r="AW44" s="4">
        <f t="shared" si="11"/>
        <v>1.1450870973650495E-11</v>
      </c>
      <c r="AX44" s="4">
        <f t="shared" si="11"/>
        <v>1.1737142747991757E-11</v>
      </c>
      <c r="AY44" s="4">
        <f t="shared" si="11"/>
        <v>1.2030571316691551E-11</v>
      </c>
      <c r="AZ44" s="4">
        <f t="shared" si="11"/>
        <v>1.233133559960884E-11</v>
      </c>
      <c r="BA44" s="4">
        <f t="shared" si="11"/>
        <v>1.2639618989599061E-11</v>
      </c>
      <c r="BB44" s="4">
        <f t="shared" si="11"/>
        <v>1.2955609464339037E-11</v>
      </c>
      <c r="BC44" s="4">
        <f t="shared" si="11"/>
        <v>1.3279499700947513E-11</v>
      </c>
      <c r="BD44" s="4">
        <f t="shared" si="11"/>
        <v>1.36114871934712E-11</v>
      </c>
      <c r="BE44" s="4">
        <f t="shared" si="11"/>
        <v>1.395177437330798E-11</v>
      </c>
      <c r="BF44" s="4">
        <f t="shared" si="11"/>
        <v>1.430056873264068E-11</v>
      </c>
      <c r="BG44" s="4">
        <f t="shared" si="11"/>
        <v>1.4658082950956697E-11</v>
      </c>
      <c r="BH44" s="4">
        <f t="shared" si="11"/>
        <v>1.5024535024730614E-11</v>
      </c>
      <c r="BI44" s="4">
        <f t="shared" si="11"/>
        <v>1.5400148400348878E-11</v>
      </c>
      <c r="BJ44" s="4">
        <f t="shared" si="11"/>
        <v>1.5785152110357601E-11</v>
      </c>
      <c r="BK44" s="4">
        <f t="shared" si="11"/>
        <v>1.617978091311654E-11</v>
      </c>
      <c r="BL44" s="4">
        <f t="shared" si="11"/>
        <v>1.6584275435944454E-11</v>
      </c>
    </row>
    <row r="45" spans="1:64" x14ac:dyDescent="0.35">
      <c r="A45" s="1"/>
      <c r="C45" s="2" t="s">
        <v>74</v>
      </c>
      <c r="E45" s="4">
        <f t="shared" ref="E45:BL45" si="12">E39-E47</f>
        <v>42.57032317179852</v>
      </c>
      <c r="F45" s="4">
        <f t="shared" si="12"/>
        <v>44.569029447344327</v>
      </c>
      <c r="G45" s="4">
        <f t="shared" si="12"/>
        <v>46.618095959875781</v>
      </c>
      <c r="H45" s="4">
        <f t="shared" si="12"/>
        <v>48.718561818584305</v>
      </c>
      <c r="I45" s="4">
        <f t="shared" si="12"/>
        <v>50.868265869803729</v>
      </c>
      <c r="J45" s="4">
        <f t="shared" si="12"/>
        <v>53.068202217234123</v>
      </c>
      <c r="K45" s="4">
        <f t="shared" si="12"/>
        <v>54.84099453362294</v>
      </c>
      <c r="L45" s="4">
        <f t="shared" si="12"/>
        <v>56.650192982040316</v>
      </c>
      <c r="M45" s="4">
        <f t="shared" si="12"/>
        <v>44.453842165611313</v>
      </c>
      <c r="N45" s="4">
        <f t="shared" si="12"/>
        <v>46.356236745478178</v>
      </c>
      <c r="O45" s="4">
        <f t="shared" si="12"/>
        <v>48.808127304876969</v>
      </c>
      <c r="P45" s="4">
        <f t="shared" si="12"/>
        <v>51.331927162831064</v>
      </c>
      <c r="Q45" s="4">
        <f t="shared" si="12"/>
        <v>53.929417577622104</v>
      </c>
      <c r="R45" s="4">
        <f t="shared" si="12"/>
        <v>56.602420578781967</v>
      </c>
      <c r="S45" s="4">
        <f t="shared" si="12"/>
        <v>59.352799859709158</v>
      </c>
      <c r="T45" s="4">
        <f t="shared" si="12"/>
        <v>62.182461689295152</v>
      </c>
      <c r="U45" s="4">
        <f t="shared" si="12"/>
        <v>65.093355842958729</v>
      </c>
      <c r="V45" s="4">
        <f t="shared" si="12"/>
        <v>68.087476553493758</v>
      </c>
      <c r="W45" s="4">
        <f t="shared" si="12"/>
        <v>59.901880043602162</v>
      </c>
      <c r="X45" s="4">
        <f t="shared" si="12"/>
        <v>63.142829003236926</v>
      </c>
      <c r="Y45" s="4">
        <f t="shared" si="12"/>
        <v>66.490952716240713</v>
      </c>
      <c r="Z45" s="4">
        <f t="shared" si="12"/>
        <v>69.949322816888454</v>
      </c>
      <c r="AA45" s="4">
        <f t="shared" si="12"/>
        <v>73.52109361429352</v>
      </c>
      <c r="AB45" s="4">
        <f t="shared" si="12"/>
        <v>77.209504247538433</v>
      </c>
      <c r="AC45" s="4">
        <f t="shared" si="12"/>
        <v>81.017880896007796</v>
      </c>
      <c r="AD45" s="4">
        <f t="shared" si="12"/>
        <v>84.949639046323085</v>
      </c>
      <c r="AE45" s="4">
        <f t="shared" si="12"/>
        <v>89.008285817314885</v>
      </c>
      <c r="AF45" s="4">
        <f t="shared" si="12"/>
        <v>93.197422344503337</v>
      </c>
      <c r="AG45" s="4">
        <f t="shared" si="12"/>
        <v>97.520746225580979</v>
      </c>
      <c r="AH45" s="4">
        <f t="shared" si="12"/>
        <v>101.98205402844403</v>
      </c>
      <c r="AI45" s="4">
        <f t="shared" si="12"/>
        <v>106.58524386117523</v>
      </c>
      <c r="AJ45" s="4">
        <f t="shared" si="12"/>
        <v>111.33431800778699</v>
      </c>
      <c r="AK45" s="4">
        <f t="shared" si="12"/>
        <v>116.23338530710035</v>
      </c>
      <c r="AL45" s="4">
        <f t="shared" si="12"/>
        <v>121.28666392298926</v>
      </c>
      <c r="AM45" s="4">
        <f t="shared" si="12"/>
        <v>126.49843600820213</v>
      </c>
      <c r="AN45" s="4">
        <f t="shared" si="12"/>
        <v>131.87309816499837</v>
      </c>
      <c r="AO45" s="4">
        <f t="shared" si="12"/>
        <v>137.40800711157419</v>
      </c>
      <c r="AP45" s="4">
        <f t="shared" si="12"/>
        <v>143.10765554090079</v>
      </c>
      <c r="AQ45" s="4">
        <f t="shared" si="12"/>
        <v>147.91335273868341</v>
      </c>
      <c r="AR45" s="4">
        <f t="shared" si="12"/>
        <v>152.86491624509512</v>
      </c>
      <c r="AS45" s="4">
        <f t="shared" si="12"/>
        <v>-2.5934809855243657E-13</v>
      </c>
      <c r="AT45" s="4">
        <f t="shared" si="12"/>
        <v>-2.6583180101624749E-13</v>
      </c>
      <c r="AU45" s="4">
        <f t="shared" si="12"/>
        <v>-2.7247759604165364E-13</v>
      </c>
      <c r="AV45" s="4">
        <f t="shared" si="12"/>
        <v>-2.7928953594269502E-13</v>
      </c>
      <c r="AW45" s="4">
        <f t="shared" si="12"/>
        <v>-2.8627177434126239E-13</v>
      </c>
      <c r="AX45" s="4">
        <f t="shared" si="12"/>
        <v>-2.9342856869979394E-13</v>
      </c>
      <c r="AY45" s="4">
        <f t="shared" si="12"/>
        <v>-3.0076428291728882E-13</v>
      </c>
      <c r="AZ45" s="4">
        <f t="shared" si="12"/>
        <v>-3.0828338999022104E-13</v>
      </c>
      <c r="BA45" s="4">
        <f t="shared" si="12"/>
        <v>-3.1599047473997652E-13</v>
      </c>
      <c r="BB45" s="4">
        <f t="shared" si="12"/>
        <v>-3.2389023660847594E-13</v>
      </c>
      <c r="BC45" s="4">
        <f t="shared" si="12"/>
        <v>-3.3198749252368783E-13</v>
      </c>
      <c r="BD45" s="4">
        <f t="shared" si="12"/>
        <v>-3.4028717983678004E-13</v>
      </c>
      <c r="BE45" s="4">
        <f t="shared" si="12"/>
        <v>-3.487943593326995E-13</v>
      </c>
      <c r="BF45" s="4">
        <f t="shared" si="12"/>
        <v>-3.5751421831601702E-13</v>
      </c>
      <c r="BG45" s="4">
        <f t="shared" si="12"/>
        <v>-3.6645207377391745E-13</v>
      </c>
      <c r="BH45" s="4">
        <f t="shared" si="12"/>
        <v>-3.7561337561826539E-13</v>
      </c>
      <c r="BI45" s="4">
        <f t="shared" si="12"/>
        <v>-3.8500371000872198E-13</v>
      </c>
      <c r="BJ45" s="4">
        <f t="shared" si="12"/>
        <v>-3.9462880275894004E-13</v>
      </c>
      <c r="BK45" s="4">
        <f t="shared" si="12"/>
        <v>-4.0449452282791354E-13</v>
      </c>
      <c r="BL45" s="4">
        <f t="shared" si="12"/>
        <v>-4.1460688589861136E-13</v>
      </c>
    </row>
    <row r="46" spans="1:64" x14ac:dyDescent="0.35">
      <c r="A46" s="1"/>
      <c r="C46" s="2" t="s">
        <v>92</v>
      </c>
      <c r="D46" s="4">
        <f>D41</f>
        <v>3207.0984191894527</v>
      </c>
      <c r="E46" s="4">
        <f t="shared" ref="E46:BL46" si="13">E44-E45</f>
        <v>3164.5280960176542</v>
      </c>
      <c r="F46" s="4">
        <f t="shared" si="13"/>
        <v>3119.9590665703099</v>
      </c>
      <c r="G46" s="4">
        <f t="shared" si="13"/>
        <v>3073.3409706104339</v>
      </c>
      <c r="H46" s="4">
        <f t="shared" si="13"/>
        <v>3024.6224087918495</v>
      </c>
      <c r="I46" s="4">
        <f t="shared" si="13"/>
        <v>2973.754142922046</v>
      </c>
      <c r="J46" s="4">
        <f t="shared" si="13"/>
        <v>2920.6859407048119</v>
      </c>
      <c r="K46" s="4">
        <f t="shared" si="13"/>
        <v>2865.8449461711889</v>
      </c>
      <c r="L46" s="4">
        <f t="shared" si="13"/>
        <v>2809.1947531891487</v>
      </c>
      <c r="M46" s="4">
        <f t="shared" si="13"/>
        <v>2764.7409110235376</v>
      </c>
      <c r="N46" s="4">
        <f t="shared" si="13"/>
        <v>2718.3846742780593</v>
      </c>
      <c r="O46" s="4">
        <f t="shared" si="13"/>
        <v>2669.5765469731823</v>
      </c>
      <c r="P46" s="4">
        <f t="shared" si="13"/>
        <v>2618.2446198103512</v>
      </c>
      <c r="Q46" s="4">
        <f t="shared" si="13"/>
        <v>2564.315202232729</v>
      </c>
      <c r="R46" s="4">
        <f t="shared" si="13"/>
        <v>2507.7127816539469</v>
      </c>
      <c r="S46" s="4">
        <f t="shared" si="13"/>
        <v>2448.3599817942377</v>
      </c>
      <c r="T46" s="4">
        <f t="shared" si="13"/>
        <v>2386.1775201049427</v>
      </c>
      <c r="U46" s="4">
        <f t="shared" si="13"/>
        <v>2321.0841642619839</v>
      </c>
      <c r="V46" s="4">
        <f t="shared" si="13"/>
        <v>2252.9966877084903</v>
      </c>
      <c r="W46" s="4">
        <f t="shared" si="13"/>
        <v>2193.0948076648883</v>
      </c>
      <c r="X46" s="4">
        <f t="shared" si="13"/>
        <v>2129.9519786616515</v>
      </c>
      <c r="Y46" s="4">
        <f t="shared" si="13"/>
        <v>2063.4610259454107</v>
      </c>
      <c r="Z46" s="4">
        <f t="shared" si="13"/>
        <v>1993.5117031285222</v>
      </c>
      <c r="AA46" s="4">
        <f t="shared" si="13"/>
        <v>1919.9906095142287</v>
      </c>
      <c r="AB46" s="4">
        <f t="shared" si="13"/>
        <v>1842.7811052666902</v>
      </c>
      <c r="AC46" s="4">
        <f t="shared" si="13"/>
        <v>1761.7632243706826</v>
      </c>
      <c r="AD46" s="4">
        <f t="shared" si="13"/>
        <v>1676.8135853243596</v>
      </c>
      <c r="AE46" s="4">
        <f t="shared" si="13"/>
        <v>1587.8052995070448</v>
      </c>
      <c r="AF46" s="4">
        <f t="shared" si="13"/>
        <v>1494.6078771625414</v>
      </c>
      <c r="AG46" s="4">
        <f t="shared" si="13"/>
        <v>1397.0871309369604</v>
      </c>
      <c r="AH46" s="4">
        <f t="shared" si="13"/>
        <v>1295.1050769085164</v>
      </c>
      <c r="AI46" s="4">
        <f t="shared" si="13"/>
        <v>1188.5198330473411</v>
      </c>
      <c r="AJ46" s="4">
        <f t="shared" si="13"/>
        <v>1077.185515039554</v>
      </c>
      <c r="AK46" s="4">
        <f t="shared" si="13"/>
        <v>960.95212973245373</v>
      </c>
      <c r="AL46" s="4">
        <f t="shared" si="13"/>
        <v>839.66546580946442</v>
      </c>
      <c r="AM46" s="4">
        <f t="shared" si="13"/>
        <v>713.16702980126229</v>
      </c>
      <c r="AN46" s="4">
        <f t="shared" si="13"/>
        <v>581.29393163626389</v>
      </c>
      <c r="AO46" s="4">
        <f t="shared" si="13"/>
        <v>443.8859245246897</v>
      </c>
      <c r="AP46" s="4">
        <f t="shared" si="13"/>
        <v>300.77826898378891</v>
      </c>
      <c r="AQ46" s="4">
        <f t="shared" si="13"/>
        <v>152.86491624510549</v>
      </c>
      <c r="AR46" s="4">
        <f t="shared" si="13"/>
        <v>1.0373923942097463E-11</v>
      </c>
      <c r="AS46" s="4">
        <f t="shared" si="13"/>
        <v>1.0633272040649899E-11</v>
      </c>
      <c r="AT46" s="4">
        <f t="shared" si="13"/>
        <v>1.0899103841666146E-11</v>
      </c>
      <c r="AU46" s="4">
        <f t="shared" si="13"/>
        <v>1.1171581437707799E-11</v>
      </c>
      <c r="AV46" s="4">
        <f t="shared" si="13"/>
        <v>1.1450870973650495E-11</v>
      </c>
      <c r="AW46" s="4">
        <f t="shared" si="13"/>
        <v>1.1737142747991757E-11</v>
      </c>
      <c r="AX46" s="4">
        <f t="shared" si="13"/>
        <v>1.2030571316691551E-11</v>
      </c>
      <c r="AY46" s="4">
        <f t="shared" si="13"/>
        <v>1.233133559960884E-11</v>
      </c>
      <c r="AZ46" s="4">
        <f t="shared" si="13"/>
        <v>1.2639618989599061E-11</v>
      </c>
      <c r="BA46" s="4">
        <f t="shared" si="13"/>
        <v>1.2955609464339037E-11</v>
      </c>
      <c r="BB46" s="4">
        <f t="shared" si="13"/>
        <v>1.3279499700947513E-11</v>
      </c>
      <c r="BC46" s="4">
        <f t="shared" si="13"/>
        <v>1.36114871934712E-11</v>
      </c>
      <c r="BD46" s="4">
        <f t="shared" si="13"/>
        <v>1.395177437330798E-11</v>
      </c>
      <c r="BE46" s="4">
        <f t="shared" si="13"/>
        <v>1.430056873264068E-11</v>
      </c>
      <c r="BF46" s="4">
        <f t="shared" si="13"/>
        <v>1.4658082950956697E-11</v>
      </c>
      <c r="BG46" s="4">
        <f t="shared" si="13"/>
        <v>1.5024535024730614E-11</v>
      </c>
      <c r="BH46" s="4">
        <f t="shared" si="13"/>
        <v>1.5400148400348878E-11</v>
      </c>
      <c r="BI46" s="4">
        <f t="shared" si="13"/>
        <v>1.5785152110357601E-11</v>
      </c>
      <c r="BJ46" s="4">
        <f t="shared" si="13"/>
        <v>1.617978091311654E-11</v>
      </c>
      <c r="BK46" s="4">
        <f t="shared" si="13"/>
        <v>1.6584275435944454E-11</v>
      </c>
      <c r="BL46" s="4">
        <f t="shared" si="13"/>
        <v>1.6998882321843065E-11</v>
      </c>
    </row>
    <row r="47" spans="1:64" x14ac:dyDescent="0.35">
      <c r="A47" s="1"/>
      <c r="C47" s="2" t="s">
        <v>8</v>
      </c>
      <c r="E47" s="4">
        <f t="shared" ref="E47:BL47" si="14">E44*E32</f>
        <v>48.106476287841787</v>
      </c>
      <c r="F47" s="4">
        <f t="shared" si="14"/>
        <v>47.46792144026481</v>
      </c>
      <c r="G47" s="4">
        <f t="shared" si="14"/>
        <v>46.799385998554648</v>
      </c>
      <c r="H47" s="4">
        <f t="shared" si="14"/>
        <v>46.100114559156509</v>
      </c>
      <c r="I47" s="4">
        <f t="shared" si="14"/>
        <v>45.369336131877738</v>
      </c>
      <c r="J47" s="4">
        <f t="shared" si="14"/>
        <v>44.606312143830685</v>
      </c>
      <c r="K47" s="4">
        <f t="shared" si="14"/>
        <v>43.810289110572178</v>
      </c>
      <c r="L47" s="4">
        <f t="shared" si="14"/>
        <v>42.98767419256783</v>
      </c>
      <c r="M47" s="4">
        <f t="shared" si="14"/>
        <v>56.183895063782977</v>
      </c>
      <c r="N47" s="4">
        <f t="shared" si="14"/>
        <v>55.294818220470752</v>
      </c>
      <c r="O47" s="4">
        <f t="shared" si="14"/>
        <v>54.367693485561183</v>
      </c>
      <c r="P47" s="4">
        <f t="shared" si="14"/>
        <v>53.391530939463649</v>
      </c>
      <c r="Q47" s="4">
        <f t="shared" si="14"/>
        <v>52.364892396207026</v>
      </c>
      <c r="R47" s="4">
        <f t="shared" si="14"/>
        <v>51.286304044654578</v>
      </c>
      <c r="S47" s="4">
        <f t="shared" si="14"/>
        <v>50.15425563307894</v>
      </c>
      <c r="T47" s="4">
        <f t="shared" si="14"/>
        <v>48.967199635884754</v>
      </c>
      <c r="U47" s="4">
        <f t="shared" si="14"/>
        <v>47.723550402098851</v>
      </c>
      <c r="V47" s="4">
        <f t="shared" si="14"/>
        <v>46.421683285239681</v>
      </c>
      <c r="W47" s="4">
        <f t="shared" si="14"/>
        <v>56.324917192712263</v>
      </c>
      <c r="X47" s="4">
        <f t="shared" si="14"/>
        <v>54.827370191622208</v>
      </c>
      <c r="Y47" s="4">
        <f t="shared" si="14"/>
        <v>53.248799466541293</v>
      </c>
      <c r="Z47" s="4">
        <f t="shared" si="14"/>
        <v>51.586525648635273</v>
      </c>
      <c r="AA47" s="4">
        <f t="shared" si="14"/>
        <v>49.837792578213055</v>
      </c>
      <c r="AB47" s="4">
        <f t="shared" si="14"/>
        <v>47.999765237855719</v>
      </c>
      <c r="AC47" s="4">
        <f t="shared" si="14"/>
        <v>46.069527631667256</v>
      </c>
      <c r="AD47" s="4">
        <f t="shared" si="14"/>
        <v>44.04408060926707</v>
      </c>
      <c r="AE47" s="4">
        <f t="shared" si="14"/>
        <v>41.920339633108995</v>
      </c>
      <c r="AF47" s="4">
        <f t="shared" si="14"/>
        <v>39.695132487676119</v>
      </c>
      <c r="AG47" s="4">
        <f t="shared" si="14"/>
        <v>37.365196929063536</v>
      </c>
      <c r="AH47" s="4">
        <f t="shared" si="14"/>
        <v>34.927178273424012</v>
      </c>
      <c r="AI47" s="4">
        <f t="shared" si="14"/>
        <v>32.377626922712913</v>
      </c>
      <c r="AJ47" s="4">
        <f t="shared" si="14"/>
        <v>29.71299582618353</v>
      </c>
      <c r="AK47" s="4">
        <f t="shared" si="14"/>
        <v>26.929637875988853</v>
      </c>
      <c r="AL47" s="4">
        <f t="shared" si="14"/>
        <v>24.023803243311345</v>
      </c>
      <c r="AM47" s="4">
        <f t="shared" si="14"/>
        <v>20.991636645236611</v>
      </c>
      <c r="AN47" s="4">
        <f t="shared" si="14"/>
        <v>17.829175745031559</v>
      </c>
      <c r="AO47" s="4">
        <f t="shared" si="14"/>
        <v>14.532348290906597</v>
      </c>
      <c r="AP47" s="4">
        <f t="shared" si="14"/>
        <v>11.097148113117242</v>
      </c>
      <c r="AQ47" s="4">
        <f t="shared" si="14"/>
        <v>7.5194567245947228</v>
      </c>
      <c r="AR47" s="4">
        <f t="shared" si="14"/>
        <v>3.8216229061276374</v>
      </c>
      <c r="AS47" s="4">
        <f t="shared" si="14"/>
        <v>2.5934809855243657E-13</v>
      </c>
      <c r="AT47" s="4">
        <f t="shared" si="14"/>
        <v>2.6583180101624749E-13</v>
      </c>
      <c r="AU47" s="4">
        <f t="shared" si="14"/>
        <v>2.7247759604165364E-13</v>
      </c>
      <c r="AV47" s="4">
        <f t="shared" si="14"/>
        <v>2.7928953594269502E-13</v>
      </c>
      <c r="AW47" s="4">
        <f t="shared" si="14"/>
        <v>2.8627177434126239E-13</v>
      </c>
      <c r="AX47" s="4">
        <f t="shared" si="14"/>
        <v>2.9342856869979394E-13</v>
      </c>
      <c r="AY47" s="4">
        <f t="shared" si="14"/>
        <v>3.0076428291728882E-13</v>
      </c>
      <c r="AZ47" s="4">
        <f t="shared" si="14"/>
        <v>3.0828338999022104E-13</v>
      </c>
      <c r="BA47" s="4">
        <f t="shared" si="14"/>
        <v>3.1599047473997652E-13</v>
      </c>
      <c r="BB47" s="4">
        <f t="shared" si="14"/>
        <v>3.2389023660847594E-13</v>
      </c>
      <c r="BC47" s="4">
        <f t="shared" si="14"/>
        <v>3.3198749252368783E-13</v>
      </c>
      <c r="BD47" s="4">
        <f t="shared" si="14"/>
        <v>3.4028717983678004E-13</v>
      </c>
      <c r="BE47" s="4">
        <f t="shared" si="14"/>
        <v>3.487943593326995E-13</v>
      </c>
      <c r="BF47" s="4">
        <f t="shared" si="14"/>
        <v>3.5751421831601702E-13</v>
      </c>
      <c r="BG47" s="4">
        <f t="shared" si="14"/>
        <v>3.6645207377391745E-13</v>
      </c>
      <c r="BH47" s="4">
        <f t="shared" si="14"/>
        <v>3.7561337561826539E-13</v>
      </c>
      <c r="BI47" s="4">
        <f t="shared" si="14"/>
        <v>3.8500371000872198E-13</v>
      </c>
      <c r="BJ47" s="4">
        <f t="shared" si="14"/>
        <v>3.9462880275894004E-13</v>
      </c>
      <c r="BK47" s="4">
        <f t="shared" si="14"/>
        <v>4.0449452282791354E-13</v>
      </c>
      <c r="BL47" s="4">
        <f t="shared" si="14"/>
        <v>4.1460688589861136E-13</v>
      </c>
    </row>
    <row r="48" spans="1:64" x14ac:dyDescent="0.35">
      <c r="A48" s="1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</row>
    <row r="49" spans="1:64" x14ac:dyDescent="0.35">
      <c r="A49" s="1"/>
      <c r="E49" s="26"/>
      <c r="F49" s="26"/>
      <c r="G49" s="26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</row>
    <row r="50" spans="1:64" x14ac:dyDescent="0.35">
      <c r="A50" s="1"/>
      <c r="B50" s="1"/>
      <c r="C50" s="2" t="s">
        <v>116</v>
      </c>
      <c r="D50" s="45">
        <f ca="1">IFERROR(SUM(OFFSET(D39,0,1,1,$D$8)),0)</f>
        <v>276.13123230567987</v>
      </c>
      <c r="E50" s="45">
        <f t="shared" ref="E50:BL50" ca="1" si="15">IFERROR(SUM(OFFSET(E39,0,1,1,$D$8)),0)</f>
        <v>280.27310922378035</v>
      </c>
      <c r="F50" s="45">
        <f t="shared" ca="1" si="15"/>
        <v>284.4737603378527</v>
      </c>
      <c r="G50" s="45">
        <f t="shared" ca="1" si="15"/>
        <v>288.73079274048712</v>
      </c>
      <c r="H50" s="45">
        <f t="shared" ca="1" si="15"/>
        <v>292.56340000694138</v>
      </c>
      <c r="I50" s="45">
        <f t="shared" ca="1" si="15"/>
        <v>295.96366517986803</v>
      </c>
      <c r="J50" s="45">
        <f t="shared" ca="1" si="15"/>
        <v>298.92688804819755</v>
      </c>
      <c r="K50" s="45">
        <f t="shared" ca="1" si="15"/>
        <v>301.92665936995138</v>
      </c>
      <c r="L50" s="45">
        <f t="shared" ca="1" si="15"/>
        <v>305.46461298578134</v>
      </c>
      <c r="M50" s="45">
        <f t="shared" ca="1" si="15"/>
        <v>309.55033385868182</v>
      </c>
      <c r="N50" s="45">
        <f t="shared" ca="1" si="15"/>
        <v>314.19358886656198</v>
      </c>
      <c r="O50" s="45">
        <f t="shared" ca="1" si="15"/>
        <v>318.90649269956037</v>
      </c>
      <c r="P50" s="45">
        <f t="shared" ca="1" si="15"/>
        <v>323.69009009005379</v>
      </c>
      <c r="Q50" s="45">
        <f t="shared" ca="1" si="15"/>
        <v>328.54544144140453</v>
      </c>
      <c r="R50" s="45">
        <f t="shared" ca="1" si="15"/>
        <v>333.47362306302557</v>
      </c>
      <c r="S50" s="45">
        <f t="shared" ca="1" si="15"/>
        <v>338.4757274089709</v>
      </c>
      <c r="T50" s="45">
        <f t="shared" ca="1" si="15"/>
        <v>343.55286332010547</v>
      </c>
      <c r="U50" s="45">
        <f t="shared" ca="1" si="15"/>
        <v>348.70615626990696</v>
      </c>
      <c r="V50" s="45">
        <f t="shared" ca="1" si="15"/>
        <v>353.93674861395556</v>
      </c>
      <c r="W50" s="45">
        <f t="shared" ca="1" si="15"/>
        <v>359.24579984316489</v>
      </c>
      <c r="X50" s="45">
        <f t="shared" ca="1" si="15"/>
        <v>364.63448684081231</v>
      </c>
      <c r="Y50" s="45">
        <f t="shared" ca="1" si="15"/>
        <v>370.10400414342445</v>
      </c>
      <c r="Z50" s="45">
        <f t="shared" ca="1" si="15"/>
        <v>375.65556420557579</v>
      </c>
      <c r="AA50" s="45">
        <f t="shared" ca="1" si="15"/>
        <v>381.29039766865935</v>
      </c>
      <c r="AB50" s="45">
        <f t="shared" ca="1" si="15"/>
        <v>387.00975363368912</v>
      </c>
      <c r="AC50" s="45">
        <f t="shared" ca="1" si="15"/>
        <v>392.81489993819355</v>
      </c>
      <c r="AD50" s="45">
        <f t="shared" ca="1" si="15"/>
        <v>398.70712343724784</v>
      </c>
      <c r="AE50" s="45">
        <f t="shared" ca="1" si="15"/>
        <v>404.68773028869197</v>
      </c>
      <c r="AF50" s="45">
        <f t="shared" ca="1" si="15"/>
        <v>410.75804624040069</v>
      </c>
      <c r="AG50" s="45">
        <f t="shared" ca="1" si="15"/>
        <v>416.9194169197267</v>
      </c>
      <c r="AH50" s="45">
        <f t="shared" ca="1" si="15"/>
        <v>423.17320780094786</v>
      </c>
      <c r="AI50" s="45">
        <f t="shared" ca="1" si="15"/>
        <v>429.52080418336033</v>
      </c>
      <c r="AJ50" s="45">
        <f t="shared" ca="1" si="15"/>
        <v>435.96356300282855</v>
      </c>
      <c r="AK50" s="45">
        <f t="shared" ca="1" si="15"/>
        <v>442.50281372976929</v>
      </c>
      <c r="AL50" s="45">
        <f t="shared" ca="1" si="15"/>
        <v>449.13270196594942</v>
      </c>
      <c r="AM50" s="45">
        <f t="shared" ca="1" si="15"/>
        <v>455.8474329665288</v>
      </c>
      <c r="AN50" s="45">
        <f t="shared" ca="1" si="15"/>
        <v>461.57796851977696</v>
      </c>
      <c r="AO50" s="45">
        <f t="shared" ca="1" si="15"/>
        <v>466.3241522685189</v>
      </c>
      <c r="AP50" s="45">
        <f t="shared" ca="1" si="15"/>
        <v>312.11934861450089</v>
      </c>
      <c r="AQ50" s="45">
        <f t="shared" ca="1" si="15"/>
        <v>156.68653915122275</v>
      </c>
      <c r="AR50" s="45">
        <f t="shared" ca="1" si="15"/>
        <v>0</v>
      </c>
      <c r="AS50" s="45">
        <f t="shared" ca="1" si="15"/>
        <v>0</v>
      </c>
      <c r="AT50" s="45">
        <f t="shared" ca="1" si="15"/>
        <v>0</v>
      </c>
      <c r="AU50" s="45">
        <f t="shared" ca="1" si="15"/>
        <v>0</v>
      </c>
      <c r="AV50" s="45">
        <f t="shared" ca="1" si="15"/>
        <v>0</v>
      </c>
      <c r="AW50" s="45">
        <f t="shared" ca="1" si="15"/>
        <v>0</v>
      </c>
      <c r="AX50" s="45">
        <f t="shared" ca="1" si="15"/>
        <v>0</v>
      </c>
      <c r="AY50" s="45">
        <f t="shared" ca="1" si="15"/>
        <v>0</v>
      </c>
      <c r="AZ50" s="45">
        <f t="shared" ca="1" si="15"/>
        <v>0</v>
      </c>
      <c r="BA50" s="45">
        <f t="shared" ca="1" si="15"/>
        <v>0</v>
      </c>
      <c r="BB50" s="45">
        <f t="shared" ca="1" si="15"/>
        <v>0</v>
      </c>
      <c r="BC50" s="45">
        <f t="shared" ca="1" si="15"/>
        <v>0</v>
      </c>
      <c r="BD50" s="45">
        <f t="shared" ca="1" si="15"/>
        <v>0</v>
      </c>
      <c r="BE50" s="45">
        <f t="shared" ca="1" si="15"/>
        <v>0</v>
      </c>
      <c r="BF50" s="45">
        <f t="shared" ca="1" si="15"/>
        <v>0</v>
      </c>
      <c r="BG50" s="45">
        <f t="shared" ca="1" si="15"/>
        <v>0</v>
      </c>
      <c r="BH50" s="45">
        <f t="shared" ca="1" si="15"/>
        <v>0</v>
      </c>
      <c r="BI50" s="45">
        <f t="shared" ca="1" si="15"/>
        <v>0</v>
      </c>
      <c r="BJ50" s="45">
        <f t="shared" ca="1" si="15"/>
        <v>0</v>
      </c>
      <c r="BK50" s="45">
        <f t="shared" ca="1" si="15"/>
        <v>0</v>
      </c>
      <c r="BL50" s="45">
        <f t="shared" ca="1" si="15"/>
        <v>0</v>
      </c>
    </row>
    <row r="51" spans="1:64" x14ac:dyDescent="0.35">
      <c r="A51" s="1"/>
      <c r="C51" s="2" t="s">
        <v>135</v>
      </c>
      <c r="D51" s="52">
        <v>276.13123230567987</v>
      </c>
      <c r="E51" s="2" t="s">
        <v>139</v>
      </c>
    </row>
    <row r="52" spans="1:64" x14ac:dyDescent="0.35">
      <c r="A52" s="1"/>
      <c r="C52" s="2" t="s">
        <v>96</v>
      </c>
      <c r="D52" s="4">
        <f ca="1">D50-D51</f>
        <v>0</v>
      </c>
      <c r="E52" s="2" t="s">
        <v>138</v>
      </c>
    </row>
    <row r="53" spans="1:64" x14ac:dyDescent="0.35">
      <c r="A53" s="1"/>
    </row>
    <row r="54" spans="1:64" x14ac:dyDescent="0.35">
      <c r="A54" s="1"/>
      <c r="C54" s="2" t="s">
        <v>106</v>
      </c>
      <c r="E54" s="12">
        <f t="shared" ref="E54:BL54" si="16">$D$9/2</f>
        <v>0.01</v>
      </c>
      <c r="F54" s="12">
        <f t="shared" si="16"/>
        <v>0.01</v>
      </c>
      <c r="G54" s="12">
        <f t="shared" si="16"/>
        <v>0.01</v>
      </c>
      <c r="H54" s="12">
        <f t="shared" si="16"/>
        <v>0.01</v>
      </c>
      <c r="I54" s="12">
        <f t="shared" si="16"/>
        <v>0.01</v>
      </c>
      <c r="J54" s="12">
        <f t="shared" si="16"/>
        <v>0.01</v>
      </c>
      <c r="K54" s="12">
        <f t="shared" si="16"/>
        <v>0.01</v>
      </c>
      <c r="L54" s="12">
        <f t="shared" si="16"/>
        <v>0.01</v>
      </c>
      <c r="M54" s="12">
        <f t="shared" si="16"/>
        <v>0.01</v>
      </c>
      <c r="N54" s="12">
        <f t="shared" si="16"/>
        <v>0.01</v>
      </c>
      <c r="O54" s="12">
        <f t="shared" si="16"/>
        <v>0.01</v>
      </c>
      <c r="P54" s="12">
        <f t="shared" si="16"/>
        <v>0.01</v>
      </c>
      <c r="Q54" s="12">
        <f t="shared" si="16"/>
        <v>0.01</v>
      </c>
      <c r="R54" s="12">
        <f t="shared" si="16"/>
        <v>0.01</v>
      </c>
      <c r="S54" s="12">
        <f t="shared" si="16"/>
        <v>0.01</v>
      </c>
      <c r="T54" s="12">
        <f t="shared" si="16"/>
        <v>0.01</v>
      </c>
      <c r="U54" s="12">
        <f t="shared" si="16"/>
        <v>0.01</v>
      </c>
      <c r="V54" s="12">
        <f t="shared" si="16"/>
        <v>0.01</v>
      </c>
      <c r="W54" s="12">
        <f t="shared" si="16"/>
        <v>0.01</v>
      </c>
      <c r="X54" s="12">
        <f t="shared" si="16"/>
        <v>0.01</v>
      </c>
      <c r="Y54" s="12">
        <f t="shared" si="16"/>
        <v>0.01</v>
      </c>
      <c r="Z54" s="12">
        <f t="shared" si="16"/>
        <v>0.01</v>
      </c>
      <c r="AA54" s="12">
        <f t="shared" si="16"/>
        <v>0.01</v>
      </c>
      <c r="AB54" s="12">
        <f t="shared" si="16"/>
        <v>0.01</v>
      </c>
      <c r="AC54" s="12">
        <f t="shared" si="16"/>
        <v>0.01</v>
      </c>
      <c r="AD54" s="12">
        <f t="shared" si="16"/>
        <v>0.01</v>
      </c>
      <c r="AE54" s="12">
        <f t="shared" si="16"/>
        <v>0.01</v>
      </c>
      <c r="AF54" s="12">
        <f t="shared" si="16"/>
        <v>0.01</v>
      </c>
      <c r="AG54" s="12">
        <f t="shared" si="16"/>
        <v>0.01</v>
      </c>
      <c r="AH54" s="12">
        <f t="shared" si="16"/>
        <v>0.01</v>
      </c>
      <c r="AI54" s="12">
        <f t="shared" si="16"/>
        <v>0.01</v>
      </c>
      <c r="AJ54" s="12">
        <f t="shared" si="16"/>
        <v>0.01</v>
      </c>
      <c r="AK54" s="12">
        <f t="shared" si="16"/>
        <v>0.01</v>
      </c>
      <c r="AL54" s="12">
        <f t="shared" si="16"/>
        <v>0.01</v>
      </c>
      <c r="AM54" s="12">
        <f t="shared" si="16"/>
        <v>0.01</v>
      </c>
      <c r="AN54" s="12">
        <f t="shared" si="16"/>
        <v>0.01</v>
      </c>
      <c r="AO54" s="12">
        <f t="shared" si="16"/>
        <v>0.01</v>
      </c>
      <c r="AP54" s="12">
        <f t="shared" si="16"/>
        <v>0.01</v>
      </c>
      <c r="AQ54" s="12">
        <f t="shared" si="16"/>
        <v>0.01</v>
      </c>
      <c r="AR54" s="12">
        <f t="shared" si="16"/>
        <v>0.01</v>
      </c>
      <c r="AS54" s="12">
        <f t="shared" si="16"/>
        <v>0.01</v>
      </c>
      <c r="AT54" s="12">
        <f t="shared" si="16"/>
        <v>0.01</v>
      </c>
      <c r="AU54" s="12">
        <f t="shared" si="16"/>
        <v>0.01</v>
      </c>
      <c r="AV54" s="12">
        <f t="shared" si="16"/>
        <v>0.01</v>
      </c>
      <c r="AW54" s="12">
        <f t="shared" si="16"/>
        <v>0.01</v>
      </c>
      <c r="AX54" s="12">
        <f t="shared" si="16"/>
        <v>0.01</v>
      </c>
      <c r="AY54" s="12">
        <f t="shared" si="16"/>
        <v>0.01</v>
      </c>
      <c r="AZ54" s="12">
        <f t="shared" si="16"/>
        <v>0.01</v>
      </c>
      <c r="BA54" s="12">
        <f t="shared" si="16"/>
        <v>0.01</v>
      </c>
      <c r="BB54" s="12">
        <f t="shared" si="16"/>
        <v>0.01</v>
      </c>
      <c r="BC54" s="12">
        <f t="shared" si="16"/>
        <v>0.01</v>
      </c>
      <c r="BD54" s="12">
        <f t="shared" si="16"/>
        <v>0.01</v>
      </c>
      <c r="BE54" s="12">
        <f t="shared" si="16"/>
        <v>0.01</v>
      </c>
      <c r="BF54" s="12">
        <f t="shared" si="16"/>
        <v>0.01</v>
      </c>
      <c r="BG54" s="12">
        <f t="shared" si="16"/>
        <v>0.01</v>
      </c>
      <c r="BH54" s="12">
        <f t="shared" si="16"/>
        <v>0.01</v>
      </c>
      <c r="BI54" s="12">
        <f t="shared" si="16"/>
        <v>0.01</v>
      </c>
      <c r="BJ54" s="12">
        <f t="shared" si="16"/>
        <v>0.01</v>
      </c>
      <c r="BK54" s="12">
        <f t="shared" si="16"/>
        <v>0.01</v>
      </c>
      <c r="BL54" s="12">
        <f t="shared" si="16"/>
        <v>0.01</v>
      </c>
    </row>
    <row r="55" spans="1:64" x14ac:dyDescent="0.35">
      <c r="A55" s="1"/>
      <c r="C55" s="2" t="s">
        <v>107</v>
      </c>
      <c r="E55" s="4">
        <f t="shared" ref="E55:BL55" ca="1" si="17">D50*E54</f>
        <v>2.7613123230567989</v>
      </c>
      <c r="F55" s="4">
        <f t="shared" ca="1" si="17"/>
        <v>2.8027310922378037</v>
      </c>
      <c r="G55" s="4">
        <f t="shared" ca="1" si="17"/>
        <v>2.844737603378527</v>
      </c>
      <c r="H55" s="4">
        <f t="shared" ca="1" si="17"/>
        <v>2.8873079274048714</v>
      </c>
      <c r="I55" s="4">
        <f t="shared" ca="1" si="17"/>
        <v>2.9256340000694139</v>
      </c>
      <c r="J55" s="4">
        <f t="shared" ca="1" si="17"/>
        <v>2.9596366517986805</v>
      </c>
      <c r="K55" s="4">
        <f t="shared" ca="1" si="17"/>
        <v>2.9892688804819758</v>
      </c>
      <c r="L55" s="4">
        <f t="shared" ca="1" si="17"/>
        <v>3.019266593699514</v>
      </c>
      <c r="M55" s="4">
        <f t="shared" ca="1" si="17"/>
        <v>3.0546461298578134</v>
      </c>
      <c r="N55" s="4">
        <f t="shared" ca="1" si="17"/>
        <v>3.0955033385868185</v>
      </c>
      <c r="O55" s="4">
        <f t="shared" ca="1" si="17"/>
        <v>3.1419358886656199</v>
      </c>
      <c r="P55" s="4">
        <f t="shared" ca="1" si="17"/>
        <v>3.189064926995604</v>
      </c>
      <c r="Q55" s="4">
        <f t="shared" ca="1" si="17"/>
        <v>3.2369009009005381</v>
      </c>
      <c r="R55" s="4">
        <f t="shared" ca="1" si="17"/>
        <v>3.2854544144140454</v>
      </c>
      <c r="S55" s="4">
        <f t="shared" ca="1" si="17"/>
        <v>3.3347362306302557</v>
      </c>
      <c r="T55" s="4">
        <f t="shared" ca="1" si="17"/>
        <v>3.3847572740897092</v>
      </c>
      <c r="U55" s="4">
        <f t="shared" ca="1" si="17"/>
        <v>3.4355286332010548</v>
      </c>
      <c r="V55" s="4">
        <f t="shared" ca="1" si="17"/>
        <v>3.4870615626990697</v>
      </c>
      <c r="W55" s="4">
        <f t="shared" ca="1" si="17"/>
        <v>3.5393674861395557</v>
      </c>
      <c r="X55" s="4">
        <f t="shared" ca="1" si="17"/>
        <v>3.5924579984316489</v>
      </c>
      <c r="Y55" s="4">
        <f t="shared" ca="1" si="17"/>
        <v>3.6463448684081232</v>
      </c>
      <c r="Z55" s="4">
        <f t="shared" ca="1" si="17"/>
        <v>3.7010400414342444</v>
      </c>
      <c r="AA55" s="4">
        <f t="shared" ca="1" si="17"/>
        <v>3.756555642055758</v>
      </c>
      <c r="AB55" s="4">
        <f t="shared" ca="1" si="17"/>
        <v>3.8129039766865938</v>
      </c>
      <c r="AC55" s="4">
        <f t="shared" ca="1" si="17"/>
        <v>3.8700975363368912</v>
      </c>
      <c r="AD55" s="4">
        <f t="shared" ca="1" si="17"/>
        <v>3.9281489993819356</v>
      </c>
      <c r="AE55" s="4">
        <f t="shared" ca="1" si="17"/>
        <v>3.9870712343724786</v>
      </c>
      <c r="AF55" s="4">
        <f t="shared" ca="1" si="17"/>
        <v>4.0468773028869194</v>
      </c>
      <c r="AG55" s="4">
        <f t="shared" ca="1" si="17"/>
        <v>4.1075804624040071</v>
      </c>
      <c r="AH55" s="4">
        <f t="shared" ca="1" si="17"/>
        <v>4.1691941691972669</v>
      </c>
      <c r="AI55" s="4">
        <f t="shared" ca="1" si="17"/>
        <v>4.2317320780094789</v>
      </c>
      <c r="AJ55" s="4">
        <f t="shared" ca="1" si="17"/>
        <v>4.2952080418336029</v>
      </c>
      <c r="AK55" s="4">
        <f t="shared" ca="1" si="17"/>
        <v>4.3596356300282855</v>
      </c>
      <c r="AL55" s="4">
        <f t="shared" ca="1" si="17"/>
        <v>4.4250281372976934</v>
      </c>
      <c r="AM55" s="4">
        <f t="shared" ca="1" si="17"/>
        <v>4.4913270196594945</v>
      </c>
      <c r="AN55" s="4">
        <f t="shared" ca="1" si="17"/>
        <v>4.5584743296652883</v>
      </c>
      <c r="AO55" s="4">
        <f t="shared" ca="1" si="17"/>
        <v>4.6157796851977695</v>
      </c>
      <c r="AP55" s="4">
        <f t="shared" ca="1" si="17"/>
        <v>4.6632415226851895</v>
      </c>
      <c r="AQ55" s="4">
        <f t="shared" ca="1" si="17"/>
        <v>3.121193486145009</v>
      </c>
      <c r="AR55" s="4">
        <f t="shared" ca="1" si="17"/>
        <v>1.5668653915122275</v>
      </c>
      <c r="AS55" s="4">
        <f t="shared" ca="1" si="17"/>
        <v>0</v>
      </c>
      <c r="AT55" s="4">
        <f t="shared" ca="1" si="17"/>
        <v>0</v>
      </c>
      <c r="AU55" s="4">
        <f t="shared" ca="1" si="17"/>
        <v>0</v>
      </c>
      <c r="AV55" s="4">
        <f t="shared" ca="1" si="17"/>
        <v>0</v>
      </c>
      <c r="AW55" s="4">
        <f t="shared" ca="1" si="17"/>
        <v>0</v>
      </c>
      <c r="AX55" s="4">
        <f t="shared" ca="1" si="17"/>
        <v>0</v>
      </c>
      <c r="AY55" s="4">
        <f t="shared" ca="1" si="17"/>
        <v>0</v>
      </c>
      <c r="AZ55" s="4">
        <f t="shared" ca="1" si="17"/>
        <v>0</v>
      </c>
      <c r="BA55" s="4">
        <f t="shared" ca="1" si="17"/>
        <v>0</v>
      </c>
      <c r="BB55" s="4">
        <f t="shared" ca="1" si="17"/>
        <v>0</v>
      </c>
      <c r="BC55" s="4">
        <f t="shared" ca="1" si="17"/>
        <v>0</v>
      </c>
      <c r="BD55" s="4">
        <f t="shared" ca="1" si="17"/>
        <v>0</v>
      </c>
      <c r="BE55" s="4">
        <f t="shared" ca="1" si="17"/>
        <v>0</v>
      </c>
      <c r="BF55" s="4">
        <f t="shared" ca="1" si="17"/>
        <v>0</v>
      </c>
      <c r="BG55" s="4">
        <f t="shared" ca="1" si="17"/>
        <v>0</v>
      </c>
      <c r="BH55" s="4">
        <f t="shared" ca="1" si="17"/>
        <v>0</v>
      </c>
      <c r="BI55" s="4">
        <f t="shared" ca="1" si="17"/>
        <v>0</v>
      </c>
      <c r="BJ55" s="4">
        <f t="shared" ca="1" si="17"/>
        <v>0</v>
      </c>
      <c r="BK55" s="4">
        <f t="shared" ca="1" si="17"/>
        <v>0</v>
      </c>
      <c r="BL55" s="4">
        <f t="shared" ca="1" si="17"/>
        <v>0</v>
      </c>
    </row>
    <row r="56" spans="1:64" x14ac:dyDescent="0.35">
      <c r="A56" s="1"/>
      <c r="C56" s="2" t="s">
        <v>136</v>
      </c>
      <c r="E56" s="52">
        <v>2.7613123230567989</v>
      </c>
      <c r="F56" s="52">
        <v>2.8027310922378041</v>
      </c>
      <c r="G56" s="52">
        <v>2.844737603378527</v>
      </c>
      <c r="H56" s="52">
        <v>2.8873079274048714</v>
      </c>
      <c r="I56" s="52">
        <v>2.9256340000694139</v>
      </c>
      <c r="J56" s="52">
        <v>2.9596366517986805</v>
      </c>
      <c r="K56" s="52">
        <v>2.9892688804819758</v>
      </c>
      <c r="L56" s="52">
        <v>3.019266593699514</v>
      </c>
      <c r="M56" s="52">
        <v>3.0546461298578134</v>
      </c>
      <c r="N56" s="52">
        <v>3.0955033385868185</v>
      </c>
      <c r="O56" s="52">
        <v>3.1419358886656199</v>
      </c>
      <c r="P56" s="52">
        <v>3.1890649269956044</v>
      </c>
      <c r="Q56" s="52">
        <v>3.2369009009005381</v>
      </c>
      <c r="R56" s="52">
        <v>3.2854544144140458</v>
      </c>
      <c r="S56" s="52">
        <v>3.3347362306302561</v>
      </c>
      <c r="T56" s="52">
        <v>3.3847572740897096</v>
      </c>
      <c r="U56" s="52">
        <v>3.4355286332010548</v>
      </c>
      <c r="V56" s="52">
        <v>3.4870615626990697</v>
      </c>
      <c r="W56" s="52">
        <v>3.5393674861395557</v>
      </c>
      <c r="X56" s="52">
        <v>3.5924579984316489</v>
      </c>
      <c r="Y56" s="52">
        <v>3.6463448684081232</v>
      </c>
      <c r="Z56" s="52">
        <v>3.7010400414342444</v>
      </c>
      <c r="AA56" s="52">
        <v>3.756555642055758</v>
      </c>
      <c r="AB56" s="52">
        <v>3.8129039766865938</v>
      </c>
      <c r="AC56" s="52">
        <v>3.8700975363368908</v>
      </c>
      <c r="AD56" s="52">
        <v>3.9281489993819343</v>
      </c>
      <c r="AE56" s="52">
        <v>3.9870712343724772</v>
      </c>
      <c r="AF56" s="52">
        <v>4.0468773028869185</v>
      </c>
      <c r="AG56" s="52">
        <v>4.1075804624040053</v>
      </c>
      <c r="AH56" s="52">
        <v>4.169194169197266</v>
      </c>
      <c r="AI56" s="52">
        <v>4.231732078009478</v>
      </c>
      <c r="AJ56" s="52">
        <v>4.2952080418336038</v>
      </c>
      <c r="AK56" s="52">
        <v>4.3596356300282864</v>
      </c>
      <c r="AL56" s="52">
        <v>4.4250281372976943</v>
      </c>
      <c r="AM56" s="52">
        <v>4.4913270196594954</v>
      </c>
      <c r="AN56" s="52">
        <v>4.5584743296652883</v>
      </c>
      <c r="AO56" s="52">
        <v>4.6157796851977704</v>
      </c>
      <c r="AP56" s="52">
        <v>4.6632415226851895</v>
      </c>
      <c r="AQ56" s="52">
        <v>3.121193486145009</v>
      </c>
      <c r="AR56" s="52">
        <v>1.5668653915122275</v>
      </c>
      <c r="AS56" s="52">
        <v>0</v>
      </c>
      <c r="AT56" s="52">
        <v>0</v>
      </c>
      <c r="AU56" s="52">
        <v>0</v>
      </c>
      <c r="AV56" s="52">
        <v>0</v>
      </c>
      <c r="AW56" s="52">
        <v>0</v>
      </c>
      <c r="AX56" s="52">
        <v>0</v>
      </c>
      <c r="AY56" s="52">
        <v>0</v>
      </c>
      <c r="AZ56" s="52">
        <v>0</v>
      </c>
      <c r="BA56" s="52">
        <v>0</v>
      </c>
      <c r="BB56" s="52">
        <v>0</v>
      </c>
      <c r="BC56" s="52">
        <v>0</v>
      </c>
      <c r="BD56" s="52">
        <v>0</v>
      </c>
      <c r="BE56" s="52">
        <v>0</v>
      </c>
      <c r="BF56" s="52">
        <v>0</v>
      </c>
      <c r="BG56" s="52">
        <v>0</v>
      </c>
      <c r="BH56" s="52">
        <v>0</v>
      </c>
      <c r="BI56" s="52">
        <v>0</v>
      </c>
      <c r="BJ56" s="52">
        <v>0</v>
      </c>
      <c r="BK56" s="52">
        <v>0</v>
      </c>
      <c r="BL56" s="52">
        <v>0</v>
      </c>
    </row>
    <row r="57" spans="1:64" x14ac:dyDescent="0.35">
      <c r="A57" s="1"/>
      <c r="C57" s="2" t="s">
        <v>96</v>
      </c>
      <c r="D57" s="4">
        <f ca="1">SUM(E57:BL57)</f>
        <v>0</v>
      </c>
      <c r="E57" s="4">
        <f t="shared" ref="E57:BL57" ca="1" si="18">E55-E56</f>
        <v>0</v>
      </c>
      <c r="F57" s="4">
        <f t="shared" ca="1" si="18"/>
        <v>0</v>
      </c>
      <c r="G57" s="4">
        <f t="shared" ca="1" si="18"/>
        <v>0</v>
      </c>
      <c r="H57" s="4">
        <f t="shared" ca="1" si="18"/>
        <v>0</v>
      </c>
      <c r="I57" s="4">
        <f t="shared" ca="1" si="18"/>
        <v>0</v>
      </c>
      <c r="J57" s="4">
        <f t="shared" ca="1" si="18"/>
        <v>0</v>
      </c>
      <c r="K57" s="4">
        <f t="shared" ca="1" si="18"/>
        <v>0</v>
      </c>
      <c r="L57" s="4">
        <f t="shared" ca="1" si="18"/>
        <v>0</v>
      </c>
      <c r="M57" s="4">
        <f t="shared" ca="1" si="18"/>
        <v>0</v>
      </c>
      <c r="N57" s="4">
        <f t="shared" ca="1" si="18"/>
        <v>0</v>
      </c>
      <c r="O57" s="4">
        <f t="shared" ca="1" si="18"/>
        <v>0</v>
      </c>
      <c r="P57" s="4">
        <f t="shared" ca="1" si="18"/>
        <v>0</v>
      </c>
      <c r="Q57" s="4">
        <f t="shared" ca="1" si="18"/>
        <v>0</v>
      </c>
      <c r="R57" s="4">
        <f t="shared" ca="1" si="18"/>
        <v>0</v>
      </c>
      <c r="S57" s="4">
        <f t="shared" ca="1" si="18"/>
        <v>0</v>
      </c>
      <c r="T57" s="4">
        <f t="shared" ca="1" si="18"/>
        <v>0</v>
      </c>
      <c r="U57" s="4">
        <f t="shared" ca="1" si="18"/>
        <v>0</v>
      </c>
      <c r="V57" s="4">
        <f t="shared" ca="1" si="18"/>
        <v>0</v>
      </c>
      <c r="W57" s="4">
        <f t="shared" ca="1" si="18"/>
        <v>0</v>
      </c>
      <c r="X57" s="4">
        <f t="shared" ca="1" si="18"/>
        <v>0</v>
      </c>
      <c r="Y57" s="4">
        <f t="shared" ca="1" si="18"/>
        <v>0</v>
      </c>
      <c r="Z57" s="4">
        <f t="shared" ca="1" si="18"/>
        <v>0</v>
      </c>
      <c r="AA57" s="4">
        <f t="shared" ca="1" si="18"/>
        <v>0</v>
      </c>
      <c r="AB57" s="4">
        <f t="shared" ca="1" si="18"/>
        <v>0</v>
      </c>
      <c r="AC57" s="4">
        <f t="shared" ca="1" si="18"/>
        <v>0</v>
      </c>
      <c r="AD57" s="4">
        <f t="shared" ca="1" si="18"/>
        <v>0</v>
      </c>
      <c r="AE57" s="4">
        <f t="shared" ca="1" si="18"/>
        <v>0</v>
      </c>
      <c r="AF57" s="4">
        <f t="shared" ca="1" si="18"/>
        <v>0</v>
      </c>
      <c r="AG57" s="4">
        <f t="shared" ca="1" si="18"/>
        <v>0</v>
      </c>
      <c r="AH57" s="4">
        <f t="shared" ca="1" si="18"/>
        <v>0</v>
      </c>
      <c r="AI57" s="4">
        <f t="shared" ca="1" si="18"/>
        <v>0</v>
      </c>
      <c r="AJ57" s="4">
        <f t="shared" ca="1" si="18"/>
        <v>0</v>
      </c>
      <c r="AK57" s="4">
        <f t="shared" ca="1" si="18"/>
        <v>0</v>
      </c>
      <c r="AL57" s="4">
        <f t="shared" ca="1" si="18"/>
        <v>0</v>
      </c>
      <c r="AM57" s="4">
        <f t="shared" ca="1" si="18"/>
        <v>0</v>
      </c>
      <c r="AN57" s="4">
        <f t="shared" ca="1" si="18"/>
        <v>0</v>
      </c>
      <c r="AO57" s="4">
        <f t="shared" ca="1" si="18"/>
        <v>0</v>
      </c>
      <c r="AP57" s="4">
        <f t="shared" ca="1" si="18"/>
        <v>0</v>
      </c>
      <c r="AQ57" s="4">
        <f t="shared" ca="1" si="18"/>
        <v>0</v>
      </c>
      <c r="AR57" s="4">
        <f t="shared" ca="1" si="18"/>
        <v>0</v>
      </c>
      <c r="AS57" s="4">
        <f t="shared" ca="1" si="18"/>
        <v>0</v>
      </c>
      <c r="AT57" s="4">
        <f t="shared" ca="1" si="18"/>
        <v>0</v>
      </c>
      <c r="AU57" s="4">
        <f t="shared" ca="1" si="18"/>
        <v>0</v>
      </c>
      <c r="AV57" s="4">
        <f t="shared" ca="1" si="18"/>
        <v>0</v>
      </c>
      <c r="AW57" s="4">
        <f t="shared" ca="1" si="18"/>
        <v>0</v>
      </c>
      <c r="AX57" s="4">
        <f t="shared" ca="1" si="18"/>
        <v>0</v>
      </c>
      <c r="AY57" s="4">
        <f t="shared" ca="1" si="18"/>
        <v>0</v>
      </c>
      <c r="AZ57" s="4">
        <f t="shared" ca="1" si="18"/>
        <v>0</v>
      </c>
      <c r="BA57" s="4">
        <f t="shared" ca="1" si="18"/>
        <v>0</v>
      </c>
      <c r="BB57" s="4">
        <f t="shared" ca="1" si="18"/>
        <v>0</v>
      </c>
      <c r="BC57" s="4">
        <f t="shared" ca="1" si="18"/>
        <v>0</v>
      </c>
      <c r="BD57" s="4">
        <f t="shared" ca="1" si="18"/>
        <v>0</v>
      </c>
      <c r="BE57" s="4">
        <f t="shared" ca="1" si="18"/>
        <v>0</v>
      </c>
      <c r="BF57" s="4">
        <f t="shared" ca="1" si="18"/>
        <v>0</v>
      </c>
      <c r="BG57" s="4">
        <f t="shared" ca="1" si="18"/>
        <v>0</v>
      </c>
      <c r="BH57" s="4">
        <f t="shared" ca="1" si="18"/>
        <v>0</v>
      </c>
      <c r="BI57" s="4">
        <f t="shared" ca="1" si="18"/>
        <v>0</v>
      </c>
      <c r="BJ57" s="4">
        <f t="shared" ca="1" si="18"/>
        <v>0</v>
      </c>
      <c r="BK57" s="4">
        <f t="shared" ca="1" si="18"/>
        <v>0</v>
      </c>
      <c r="BL57" s="4">
        <f t="shared" ca="1" si="18"/>
        <v>0</v>
      </c>
    </row>
    <row r="58" spans="1:64" x14ac:dyDescent="0.35">
      <c r="A58" s="1"/>
      <c r="C58" s="2" t="s">
        <v>145</v>
      </c>
      <c r="D58" s="4">
        <f ca="1">diff_int_inc+diff_dsra</f>
        <v>0</v>
      </c>
      <c r="E58" s="4" t="s">
        <v>146</v>
      </c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</row>
    <row r="59" spans="1:64" x14ac:dyDescent="0.35">
      <c r="A59" s="1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</row>
    <row r="60" spans="1:64" x14ac:dyDescent="0.35">
      <c r="A60" s="1"/>
      <c r="B60" s="2" t="s">
        <v>209</v>
      </c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</row>
    <row r="61" spans="1:64" x14ac:dyDescent="0.35">
      <c r="A61" s="1"/>
      <c r="C61" s="2" t="s">
        <v>83</v>
      </c>
      <c r="E61" s="4">
        <f t="array" ref="E61:BL63">dsra_function(23:23,27:27,D8,D4,D15,32:32,D17,54:54)</f>
        <v>276.1312255859375</v>
      </c>
      <c r="F61" s="4">
        <v>276.1312255859375</v>
      </c>
      <c r="G61" s="4">
        <v>276.1312255859375</v>
      </c>
      <c r="H61" s="4">
        <v>276.1312255859375</v>
      </c>
      <c r="I61" s="4">
        <v>276.1312255859375</v>
      </c>
      <c r="J61" s="4">
        <v>276.1312255859375</v>
      </c>
      <c r="K61" s="4">
        <v>276.1312255859375</v>
      </c>
      <c r="L61" s="4">
        <v>276.1312255859375</v>
      </c>
      <c r="M61" s="4">
        <v>276.1312255859375</v>
      </c>
      <c r="N61" s="4">
        <v>276.1312255859375</v>
      </c>
      <c r="O61" s="4">
        <v>276.1312255859375</v>
      </c>
      <c r="P61" s="4">
        <v>276.1312255859375</v>
      </c>
      <c r="Q61" s="4">
        <v>276.1312255859375</v>
      </c>
      <c r="R61" s="4">
        <v>276.1312255859375</v>
      </c>
      <c r="S61" s="4">
        <v>276.1312255859375</v>
      </c>
      <c r="T61" s="4">
        <v>276.1312255859375</v>
      </c>
      <c r="U61" s="4">
        <v>276.1312255859375</v>
      </c>
      <c r="V61" s="4">
        <v>276.1312255859375</v>
      </c>
      <c r="W61" s="4">
        <v>276.1312255859375</v>
      </c>
      <c r="X61" s="4">
        <v>276.1312255859375</v>
      </c>
      <c r="Y61" s="4">
        <v>276.1312255859375</v>
      </c>
      <c r="Z61" s="4">
        <v>276.1312255859375</v>
      </c>
      <c r="AA61" s="4">
        <v>276.1312255859375</v>
      </c>
      <c r="AB61" s="4">
        <v>276.1312255859375</v>
      </c>
      <c r="AC61" s="4">
        <v>276.1312255859375</v>
      </c>
      <c r="AD61" s="4">
        <v>276.1312255859375</v>
      </c>
      <c r="AE61" s="4">
        <v>276.1312255859375</v>
      </c>
      <c r="AF61" s="4">
        <v>276.1312255859375</v>
      </c>
      <c r="AG61" s="4">
        <v>276.1312255859375</v>
      </c>
      <c r="AH61" s="4">
        <v>276.1312255859375</v>
      </c>
      <c r="AI61" s="4">
        <v>276.1312255859375</v>
      </c>
      <c r="AJ61" s="4">
        <v>276.1312255859375</v>
      </c>
      <c r="AK61" s="4">
        <v>276.1312255859375</v>
      </c>
      <c r="AL61" s="4">
        <v>276.1312255859375</v>
      </c>
      <c r="AM61" s="4">
        <v>276.1312255859375</v>
      </c>
      <c r="AN61" s="4">
        <v>276.1312255859375</v>
      </c>
      <c r="AO61" s="4">
        <v>276.1312255859375</v>
      </c>
      <c r="AP61" s="4">
        <v>276.1312255859375</v>
      </c>
      <c r="AQ61" s="4">
        <v>276.1312255859375</v>
      </c>
      <c r="AR61" s="4">
        <v>276.1312255859375</v>
      </c>
      <c r="AS61" s="4">
        <v>0</v>
      </c>
      <c r="AT61" s="4">
        <v>0</v>
      </c>
      <c r="AU61" s="4">
        <v>0</v>
      </c>
      <c r="AV61" s="4">
        <v>0</v>
      </c>
      <c r="AW61" s="4">
        <v>0</v>
      </c>
      <c r="AX61" s="4">
        <v>0</v>
      </c>
      <c r="AY61" s="4">
        <v>0</v>
      </c>
      <c r="AZ61" s="4">
        <v>0</v>
      </c>
      <c r="BA61" s="4">
        <v>0</v>
      </c>
      <c r="BB61" s="4">
        <v>0</v>
      </c>
      <c r="BC61" s="4">
        <v>0</v>
      </c>
      <c r="BD61" s="4">
        <v>0</v>
      </c>
      <c r="BE61" s="4">
        <v>0</v>
      </c>
      <c r="BF61" s="4">
        <v>0</v>
      </c>
      <c r="BG61" s="4">
        <v>0</v>
      </c>
      <c r="BH61" s="4">
        <v>0</v>
      </c>
      <c r="BI61" s="4">
        <v>0</v>
      </c>
      <c r="BJ61" s="4">
        <v>0</v>
      </c>
      <c r="BK61" s="4">
        <v>0</v>
      </c>
      <c r="BL61" s="4">
        <v>0</v>
      </c>
    </row>
    <row r="62" spans="1:64" x14ac:dyDescent="0.35">
      <c r="A62" s="1"/>
      <c r="C62" s="2" t="s">
        <v>148</v>
      </c>
      <c r="E62" s="4">
        <v>2.7613122463226318</v>
      </c>
      <c r="F62" s="4">
        <v>2.8027310371398926</v>
      </c>
      <c r="G62" s="4">
        <v>2.8447375297546387</v>
      </c>
      <c r="H62" s="4">
        <v>2.8873076438903809</v>
      </c>
      <c r="I62" s="4">
        <v>2.9256339073181152</v>
      </c>
      <c r="J62" s="4">
        <v>2.959636926651001</v>
      </c>
      <c r="K62" s="4">
        <v>2.9892687797546387</v>
      </c>
      <c r="L62" s="4">
        <v>3.0192666053771973</v>
      </c>
      <c r="M62" s="4">
        <v>3.0546460151672363</v>
      </c>
      <c r="N62" s="4">
        <v>3.0955033302307129</v>
      </c>
      <c r="O62" s="4">
        <v>3.1419358253479004</v>
      </c>
      <c r="P62" s="4">
        <v>3.1890649795532227</v>
      </c>
      <c r="Q62" s="4">
        <v>3.2369005680084229</v>
      </c>
      <c r="R62" s="4">
        <v>3.2854545116424561</v>
      </c>
      <c r="S62" s="4">
        <v>3.3347361087799072</v>
      </c>
      <c r="T62" s="4">
        <v>3.3847570419311523</v>
      </c>
      <c r="U62" s="4">
        <v>3.4355285167694092</v>
      </c>
      <c r="V62" s="4">
        <v>3.4870615005493164</v>
      </c>
      <c r="W62" s="4">
        <v>3.5393674373626709</v>
      </c>
      <c r="X62" s="4">
        <v>3.5924577713012695</v>
      </c>
      <c r="Y62" s="4">
        <v>3.6463446617126465</v>
      </c>
      <c r="Z62" s="4">
        <v>3.7010400295257568</v>
      </c>
      <c r="AA62" s="4">
        <v>3.7565555572509766</v>
      </c>
      <c r="AB62" s="4">
        <v>3.8129036426544189</v>
      </c>
      <c r="AC62" s="4">
        <v>3.8700973987579346</v>
      </c>
      <c r="AD62" s="4">
        <v>3.9281487464904785</v>
      </c>
      <c r="AE62" s="4">
        <v>3.9870710372924805</v>
      </c>
      <c r="AF62" s="4">
        <v>4.046877384185791</v>
      </c>
      <c r="AG62" s="4">
        <v>4.1075806617736816</v>
      </c>
      <c r="AH62" s="4">
        <v>4.169194221496582</v>
      </c>
      <c r="AI62" s="4">
        <v>4.2317323684692383</v>
      </c>
      <c r="AJ62" s="4">
        <v>4.2952079772949219</v>
      </c>
      <c r="AK62" s="4">
        <v>4.3596358299255371</v>
      </c>
      <c r="AL62" s="4">
        <v>4.4250278472900391</v>
      </c>
      <c r="AM62" s="4">
        <v>4.4913268089294434</v>
      </c>
      <c r="AN62" s="4">
        <v>4.5584745407104492</v>
      </c>
      <c r="AO62" s="4">
        <v>4.6157793998718262</v>
      </c>
      <c r="AP62" s="4">
        <v>4.6632413864135742</v>
      </c>
      <c r="AQ62" s="4">
        <v>3.1211931705474854</v>
      </c>
      <c r="AR62" s="4">
        <v>1.5668654441833496</v>
      </c>
      <c r="AS62" s="4">
        <v>0</v>
      </c>
      <c r="AT62" s="4">
        <v>0</v>
      </c>
      <c r="AU62" s="4">
        <v>0</v>
      </c>
      <c r="AV62" s="4">
        <v>0</v>
      </c>
      <c r="AW62" s="4">
        <v>0</v>
      </c>
      <c r="AX62" s="4">
        <v>0</v>
      </c>
      <c r="AY62" s="4">
        <v>0</v>
      </c>
      <c r="AZ62" s="4">
        <v>0</v>
      </c>
      <c r="BA62" s="4">
        <v>0</v>
      </c>
      <c r="BB62" s="4">
        <v>0</v>
      </c>
      <c r="BC62" s="4">
        <v>0</v>
      </c>
      <c r="BD62" s="4">
        <v>0</v>
      </c>
      <c r="BE62" s="4">
        <v>0</v>
      </c>
      <c r="BF62" s="4">
        <v>0</v>
      </c>
      <c r="BG62" s="4">
        <v>0</v>
      </c>
      <c r="BH62" s="4">
        <v>0</v>
      </c>
      <c r="BI62" s="4">
        <v>0</v>
      </c>
      <c r="BJ62" s="4">
        <v>0</v>
      </c>
      <c r="BK62" s="4">
        <v>0</v>
      </c>
      <c r="BL62" s="4">
        <v>0</v>
      </c>
    </row>
    <row r="63" spans="1:64" x14ac:dyDescent="0.35">
      <c r="C63" s="2" t="s">
        <v>19</v>
      </c>
      <c r="E63" s="4">
        <v>90.676795959472656</v>
      </c>
      <c r="F63" s="4">
        <v>92.036949157714844</v>
      </c>
      <c r="G63" s="4">
        <v>93.41748046875</v>
      </c>
      <c r="H63" s="4">
        <v>94.818672180175781</v>
      </c>
      <c r="I63" s="4">
        <v>96.237602233886719</v>
      </c>
      <c r="J63" s="4">
        <v>97.674514770507813</v>
      </c>
      <c r="K63" s="4">
        <v>98.651283264160156</v>
      </c>
      <c r="L63" s="4">
        <v>99.637863159179688</v>
      </c>
      <c r="M63" s="4">
        <v>100.63773345947266</v>
      </c>
      <c r="N63" s="4">
        <v>101.65105438232422</v>
      </c>
      <c r="O63" s="4">
        <v>103.17581939697266</v>
      </c>
      <c r="P63" s="4">
        <v>104.72345733642578</v>
      </c>
      <c r="Q63" s="4">
        <v>106.29430389404297</v>
      </c>
      <c r="R63" s="4">
        <v>107.88872528076172</v>
      </c>
      <c r="S63" s="4">
        <v>109.50704956054688</v>
      </c>
      <c r="T63" s="4">
        <v>111.149658203125</v>
      </c>
      <c r="U63" s="4">
        <v>112.81690216064453</v>
      </c>
      <c r="V63" s="4">
        <v>114.5091552734375</v>
      </c>
      <c r="W63" s="4">
        <v>116.22679138183594</v>
      </c>
      <c r="X63" s="4">
        <v>117.97019958496094</v>
      </c>
      <c r="Y63" s="4">
        <v>119.73974609375</v>
      </c>
      <c r="Z63" s="4">
        <v>121.53584289550781</v>
      </c>
      <c r="AA63" s="4">
        <v>123.35888671875</v>
      </c>
      <c r="AB63" s="4">
        <v>125.20926666259766</v>
      </c>
      <c r="AC63" s="4">
        <v>127.08740234375</v>
      </c>
      <c r="AD63" s="4">
        <v>128.99371337890625</v>
      </c>
      <c r="AE63" s="4">
        <v>130.92861938476563</v>
      </c>
      <c r="AF63" s="4">
        <v>132.89254760742188</v>
      </c>
      <c r="AG63" s="4">
        <v>134.88594055175781</v>
      </c>
      <c r="AH63" s="4">
        <v>136.90922546386719</v>
      </c>
      <c r="AI63" s="4">
        <v>138.96287536621094</v>
      </c>
      <c r="AJ63" s="4">
        <v>141.04731750488281</v>
      </c>
      <c r="AK63" s="4">
        <v>143.16302490234375</v>
      </c>
      <c r="AL63" s="4">
        <v>145.31047058105469</v>
      </c>
      <c r="AM63" s="4">
        <v>147.49006652832031</v>
      </c>
      <c r="AN63" s="4">
        <v>149.7022705078125</v>
      </c>
      <c r="AO63" s="4">
        <v>151.94035339355469</v>
      </c>
      <c r="AP63" s="4">
        <v>154.20480346679688</v>
      </c>
      <c r="AQ63" s="4">
        <v>155.43280029296875</v>
      </c>
      <c r="AR63" s="4">
        <v>156.68653869628906</v>
      </c>
      <c r="AS63" s="4">
        <v>0</v>
      </c>
      <c r="AT63" s="4">
        <v>0</v>
      </c>
      <c r="AU63" s="4">
        <v>0</v>
      </c>
      <c r="AV63" s="4">
        <v>0</v>
      </c>
      <c r="AW63" s="4">
        <v>0</v>
      </c>
      <c r="AX63" s="4">
        <v>0</v>
      </c>
      <c r="AY63" s="4">
        <v>0</v>
      </c>
      <c r="AZ63" s="4">
        <v>0</v>
      </c>
      <c r="BA63" s="4">
        <v>0</v>
      </c>
      <c r="BB63" s="4">
        <v>0</v>
      </c>
      <c r="BC63" s="4">
        <v>0</v>
      </c>
      <c r="BD63" s="4">
        <v>0</v>
      </c>
      <c r="BE63" s="4">
        <v>0</v>
      </c>
      <c r="BF63" s="4">
        <v>0</v>
      </c>
      <c r="BG63" s="4">
        <v>0</v>
      </c>
      <c r="BH63" s="4">
        <v>0</v>
      </c>
      <c r="BI63" s="4">
        <v>0</v>
      </c>
      <c r="BJ63" s="4">
        <v>0</v>
      </c>
      <c r="BK63" s="4">
        <v>0</v>
      </c>
      <c r="BL63" s="4">
        <v>0</v>
      </c>
    </row>
    <row r="64" spans="1:64" x14ac:dyDescent="0.35">
      <c r="C64" s="2" t="s">
        <v>9</v>
      </c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</row>
    <row r="65" spans="1:64" ht="15" thickBot="1" x14ac:dyDescent="0.4">
      <c r="A65" s="1"/>
    </row>
    <row r="66" spans="1:64" ht="15" thickBot="1" x14ac:dyDescent="0.4">
      <c r="A66" s="1"/>
      <c r="C66" s="2" t="s">
        <v>94</v>
      </c>
      <c r="D66" s="33">
        <f>I16</f>
        <v>0</v>
      </c>
      <c r="E66" s="4">
        <f t="shared" ref="E66:AJ66" si="19">E23*E29</f>
        <v>134.71131224632262</v>
      </c>
      <c r="F66" s="4">
        <f t="shared" si="19"/>
        <v>136.73198109223776</v>
      </c>
      <c r="G66" s="4">
        <f t="shared" si="19"/>
        <v>138.78292635337849</v>
      </c>
      <c r="H66" s="4">
        <f t="shared" si="19"/>
        <v>140.86456950865482</v>
      </c>
      <c r="I66" s="4">
        <f t="shared" si="19"/>
        <v>142.97255450503812</v>
      </c>
      <c r="J66" s="4">
        <f t="shared" si="19"/>
        <v>145.10726096434192</v>
      </c>
      <c r="K66" s="4">
        <f t="shared" si="19"/>
        <v>146.55836943615063</v>
      </c>
      <c r="L66" s="4">
        <f t="shared" si="19"/>
        <v>148.02405815492486</v>
      </c>
      <c r="M66" s="4">
        <f t="shared" si="19"/>
        <v>149.50948560669542</v>
      </c>
      <c r="N66" s="4">
        <f t="shared" si="19"/>
        <v>151.01489121019279</v>
      </c>
      <c r="O66" s="4">
        <f t="shared" si="19"/>
        <v>153.28011457834566</v>
      </c>
      <c r="P66" s="4">
        <f t="shared" si="19"/>
        <v>155.57931629702082</v>
      </c>
      <c r="Q66" s="4">
        <f t="shared" si="19"/>
        <v>157.91300604147614</v>
      </c>
      <c r="R66" s="4">
        <f t="shared" si="19"/>
        <v>160.28170113209825</v>
      </c>
      <c r="S66" s="4">
        <f t="shared" si="19"/>
        <v>162.68592664907973</v>
      </c>
      <c r="T66" s="4">
        <f t="shared" si="19"/>
        <v>165.12621554881591</v>
      </c>
      <c r="U66" s="4">
        <f t="shared" si="19"/>
        <v>167.60310878204811</v>
      </c>
      <c r="V66" s="4">
        <f t="shared" si="19"/>
        <v>170.11715541377882</v>
      </c>
      <c r="W66" s="4">
        <f t="shared" si="19"/>
        <v>172.66891274498548</v>
      </c>
      <c r="X66" s="4">
        <f t="shared" si="19"/>
        <v>175.25894643616024</v>
      </c>
      <c r="Y66" s="4">
        <f t="shared" si="19"/>
        <v>177.88783063270265</v>
      </c>
      <c r="Z66" s="4">
        <f t="shared" si="19"/>
        <v>180.55614809219315</v>
      </c>
      <c r="AA66" s="4">
        <f t="shared" si="19"/>
        <v>183.26449031357603</v>
      </c>
      <c r="AB66" s="4">
        <f t="shared" si="19"/>
        <v>186.01345766827964</v>
      </c>
      <c r="AC66" s="4">
        <f t="shared" si="19"/>
        <v>188.80365953330383</v>
      </c>
      <c r="AD66" s="4">
        <f t="shared" si="19"/>
        <v>191.63571442630337</v>
      </c>
      <c r="AE66" s="4">
        <f t="shared" si="19"/>
        <v>194.51025014269771</v>
      </c>
      <c r="AF66" s="4">
        <f t="shared" si="19"/>
        <v>197.42790389483702</v>
      </c>
      <c r="AG66" s="4">
        <f t="shared" si="19"/>
        <v>200.38932245323335</v>
      </c>
      <c r="AH66" s="4">
        <f t="shared" si="19"/>
        <v>203.39516228988902</v>
      </c>
      <c r="AI66" s="4">
        <f t="shared" si="19"/>
        <v>206.44608972051159</v>
      </c>
      <c r="AJ66" s="4">
        <f t="shared" si="19"/>
        <v>209.54278104897321</v>
      </c>
      <c r="AK66" s="4">
        <f t="shared" ref="AK66:BL66" si="20">AK23*AK29</f>
        <v>212.68592223227498</v>
      </c>
      <c r="AL66" s="4">
        <f t="shared" si="20"/>
        <v>215.87620903857805</v>
      </c>
      <c r="AM66" s="4">
        <f t="shared" si="20"/>
        <v>219.11427563445906</v>
      </c>
      <c r="AN66" s="4">
        <f t="shared" si="20"/>
        <v>222.40076717368683</v>
      </c>
      <c r="AO66" s="4">
        <f t="shared" si="20"/>
        <v>225.72570692187961</v>
      </c>
      <c r="AP66" s="4">
        <f t="shared" si="20"/>
        <v>229.08981766791723</v>
      </c>
      <c r="AQ66" s="4">
        <f t="shared" si="20"/>
        <v>230.91416827355553</v>
      </c>
      <c r="AR66" s="4">
        <f t="shared" si="20"/>
        <v>232.77673480073389</v>
      </c>
      <c r="AS66" s="4">
        <f t="shared" si="20"/>
        <v>0</v>
      </c>
      <c r="AT66" s="4">
        <f t="shared" si="20"/>
        <v>0</v>
      </c>
      <c r="AU66" s="4">
        <f t="shared" si="20"/>
        <v>0</v>
      </c>
      <c r="AV66" s="4">
        <f t="shared" si="20"/>
        <v>0</v>
      </c>
      <c r="AW66" s="4">
        <f t="shared" si="20"/>
        <v>0</v>
      </c>
      <c r="AX66" s="4">
        <f t="shared" si="20"/>
        <v>0</v>
      </c>
      <c r="AY66" s="4">
        <f t="shared" si="20"/>
        <v>0</v>
      </c>
      <c r="AZ66" s="4">
        <f t="shared" si="20"/>
        <v>0</v>
      </c>
      <c r="BA66" s="4">
        <f t="shared" si="20"/>
        <v>0</v>
      </c>
      <c r="BB66" s="4">
        <f t="shared" si="20"/>
        <v>0</v>
      </c>
      <c r="BC66" s="4">
        <f t="shared" si="20"/>
        <v>0</v>
      </c>
      <c r="BD66" s="4">
        <f t="shared" si="20"/>
        <v>0</v>
      </c>
      <c r="BE66" s="4">
        <f t="shared" si="20"/>
        <v>0</v>
      </c>
      <c r="BF66" s="4">
        <f t="shared" si="20"/>
        <v>0</v>
      </c>
      <c r="BG66" s="4">
        <f t="shared" si="20"/>
        <v>0</v>
      </c>
      <c r="BH66" s="4">
        <f t="shared" si="20"/>
        <v>0</v>
      </c>
      <c r="BI66" s="4">
        <f t="shared" si="20"/>
        <v>0</v>
      </c>
      <c r="BJ66" s="4">
        <f t="shared" si="20"/>
        <v>0</v>
      </c>
      <c r="BK66" s="4">
        <f t="shared" si="20"/>
        <v>0</v>
      </c>
      <c r="BL66" s="4">
        <f t="shared" si="20"/>
        <v>0</v>
      </c>
    </row>
    <row r="67" spans="1:64" x14ac:dyDescent="0.35">
      <c r="A67" s="1"/>
      <c r="D67" s="12"/>
    </row>
    <row r="68" spans="1:64" x14ac:dyDescent="0.35">
      <c r="A68" s="1"/>
      <c r="C68" s="2" t="s">
        <v>103</v>
      </c>
      <c r="D68" s="12"/>
      <c r="E68" s="4">
        <f t="shared" ref="E68:AJ68" ca="1" si="21">E50-D50</f>
        <v>4.1418769181004791</v>
      </c>
      <c r="F68" s="4">
        <f t="shared" ca="1" si="21"/>
        <v>4.2006511140723433</v>
      </c>
      <c r="G68" s="4">
        <f t="shared" ca="1" si="21"/>
        <v>4.2570324026344224</v>
      </c>
      <c r="H68" s="4">
        <f t="shared" ca="1" si="21"/>
        <v>3.8326072664542608</v>
      </c>
      <c r="I68" s="4">
        <f t="shared" ca="1" si="21"/>
        <v>3.4002651729266518</v>
      </c>
      <c r="J68" s="4">
        <f t="shared" ca="1" si="21"/>
        <v>2.9632228683295239</v>
      </c>
      <c r="K68" s="4">
        <f t="shared" ca="1" si="21"/>
        <v>2.9997713217538262</v>
      </c>
      <c r="L68" s="4">
        <f t="shared" ca="1" si="21"/>
        <v>3.5379536158299629</v>
      </c>
      <c r="M68" s="4">
        <f t="shared" ca="1" si="21"/>
        <v>4.085720872900481</v>
      </c>
      <c r="N68" s="4">
        <f t="shared" ca="1" si="21"/>
        <v>4.6432550078801569</v>
      </c>
      <c r="O68" s="4">
        <f t="shared" ca="1" si="21"/>
        <v>4.7129038329983928</v>
      </c>
      <c r="P68" s="4">
        <f t="shared" ca="1" si="21"/>
        <v>4.7835973904934121</v>
      </c>
      <c r="Q68" s="4">
        <f t="shared" ca="1" si="21"/>
        <v>4.8553513513507482</v>
      </c>
      <c r="R68" s="4">
        <f t="shared" ca="1" si="21"/>
        <v>4.9281816216210359</v>
      </c>
      <c r="S68" s="4">
        <f t="shared" ca="1" si="21"/>
        <v>5.0021043459453267</v>
      </c>
      <c r="T68" s="4">
        <f t="shared" ca="1" si="21"/>
        <v>5.077135911134576</v>
      </c>
      <c r="U68" s="4">
        <f t="shared" ca="1" si="21"/>
        <v>5.1532929498014823</v>
      </c>
      <c r="V68" s="4">
        <f t="shared" ca="1" si="21"/>
        <v>5.2305923440486026</v>
      </c>
      <c r="W68" s="4">
        <f t="shared" ca="1" si="21"/>
        <v>5.3090512292093308</v>
      </c>
      <c r="X68" s="4">
        <f t="shared" ca="1" si="21"/>
        <v>5.3886869976474259</v>
      </c>
      <c r="Y68" s="4">
        <f t="shared" ca="1" si="21"/>
        <v>5.4695173026121324</v>
      </c>
      <c r="Z68" s="4">
        <f t="shared" ca="1" si="21"/>
        <v>5.5515600621513386</v>
      </c>
      <c r="AA68" s="4">
        <f t="shared" ca="1" si="21"/>
        <v>5.6348334630835666</v>
      </c>
      <c r="AB68" s="4">
        <f t="shared" ca="1" si="21"/>
        <v>5.719355965029763</v>
      </c>
      <c r="AC68" s="4">
        <f t="shared" ca="1" si="21"/>
        <v>5.8051463045044329</v>
      </c>
      <c r="AD68" s="4">
        <f t="shared" ca="1" si="21"/>
        <v>5.8922234990542961</v>
      </c>
      <c r="AE68" s="4">
        <f t="shared" ca="1" si="21"/>
        <v>5.9806068514441222</v>
      </c>
      <c r="AF68" s="4">
        <f t="shared" ca="1" si="21"/>
        <v>6.0703159517087215</v>
      </c>
      <c r="AG68" s="4">
        <f t="shared" ca="1" si="21"/>
        <v>6.1613706793260121</v>
      </c>
      <c r="AH68" s="4">
        <f t="shared" ca="1" si="21"/>
        <v>6.253790881221164</v>
      </c>
      <c r="AI68" s="4">
        <f t="shared" ca="1" si="21"/>
        <v>6.3475963824124619</v>
      </c>
      <c r="AJ68" s="4">
        <f t="shared" ca="1" si="21"/>
        <v>6.4427588194682244</v>
      </c>
      <c r="AK68" s="4">
        <f t="shared" ref="AK68:BL68" ca="1" si="22">AK50-AJ50</f>
        <v>6.5392507269407361</v>
      </c>
      <c r="AL68" s="4">
        <f t="shared" ca="1" si="22"/>
        <v>6.6298882361801361</v>
      </c>
      <c r="AM68" s="4">
        <f t="shared" ca="1" si="22"/>
        <v>6.714731000579377</v>
      </c>
      <c r="AN68" s="4">
        <f t="shared" ca="1" si="22"/>
        <v>5.7305355532481599</v>
      </c>
      <c r="AO68" s="4">
        <f t="shared" ca="1" si="22"/>
        <v>4.7461837487419416</v>
      </c>
      <c r="AP68" s="4">
        <f t="shared" ca="1" si="22"/>
        <v>-154.20480365401801</v>
      </c>
      <c r="AQ68" s="4">
        <f t="shared" ca="1" si="22"/>
        <v>-155.43280946327815</v>
      </c>
      <c r="AR68" s="4">
        <f t="shared" ca="1" si="22"/>
        <v>-156.68653915122275</v>
      </c>
      <c r="AS68" s="4">
        <f t="shared" ca="1" si="22"/>
        <v>0</v>
      </c>
      <c r="AT68" s="4">
        <f t="shared" ca="1" si="22"/>
        <v>0</v>
      </c>
      <c r="AU68" s="4">
        <f t="shared" ca="1" si="22"/>
        <v>0</v>
      </c>
      <c r="AV68" s="4">
        <f t="shared" ca="1" si="22"/>
        <v>0</v>
      </c>
      <c r="AW68" s="4">
        <f t="shared" ca="1" si="22"/>
        <v>0</v>
      </c>
      <c r="AX68" s="4">
        <f t="shared" ca="1" si="22"/>
        <v>0</v>
      </c>
      <c r="AY68" s="4">
        <f t="shared" ca="1" si="22"/>
        <v>0</v>
      </c>
      <c r="AZ68" s="4">
        <f t="shared" ca="1" si="22"/>
        <v>0</v>
      </c>
      <c r="BA68" s="4">
        <f t="shared" ca="1" si="22"/>
        <v>0</v>
      </c>
      <c r="BB68" s="4">
        <f t="shared" ca="1" si="22"/>
        <v>0</v>
      </c>
      <c r="BC68" s="4">
        <f t="shared" ca="1" si="22"/>
        <v>0</v>
      </c>
      <c r="BD68" s="4">
        <f t="shared" ca="1" si="22"/>
        <v>0</v>
      </c>
      <c r="BE68" s="4">
        <f t="shared" ca="1" si="22"/>
        <v>0</v>
      </c>
      <c r="BF68" s="4">
        <f t="shared" ca="1" si="22"/>
        <v>0</v>
      </c>
      <c r="BG68" s="4">
        <f t="shared" ca="1" si="22"/>
        <v>0</v>
      </c>
      <c r="BH68" s="4">
        <f t="shared" ca="1" si="22"/>
        <v>0</v>
      </c>
      <c r="BI68" s="4">
        <f t="shared" ca="1" si="22"/>
        <v>0</v>
      </c>
      <c r="BJ68" s="4">
        <f t="shared" ca="1" si="22"/>
        <v>0</v>
      </c>
      <c r="BK68" s="4">
        <f t="shared" ca="1" si="22"/>
        <v>0</v>
      </c>
      <c r="BL68" s="4">
        <f t="shared" ca="1" si="22"/>
        <v>0</v>
      </c>
    </row>
    <row r="69" spans="1:64" x14ac:dyDescent="0.35">
      <c r="A69" s="1"/>
      <c r="D69" s="4"/>
      <c r="AG69" s="4"/>
      <c r="AH69" s="4"/>
    </row>
    <row r="70" spans="1:64" x14ac:dyDescent="0.35">
      <c r="A70" s="1"/>
      <c r="C70" s="2" t="s">
        <v>101</v>
      </c>
      <c r="D70" s="4">
        <f>-D15-D16+D46</f>
        <v>-1069.0328063964848</v>
      </c>
      <c r="E70" s="4">
        <f t="shared" ref="E70:AJ70" ca="1" si="23">E27-E45-E47-E68</f>
        <v>37.131323622259202</v>
      </c>
      <c r="F70" s="4">
        <f t="shared" ca="1" si="23"/>
        <v>37.691647998318494</v>
      </c>
      <c r="G70" s="4">
        <f t="shared" ca="1" si="23"/>
        <v>38.263674388935122</v>
      </c>
      <c r="H70" s="4">
        <f t="shared" ca="1" si="23"/>
        <v>39.325977937054887</v>
      </c>
      <c r="I70" s="4">
        <f t="shared" ca="1" si="23"/>
        <v>40.409053330360585</v>
      </c>
      <c r="J70" s="4">
        <f t="shared" ca="1" si="23"/>
        <v>41.50988708314889</v>
      </c>
      <c r="K70" s="4">
        <f t="shared" ca="1" si="23"/>
        <v>41.918045589719718</v>
      </c>
      <c r="L70" s="4">
        <f t="shared" ca="1" si="23"/>
        <v>41.82897077078723</v>
      </c>
      <c r="M70" s="4">
        <f t="shared" ca="1" si="23"/>
        <v>41.731381374542828</v>
      </c>
      <c r="N70" s="4">
        <f t="shared" ca="1" si="23"/>
        <v>41.625077897776883</v>
      </c>
      <c r="O70" s="4">
        <f t="shared" ca="1" si="23"/>
        <v>42.249454066243509</v>
      </c>
      <c r="P70" s="4">
        <f t="shared" ca="1" si="23"/>
        <v>42.8831958772371</v>
      </c>
      <c r="Q70" s="4">
        <f t="shared" ca="1" si="23"/>
        <v>43.526443815395723</v>
      </c>
      <c r="R70" s="4">
        <f t="shared" ca="1" si="23"/>
        <v>44.179340472626642</v>
      </c>
      <c r="S70" s="4">
        <f t="shared" ca="1" si="23"/>
        <v>44.842030579716045</v>
      </c>
      <c r="T70" s="4">
        <f t="shared" ca="1" si="23"/>
        <v>45.514661038411717</v>
      </c>
      <c r="U70" s="4">
        <f t="shared" ca="1" si="23"/>
        <v>46.197380953988002</v>
      </c>
      <c r="V70" s="4">
        <f t="shared" ca="1" si="23"/>
        <v>46.890341668297708</v>
      </c>
      <c r="W70" s="4">
        <f t="shared" ca="1" si="23"/>
        <v>47.593696793322167</v>
      </c>
      <c r="X70" s="4">
        <f t="shared" ca="1" si="23"/>
        <v>48.307602245222029</v>
      </c>
      <c r="Y70" s="4">
        <f t="shared" ca="1" si="23"/>
        <v>49.032216278900371</v>
      </c>
      <c r="Z70" s="4">
        <f t="shared" ca="1" si="23"/>
        <v>49.767699523083834</v>
      </c>
      <c r="AA70" s="4">
        <f t="shared" ca="1" si="23"/>
        <v>50.514215015930134</v>
      </c>
      <c r="AB70" s="4">
        <f t="shared" ca="1" si="23"/>
        <v>51.271928241169142</v>
      </c>
      <c r="AC70" s="4">
        <f t="shared" ca="1" si="23"/>
        <v>52.041007164787459</v>
      </c>
      <c r="AD70" s="4">
        <f t="shared" ca="1" si="23"/>
        <v>52.821622272276983</v>
      </c>
      <c r="AE70" s="4">
        <f t="shared" ca="1" si="23"/>
        <v>53.613946606457233</v>
      </c>
      <c r="AF70" s="4">
        <f t="shared" ca="1" si="23"/>
        <v>54.418155808061925</v>
      </c>
      <c r="AG70" s="4">
        <f t="shared" ca="1" si="23"/>
        <v>55.234428156858819</v>
      </c>
      <c r="AH70" s="4">
        <f t="shared" ca="1" si="23"/>
        <v>56.062944937602559</v>
      </c>
      <c r="AI70" s="4">
        <f t="shared" ca="1" si="23"/>
        <v>56.903890476201504</v>
      </c>
      <c r="AJ70" s="4">
        <f t="shared" ca="1" si="23"/>
        <v>57.757500353700863</v>
      </c>
      <c r="AK70" s="4">
        <f t="shared" ref="AK70:BL70" ca="1" si="24">AK27-AK45-AK47-AK68</f>
        <v>58.624012692216752</v>
      </c>
      <c r="AL70" s="4">
        <f t="shared" ca="1" si="24"/>
        <v>59.510825498799619</v>
      </c>
      <c r="AM70" s="4">
        <f t="shared" ca="1" si="24"/>
        <v>60.418144960781433</v>
      </c>
      <c r="AN70" s="4">
        <f t="shared" ca="1" si="24"/>
        <v>62.409483380743438</v>
      </c>
      <c r="AO70" s="4">
        <f t="shared" ca="1" si="24"/>
        <v>64.423388085459109</v>
      </c>
      <c r="AP70" s="4">
        <f t="shared" ca="1" si="24"/>
        <v>224.42657614523202</v>
      </c>
      <c r="AQ70" s="4">
        <f t="shared" ca="1" si="24"/>
        <v>227.79297478741051</v>
      </c>
      <c r="AR70" s="4">
        <f t="shared" ca="1" si="24"/>
        <v>231.20986940922165</v>
      </c>
      <c r="AS70" s="4">
        <f t="shared" ca="1" si="24"/>
        <v>234.67801745035996</v>
      </c>
      <c r="AT70" s="4">
        <f t="shared" ca="1" si="24"/>
        <v>238.19818771211533</v>
      </c>
      <c r="AU70" s="4">
        <f t="shared" ca="1" si="24"/>
        <v>241.77116052779704</v>
      </c>
      <c r="AV70" s="4">
        <f t="shared" ca="1" si="24"/>
        <v>245.39772793571396</v>
      </c>
      <c r="AW70" s="4">
        <f t="shared" ca="1" si="24"/>
        <v>249.07869385474964</v>
      </c>
      <c r="AX70" s="4">
        <f t="shared" ca="1" si="24"/>
        <v>252.81487426257087</v>
      </c>
      <c r="AY70" s="4">
        <f t="shared" ca="1" si="24"/>
        <v>256.60709737650939</v>
      </c>
      <c r="AZ70" s="4">
        <f t="shared" ca="1" si="24"/>
        <v>260.45620383715698</v>
      </c>
      <c r="BA70" s="4">
        <f t="shared" ca="1" si="24"/>
        <v>264.36304689471433</v>
      </c>
      <c r="BB70" s="4">
        <f t="shared" ca="1" si="24"/>
        <v>268.32849259813503</v>
      </c>
      <c r="BC70" s="4">
        <f t="shared" ca="1" si="24"/>
        <v>272.35341998710703</v>
      </c>
      <c r="BD70" s="4">
        <f t="shared" ca="1" si="24"/>
        <v>276.43872128691362</v>
      </c>
      <c r="BE70" s="4">
        <f t="shared" ca="1" si="24"/>
        <v>280.58530210621728</v>
      </c>
      <c r="BF70" s="4">
        <f t="shared" ca="1" si="24"/>
        <v>284.79408163781051</v>
      </c>
      <c r="BG70" s="4">
        <f t="shared" ca="1" si="24"/>
        <v>289.06599286237764</v>
      </c>
      <c r="BH70" s="4">
        <f t="shared" ca="1" si="24"/>
        <v>293.40198275531327</v>
      </c>
      <c r="BI70" s="4">
        <f t="shared" ca="1" si="24"/>
        <v>297.80301249664296</v>
      </c>
      <c r="BJ70" s="4">
        <f t="shared" ca="1" si="24"/>
        <v>302.27005768409259</v>
      </c>
      <c r="BK70" s="4">
        <f t="shared" ca="1" si="24"/>
        <v>306.80410854935394</v>
      </c>
      <c r="BL70" s="4">
        <f t="shared" ca="1" si="24"/>
        <v>311.40617017759422</v>
      </c>
    </row>
    <row r="71" spans="1:64" x14ac:dyDescent="0.35">
      <c r="A71" s="1"/>
      <c r="C71" s="2" t="s">
        <v>100</v>
      </c>
      <c r="D71" s="12">
        <f ca="1">IRR(70:70)</f>
        <v>5.8107792685288207E-2</v>
      </c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4513" r:id="rId4" name="Button 1">
              <controlPr defaultSize="0" print="0" autoFill="0" autoPict="0" macro="[0]!dsra_copy_paste">
                <anchor moveWithCells="1" sizeWithCells="1">
                  <from>
                    <xdr:col>3</xdr:col>
                    <xdr:colOff>171450</xdr:colOff>
                    <xdr:row>72</xdr:row>
                    <xdr:rowOff>57150</xdr:rowOff>
                  </from>
                  <to>
                    <xdr:col>4</xdr:col>
                    <xdr:colOff>241300</xdr:colOff>
                    <xdr:row>73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4" r:id="rId5" name="Button 2">
              <controlPr defaultSize="0" print="0" autoFill="0" autoPict="0" macro="[0]!dsra_copy_paste">
                <anchor moveWithCells="1" sizeWithCells="1">
                  <from>
                    <xdr:col>6</xdr:col>
                    <xdr:colOff>171450</xdr:colOff>
                    <xdr:row>7</xdr:row>
                    <xdr:rowOff>88900</xdr:rowOff>
                  </from>
                  <to>
                    <xdr:col>7</xdr:col>
                    <xdr:colOff>336550</xdr:colOff>
                    <xdr:row>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5" r:id="rId6" name="Button 3">
              <controlPr defaultSize="0" print="0" autoFill="0" autoPict="0" macro="[0]!Int_inc_function">
                <anchor moveWithCells="1" sizeWithCells="1">
                  <from>
                    <xdr:col>6</xdr:col>
                    <xdr:colOff>171450</xdr:colOff>
                    <xdr:row>4</xdr:row>
                    <xdr:rowOff>88900</xdr:rowOff>
                  </from>
                  <to>
                    <xdr:col>7</xdr:col>
                    <xdr:colOff>336550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9"/>
  <dimension ref="A1:A91"/>
  <sheetViews>
    <sheetView showGridLines="0" zoomScale="80" zoomScaleNormal="80" workbookViewId="0">
      <selection activeCell="E26" sqref="E26"/>
    </sheetView>
  </sheetViews>
  <sheetFormatPr defaultRowHeight="14.5" x14ac:dyDescent="0.35"/>
  <sheetData>
    <row r="1" spans="1:1" x14ac:dyDescent="0.35">
      <c r="A1" s="100"/>
    </row>
    <row r="2" spans="1:1" x14ac:dyDescent="0.35">
      <c r="A2" s="100" t="s">
        <v>234</v>
      </c>
    </row>
    <row r="3" spans="1:1" x14ac:dyDescent="0.35">
      <c r="A3" s="100" t="s">
        <v>235</v>
      </c>
    </row>
    <row r="4" spans="1:1" x14ac:dyDescent="0.35">
      <c r="A4" s="100"/>
    </row>
    <row r="5" spans="1:1" x14ac:dyDescent="0.35">
      <c r="A5" s="100" t="s">
        <v>236</v>
      </c>
    </row>
    <row r="6" spans="1:1" x14ac:dyDescent="0.35">
      <c r="A6" s="100" t="s">
        <v>237</v>
      </c>
    </row>
    <row r="7" spans="1:1" x14ac:dyDescent="0.35">
      <c r="A7" s="100" t="s">
        <v>238</v>
      </c>
    </row>
    <row r="8" spans="1:1" x14ac:dyDescent="0.35">
      <c r="A8" s="100" t="s">
        <v>239</v>
      </c>
    </row>
    <row r="9" spans="1:1" x14ac:dyDescent="0.35">
      <c r="A9" s="100" t="s">
        <v>240</v>
      </c>
    </row>
    <row r="10" spans="1:1" x14ac:dyDescent="0.35">
      <c r="A10" s="100" t="s">
        <v>241</v>
      </c>
    </row>
    <row r="11" spans="1:1" x14ac:dyDescent="0.35">
      <c r="A11" s="100" t="s">
        <v>240</v>
      </c>
    </row>
    <row r="12" spans="1:1" x14ac:dyDescent="0.35">
      <c r="A12" s="100" t="s">
        <v>242</v>
      </c>
    </row>
    <row r="13" spans="1:1" x14ac:dyDescent="0.35">
      <c r="A13" s="100" t="s">
        <v>243</v>
      </c>
    </row>
    <row r="14" spans="1:1" x14ac:dyDescent="0.35">
      <c r="A14" s="100" t="s">
        <v>244</v>
      </c>
    </row>
    <row r="15" spans="1:1" x14ac:dyDescent="0.35">
      <c r="A15" s="100" t="s">
        <v>245</v>
      </c>
    </row>
    <row r="16" spans="1:1" x14ac:dyDescent="0.35">
      <c r="A16" s="100" t="s">
        <v>246</v>
      </c>
    </row>
    <row r="17" spans="1:1" x14ac:dyDescent="0.35">
      <c r="A17" s="100" t="s">
        <v>247</v>
      </c>
    </row>
    <row r="18" spans="1:1" x14ac:dyDescent="0.35">
      <c r="A18" s="100" t="s">
        <v>248</v>
      </c>
    </row>
    <row r="19" spans="1:1" x14ac:dyDescent="0.35">
      <c r="A19" s="100" t="s">
        <v>249</v>
      </c>
    </row>
    <row r="20" spans="1:1" x14ac:dyDescent="0.35">
      <c r="A20" s="100" t="s">
        <v>240</v>
      </c>
    </row>
    <row r="21" spans="1:1" x14ac:dyDescent="0.35">
      <c r="A21" s="100" t="s">
        <v>250</v>
      </c>
    </row>
    <row r="22" spans="1:1" x14ac:dyDescent="0.35">
      <c r="A22" s="100" t="s">
        <v>240</v>
      </c>
    </row>
    <row r="23" spans="1:1" x14ac:dyDescent="0.35">
      <c r="A23" s="100" t="s">
        <v>251</v>
      </c>
    </row>
    <row r="24" spans="1:1" x14ac:dyDescent="0.35">
      <c r="A24" s="100" t="s">
        <v>252</v>
      </c>
    </row>
    <row r="25" spans="1:1" x14ac:dyDescent="0.35">
      <c r="A25" s="100" t="s">
        <v>253</v>
      </c>
    </row>
    <row r="26" spans="1:1" x14ac:dyDescent="0.35">
      <c r="A26" s="100" t="s">
        <v>248</v>
      </c>
    </row>
    <row r="27" spans="1:1" x14ac:dyDescent="0.35">
      <c r="A27" s="100" t="s">
        <v>249</v>
      </c>
    </row>
    <row r="28" spans="1:1" x14ac:dyDescent="0.35">
      <c r="A28" s="100" t="s">
        <v>254</v>
      </c>
    </row>
    <row r="29" spans="1:1" s="102" customFormat="1" x14ac:dyDescent="0.35">
      <c r="A29" s="101" t="s">
        <v>255</v>
      </c>
    </row>
    <row r="30" spans="1:1" x14ac:dyDescent="0.35">
      <c r="A30" s="100" t="s">
        <v>242</v>
      </c>
    </row>
    <row r="31" spans="1:1" x14ac:dyDescent="0.35">
      <c r="A31" s="100" t="s">
        <v>256</v>
      </c>
    </row>
    <row r="32" spans="1:1" x14ac:dyDescent="0.35">
      <c r="A32" s="100" t="s">
        <v>257</v>
      </c>
    </row>
    <row r="33" spans="1:1" x14ac:dyDescent="0.35">
      <c r="A33" s="100" t="s">
        <v>258</v>
      </c>
    </row>
    <row r="34" spans="1:1" x14ac:dyDescent="0.35">
      <c r="A34" s="100" t="s">
        <v>259</v>
      </c>
    </row>
    <row r="35" spans="1:1" x14ac:dyDescent="0.35">
      <c r="A35" s="100" t="s">
        <v>260</v>
      </c>
    </row>
    <row r="36" spans="1:1" x14ac:dyDescent="0.35">
      <c r="A36" s="100" t="s">
        <v>261</v>
      </c>
    </row>
    <row r="37" spans="1:1" s="104" customFormat="1" x14ac:dyDescent="0.35">
      <c r="A37" s="103" t="s">
        <v>262</v>
      </c>
    </row>
    <row r="38" spans="1:1" x14ac:dyDescent="0.35">
      <c r="A38" s="100" t="s">
        <v>263</v>
      </c>
    </row>
    <row r="39" spans="1:1" x14ac:dyDescent="0.35">
      <c r="A39" s="100" t="s">
        <v>264</v>
      </c>
    </row>
    <row r="40" spans="1:1" x14ac:dyDescent="0.35">
      <c r="A40" s="100" t="s">
        <v>265</v>
      </c>
    </row>
    <row r="41" spans="1:1" x14ac:dyDescent="0.35">
      <c r="A41" s="100" t="s">
        <v>266</v>
      </c>
    </row>
    <row r="42" spans="1:1" x14ac:dyDescent="0.35">
      <c r="A42" s="100" t="s">
        <v>261</v>
      </c>
    </row>
    <row r="43" spans="1:1" x14ac:dyDescent="0.35">
      <c r="A43" s="100" t="s">
        <v>267</v>
      </c>
    </row>
    <row r="44" spans="1:1" x14ac:dyDescent="0.35">
      <c r="A44" s="100" t="s">
        <v>261</v>
      </c>
    </row>
    <row r="45" spans="1:1" x14ac:dyDescent="0.35">
      <c r="A45" s="100" t="s">
        <v>268</v>
      </c>
    </row>
    <row r="46" spans="1:1" x14ac:dyDescent="0.35">
      <c r="A46" s="100" t="s">
        <v>269</v>
      </c>
    </row>
    <row r="47" spans="1:1" x14ac:dyDescent="0.35">
      <c r="A47" s="100" t="s">
        <v>248</v>
      </c>
    </row>
    <row r="48" spans="1:1" x14ac:dyDescent="0.35">
      <c r="A48" s="100" t="s">
        <v>270</v>
      </c>
    </row>
    <row r="49" spans="1:1" x14ac:dyDescent="0.35">
      <c r="A49" s="100" t="s">
        <v>271</v>
      </c>
    </row>
    <row r="50" spans="1:1" x14ac:dyDescent="0.35">
      <c r="A50" s="100" t="s">
        <v>272</v>
      </c>
    </row>
    <row r="51" spans="1:1" x14ac:dyDescent="0.35">
      <c r="A51" s="100" t="s">
        <v>273</v>
      </c>
    </row>
    <row r="52" spans="1:1" x14ac:dyDescent="0.35">
      <c r="A52" s="100" t="s">
        <v>274</v>
      </c>
    </row>
    <row r="53" spans="1:1" x14ac:dyDescent="0.35">
      <c r="A53" s="100" t="s">
        <v>275</v>
      </c>
    </row>
    <row r="54" spans="1:1" x14ac:dyDescent="0.35">
      <c r="A54" s="100" t="s">
        <v>276</v>
      </c>
    </row>
    <row r="55" spans="1:1" x14ac:dyDescent="0.35">
      <c r="A55" s="100" t="s">
        <v>266</v>
      </c>
    </row>
    <row r="56" spans="1:1" x14ac:dyDescent="0.35">
      <c r="A56" s="100"/>
    </row>
    <row r="57" spans="1:1" x14ac:dyDescent="0.35">
      <c r="A57" s="100" t="s">
        <v>277</v>
      </c>
    </row>
    <row r="58" spans="1:1" x14ac:dyDescent="0.35">
      <c r="A58" s="100" t="s">
        <v>278</v>
      </c>
    </row>
    <row r="59" spans="1:1" x14ac:dyDescent="0.35">
      <c r="A59" s="100" t="s">
        <v>279</v>
      </c>
    </row>
    <row r="60" spans="1:1" x14ac:dyDescent="0.35">
      <c r="A60" s="100" t="s">
        <v>261</v>
      </c>
    </row>
    <row r="61" spans="1:1" s="104" customFormat="1" x14ac:dyDescent="0.35">
      <c r="A61" s="103" t="s">
        <v>280</v>
      </c>
    </row>
    <row r="62" spans="1:1" x14ac:dyDescent="0.35">
      <c r="A62" s="100" t="s">
        <v>281</v>
      </c>
    </row>
    <row r="63" spans="1:1" x14ac:dyDescent="0.35">
      <c r="A63" s="100" t="s">
        <v>282</v>
      </c>
    </row>
    <row r="64" spans="1:1" x14ac:dyDescent="0.35">
      <c r="A64" s="100" t="s">
        <v>254</v>
      </c>
    </row>
    <row r="65" spans="1:1" x14ac:dyDescent="0.35">
      <c r="A65" s="100" t="s">
        <v>283</v>
      </c>
    </row>
    <row r="66" spans="1:1" x14ac:dyDescent="0.35">
      <c r="A66" s="100" t="s">
        <v>284</v>
      </c>
    </row>
    <row r="67" spans="1:1" x14ac:dyDescent="0.35">
      <c r="A67" s="100" t="s">
        <v>285</v>
      </c>
    </row>
    <row r="68" spans="1:1" x14ac:dyDescent="0.35">
      <c r="A68" s="100" t="s">
        <v>286</v>
      </c>
    </row>
    <row r="69" spans="1:1" x14ac:dyDescent="0.35">
      <c r="A69" s="100" t="s">
        <v>254</v>
      </c>
    </row>
    <row r="70" spans="1:1" x14ac:dyDescent="0.35">
      <c r="A70" s="100" t="s">
        <v>287</v>
      </c>
    </row>
    <row r="71" spans="1:1" x14ac:dyDescent="0.35">
      <c r="A71" s="100" t="s">
        <v>266</v>
      </c>
    </row>
    <row r="72" spans="1:1" s="104" customFormat="1" x14ac:dyDescent="0.35">
      <c r="A72" s="103" t="s">
        <v>288</v>
      </c>
    </row>
    <row r="73" spans="1:1" x14ac:dyDescent="0.35">
      <c r="A73" s="100" t="s">
        <v>242</v>
      </c>
    </row>
    <row r="74" spans="1:1" x14ac:dyDescent="0.35">
      <c r="A74" s="100" t="s">
        <v>289</v>
      </c>
    </row>
    <row r="75" spans="1:1" x14ac:dyDescent="0.35">
      <c r="A75" s="100" t="s">
        <v>242</v>
      </c>
    </row>
    <row r="76" spans="1:1" x14ac:dyDescent="0.35">
      <c r="A76" s="100" t="s">
        <v>290</v>
      </c>
    </row>
    <row r="77" spans="1:1" x14ac:dyDescent="0.35">
      <c r="A77" s="100" t="s">
        <v>242</v>
      </c>
    </row>
    <row r="78" spans="1:1" x14ac:dyDescent="0.35">
      <c r="A78" s="100" t="s">
        <v>291</v>
      </c>
    </row>
    <row r="79" spans="1:1" x14ac:dyDescent="0.35">
      <c r="A79" s="100" t="s">
        <v>292</v>
      </c>
    </row>
    <row r="80" spans="1:1" x14ac:dyDescent="0.35">
      <c r="A80" s="100" t="s">
        <v>293</v>
      </c>
    </row>
    <row r="81" spans="1:1" x14ac:dyDescent="0.35">
      <c r="A81" s="100" t="s">
        <v>294</v>
      </c>
    </row>
    <row r="82" spans="1:1" x14ac:dyDescent="0.35">
      <c r="A82" s="100" t="s">
        <v>242</v>
      </c>
    </row>
    <row r="83" spans="1:1" x14ac:dyDescent="0.35">
      <c r="A83" s="100" t="s">
        <v>295</v>
      </c>
    </row>
    <row r="84" spans="1:1" x14ac:dyDescent="0.35">
      <c r="A84" s="100" t="s">
        <v>242</v>
      </c>
    </row>
    <row r="85" spans="1:1" x14ac:dyDescent="0.35">
      <c r="A85" s="100" t="s">
        <v>249</v>
      </c>
    </row>
    <row r="86" spans="1:1" x14ac:dyDescent="0.35">
      <c r="A86" s="100" t="s">
        <v>242</v>
      </c>
    </row>
    <row r="87" spans="1:1" x14ac:dyDescent="0.35">
      <c r="A87" s="100" t="s">
        <v>296</v>
      </c>
    </row>
    <row r="88" spans="1:1" x14ac:dyDescent="0.35">
      <c r="A88" s="100"/>
    </row>
    <row r="89" spans="1:1" x14ac:dyDescent="0.35">
      <c r="A89" s="100" t="s">
        <v>297</v>
      </c>
    </row>
    <row r="90" spans="1:1" x14ac:dyDescent="0.35">
      <c r="A90" s="100"/>
    </row>
    <row r="91" spans="1:1" x14ac:dyDescent="0.35">
      <c r="A91" s="100" t="s">
        <v>298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2"/>
  <dimension ref="A1"/>
  <sheetViews>
    <sheetView workbookViewId="0">
      <selection activeCell="E21" sqref="E21"/>
    </sheetView>
  </sheetViews>
  <sheetFormatPr defaultRowHeight="14.5" x14ac:dyDescent="0.35"/>
  <sheetData/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0"/>
  <dimension ref="A1:T44"/>
  <sheetViews>
    <sheetView zoomScale="80" zoomScaleNormal="80" workbookViewId="0">
      <pane xSplit="5" ySplit="6" topLeftCell="F29" activePane="bottomRight" state="frozen"/>
      <selection pane="topRight" activeCell="F1" sqref="F1"/>
      <selection pane="bottomLeft" activeCell="A7" sqref="A7"/>
      <selection pane="bottomRight" activeCell="D31" sqref="D31"/>
    </sheetView>
  </sheetViews>
  <sheetFormatPr defaultColWidth="9.1796875" defaultRowHeight="14.5" x14ac:dyDescent="0.35"/>
  <cols>
    <col min="1" max="3" width="1.453125" style="2" customWidth="1"/>
    <col min="4" max="4" width="35.81640625" style="2" customWidth="1"/>
    <col min="5" max="5" width="9.81640625" style="2" bestFit="1" customWidth="1"/>
    <col min="6" max="16384" width="9.1796875" style="2"/>
  </cols>
  <sheetData>
    <row r="1" spans="1:20" ht="26" x14ac:dyDescent="0.6">
      <c r="C1" s="89" t="s">
        <v>354</v>
      </c>
    </row>
    <row r="2" spans="1:20" ht="26" x14ac:dyDescent="0.6">
      <c r="C2" s="89" t="s">
        <v>580</v>
      </c>
    </row>
    <row r="3" spans="1:20" ht="26" x14ac:dyDescent="0.6">
      <c r="C3" s="89" t="s">
        <v>488</v>
      </c>
    </row>
    <row r="4" spans="1:20" x14ac:dyDescent="0.35">
      <c r="E4" s="39">
        <v>0</v>
      </c>
      <c r="F4" s="39">
        <v>1</v>
      </c>
      <c r="G4" s="39">
        <v>2</v>
      </c>
      <c r="H4" s="39">
        <v>3</v>
      </c>
      <c r="I4" s="39">
        <v>4</v>
      </c>
      <c r="J4" s="39">
        <v>5</v>
      </c>
      <c r="K4" s="39">
        <v>6</v>
      </c>
      <c r="L4" s="39">
        <v>7</v>
      </c>
      <c r="M4" s="39">
        <v>8</v>
      </c>
      <c r="N4" s="39">
        <v>9</v>
      </c>
      <c r="O4" s="39">
        <v>10</v>
      </c>
      <c r="P4" s="39">
        <v>11</v>
      </c>
      <c r="Q4" s="39">
        <v>12</v>
      </c>
      <c r="R4" s="39">
        <v>13</v>
      </c>
      <c r="S4" s="39">
        <v>14</v>
      </c>
      <c r="T4" s="39">
        <v>15</v>
      </c>
    </row>
    <row r="5" spans="1:20" s="106" customFormat="1" x14ac:dyDescent="0.35">
      <c r="A5" s="106" t="s">
        <v>322</v>
      </c>
    </row>
    <row r="6" spans="1:20" x14ac:dyDescent="0.35">
      <c r="B6" s="2" t="s">
        <v>66</v>
      </c>
      <c r="F6" s="38">
        <v>100</v>
      </c>
      <c r="G6" s="4">
        <f>F6*1.1</f>
        <v>110.00000000000001</v>
      </c>
      <c r="H6" s="4">
        <f t="shared" ref="H6:T6" si="0">G6*1.1</f>
        <v>121.00000000000003</v>
      </c>
      <c r="I6" s="4">
        <f t="shared" si="0"/>
        <v>133.10000000000005</v>
      </c>
      <c r="J6" s="4">
        <f t="shared" si="0"/>
        <v>146.41000000000008</v>
      </c>
      <c r="K6" s="4">
        <f t="shared" si="0"/>
        <v>161.0510000000001</v>
      </c>
      <c r="L6" s="4">
        <f t="shared" si="0"/>
        <v>177.15610000000012</v>
      </c>
      <c r="M6" s="4">
        <f t="shared" si="0"/>
        <v>194.87171000000015</v>
      </c>
      <c r="N6" s="4">
        <f t="shared" si="0"/>
        <v>214.3588810000002</v>
      </c>
      <c r="O6" s="4">
        <f t="shared" si="0"/>
        <v>235.79476910000022</v>
      </c>
      <c r="P6" s="4">
        <f t="shared" si="0"/>
        <v>259.37424601000026</v>
      </c>
      <c r="Q6" s="4">
        <f t="shared" si="0"/>
        <v>285.3116706110003</v>
      </c>
      <c r="R6" s="4">
        <f t="shared" si="0"/>
        <v>313.84283767210036</v>
      </c>
      <c r="S6" s="4">
        <f t="shared" si="0"/>
        <v>345.22712143931039</v>
      </c>
      <c r="T6" s="4">
        <f t="shared" si="0"/>
        <v>379.74983358324147</v>
      </c>
    </row>
    <row r="7" spans="1:20" x14ac:dyDescent="0.35">
      <c r="B7" s="2" t="s">
        <v>323</v>
      </c>
      <c r="E7" s="38">
        <v>1500</v>
      </c>
    </row>
    <row r="8" spans="1:20" x14ac:dyDescent="0.35">
      <c r="B8" s="2" t="s">
        <v>324</v>
      </c>
      <c r="E8" s="4">
        <f>E6-E7</f>
        <v>-1500</v>
      </c>
      <c r="F8" s="4">
        <f t="shared" ref="F8:T8" si="1">F6-F7</f>
        <v>100</v>
      </c>
      <c r="G8" s="4">
        <f t="shared" si="1"/>
        <v>110.00000000000001</v>
      </c>
      <c r="H8" s="4">
        <f t="shared" si="1"/>
        <v>121.00000000000003</v>
      </c>
      <c r="I8" s="4">
        <f t="shared" si="1"/>
        <v>133.10000000000005</v>
      </c>
      <c r="J8" s="4">
        <f t="shared" si="1"/>
        <v>146.41000000000008</v>
      </c>
      <c r="K8" s="4">
        <f t="shared" si="1"/>
        <v>161.0510000000001</v>
      </c>
      <c r="L8" s="4">
        <f t="shared" si="1"/>
        <v>177.15610000000012</v>
      </c>
      <c r="M8" s="4">
        <f t="shared" si="1"/>
        <v>194.87171000000015</v>
      </c>
      <c r="N8" s="4">
        <f t="shared" si="1"/>
        <v>214.3588810000002</v>
      </c>
      <c r="O8" s="4">
        <f t="shared" si="1"/>
        <v>235.79476910000022</v>
      </c>
      <c r="P8" s="4">
        <f t="shared" si="1"/>
        <v>259.37424601000026</v>
      </c>
      <c r="Q8" s="4">
        <f t="shared" si="1"/>
        <v>285.3116706110003</v>
      </c>
      <c r="R8" s="4">
        <f t="shared" si="1"/>
        <v>313.84283767210036</v>
      </c>
      <c r="S8" s="4">
        <f t="shared" si="1"/>
        <v>345.22712143931039</v>
      </c>
      <c r="T8" s="4">
        <f t="shared" si="1"/>
        <v>379.74983358324147</v>
      </c>
    </row>
    <row r="10" spans="1:20" x14ac:dyDescent="0.35">
      <c r="B10" s="2" t="s">
        <v>100</v>
      </c>
      <c r="E10" s="12">
        <f>IRR(8:8)</f>
        <v>8.7147737003260284E-2</v>
      </c>
    </row>
    <row r="12" spans="1:20" x14ac:dyDescent="0.35">
      <c r="B12" s="2" t="s">
        <v>306</v>
      </c>
      <c r="E12" s="37">
        <v>0.75</v>
      </c>
      <c r="G12" s="2" t="s">
        <v>332</v>
      </c>
      <c r="J12" s="12">
        <f>E44</f>
        <v>0.75</v>
      </c>
    </row>
    <row r="13" spans="1:20" x14ac:dyDescent="0.35">
      <c r="B13" s="2" t="s">
        <v>24</v>
      </c>
      <c r="E13" s="37">
        <v>0.05</v>
      </c>
    </row>
    <row r="14" spans="1:20" x14ac:dyDescent="0.35">
      <c r="B14" s="2" t="s">
        <v>83</v>
      </c>
      <c r="E14" s="38">
        <f>E18*E13*2</f>
        <v>112.5</v>
      </c>
      <c r="G14" s="2" t="s">
        <v>336</v>
      </c>
    </row>
    <row r="15" spans="1:20" x14ac:dyDescent="0.35">
      <c r="B15" s="2" t="s">
        <v>171</v>
      </c>
      <c r="E15" s="37">
        <v>0.05</v>
      </c>
    </row>
    <row r="16" spans="1:20" x14ac:dyDescent="0.35">
      <c r="I16" s="2" t="s">
        <v>337</v>
      </c>
      <c r="L16" s="2" t="s">
        <v>338</v>
      </c>
      <c r="Q16" s="2" t="s">
        <v>338</v>
      </c>
    </row>
    <row r="17" spans="2:20" x14ac:dyDescent="0.35">
      <c r="B17" s="2" t="s">
        <v>325</v>
      </c>
      <c r="E17" s="4">
        <f>NPV(E13,F8:T8)</f>
        <v>2018.6555849162698</v>
      </c>
      <c r="I17" s="2" t="s">
        <v>339</v>
      </c>
      <c r="L17" s="2" t="s">
        <v>340</v>
      </c>
      <c r="Q17" s="2" t="s">
        <v>345</v>
      </c>
    </row>
    <row r="18" spans="2:20" x14ac:dyDescent="0.35">
      <c r="B18" s="2" t="s">
        <v>347</v>
      </c>
      <c r="E18" s="4">
        <f>E12*E7</f>
        <v>1125</v>
      </c>
      <c r="I18" s="2" t="s">
        <v>343</v>
      </c>
      <c r="L18" s="2" t="s">
        <v>341</v>
      </c>
    </row>
    <row r="19" spans="2:20" x14ac:dyDescent="0.35">
      <c r="B19" s="2" t="s">
        <v>333</v>
      </c>
      <c r="E19" s="4">
        <f>E42</f>
        <v>58.385576464765812</v>
      </c>
      <c r="I19" s="2" t="s">
        <v>344</v>
      </c>
      <c r="L19" s="2" t="s">
        <v>342</v>
      </c>
    </row>
    <row r="20" spans="2:20" x14ac:dyDescent="0.35">
      <c r="E20" s="4"/>
      <c r="F20" s="4"/>
    </row>
    <row r="21" spans="2:20" x14ac:dyDescent="0.35">
      <c r="B21" s="2" t="s">
        <v>171</v>
      </c>
      <c r="E21" s="4">
        <f>E14</f>
        <v>112.5</v>
      </c>
      <c r="F21" s="4">
        <f t="shared" ref="F21:T21" si="2">$E$21*$E$15</f>
        <v>5.625</v>
      </c>
      <c r="G21" s="4">
        <f t="shared" si="2"/>
        <v>5.625</v>
      </c>
      <c r="H21" s="4">
        <f t="shared" si="2"/>
        <v>5.625</v>
      </c>
      <c r="I21" s="4">
        <f t="shared" si="2"/>
        <v>5.625</v>
      </c>
      <c r="J21" s="4">
        <f t="shared" si="2"/>
        <v>5.625</v>
      </c>
      <c r="K21" s="4">
        <f t="shared" si="2"/>
        <v>5.625</v>
      </c>
      <c r="L21" s="4">
        <f t="shared" si="2"/>
        <v>5.625</v>
      </c>
      <c r="M21" s="4">
        <f t="shared" si="2"/>
        <v>5.625</v>
      </c>
      <c r="N21" s="4">
        <f t="shared" si="2"/>
        <v>5.625</v>
      </c>
      <c r="O21" s="4">
        <f t="shared" si="2"/>
        <v>5.625</v>
      </c>
      <c r="P21" s="4">
        <f t="shared" si="2"/>
        <v>5.625</v>
      </c>
      <c r="Q21" s="4">
        <f t="shared" si="2"/>
        <v>5.625</v>
      </c>
      <c r="R21" s="4">
        <f t="shared" si="2"/>
        <v>5.625</v>
      </c>
      <c r="S21" s="4">
        <f t="shared" si="2"/>
        <v>5.625</v>
      </c>
      <c r="T21" s="4">
        <f t="shared" si="2"/>
        <v>5.625</v>
      </c>
    </row>
    <row r="22" spans="2:20" x14ac:dyDescent="0.35">
      <c r="E22" s="4"/>
      <c r="F22" s="4"/>
    </row>
    <row r="23" spans="2:20" ht="15" thickBot="1" x14ac:dyDescent="0.4">
      <c r="B23" s="2" t="s">
        <v>346</v>
      </c>
      <c r="E23" s="4">
        <f>E17/E18</f>
        <v>1.7943605199255732</v>
      </c>
      <c r="F23" s="4"/>
      <c r="G23" s="2" t="str">
        <f ca="1">_xlfn.FORMULATEXT(E23)</f>
        <v>=E17/E18</v>
      </c>
    </row>
    <row r="24" spans="2:20" ht="15" thickBot="1" x14ac:dyDescent="0.4">
      <c r="B24" s="153" t="s">
        <v>356</v>
      </c>
      <c r="C24" s="154"/>
      <c r="D24" s="154"/>
      <c r="E24" s="155">
        <f>E17/(E18+E19)</f>
        <v>1.7058308171600176</v>
      </c>
      <c r="F24" s="155"/>
      <c r="G24" s="154" t="str">
        <f ca="1">_xlfn.FORMULATEXT(E24)</f>
        <v>=E17/(E18+E19)</v>
      </c>
      <c r="H24" s="156"/>
    </row>
    <row r="25" spans="2:20" x14ac:dyDescent="0.35">
      <c r="E25" s="4"/>
      <c r="F25" s="4"/>
    </row>
    <row r="26" spans="2:20" x14ac:dyDescent="0.35">
      <c r="B26" s="2" t="s">
        <v>357</v>
      </c>
      <c r="E26" s="4">
        <f>E24</f>
        <v>1.7058308171600176</v>
      </c>
      <c r="F26" s="4">
        <f>E26</f>
        <v>1.7058308171600176</v>
      </c>
      <c r="G26" s="4">
        <f t="shared" ref="G26:T26" si="3">F26</f>
        <v>1.7058308171600176</v>
      </c>
      <c r="H26" s="4">
        <f t="shared" si="3"/>
        <v>1.7058308171600176</v>
      </c>
      <c r="I26" s="4">
        <f t="shared" si="3"/>
        <v>1.7058308171600176</v>
      </c>
      <c r="J26" s="4">
        <f t="shared" si="3"/>
        <v>1.7058308171600176</v>
      </c>
      <c r="K26" s="4">
        <f t="shared" si="3"/>
        <v>1.7058308171600176</v>
      </c>
      <c r="L26" s="4">
        <f t="shared" si="3"/>
        <v>1.7058308171600176</v>
      </c>
      <c r="M26" s="4">
        <f t="shared" si="3"/>
        <v>1.7058308171600176</v>
      </c>
      <c r="N26" s="4">
        <f t="shared" si="3"/>
        <v>1.7058308171600176</v>
      </c>
      <c r="O26" s="4">
        <f t="shared" si="3"/>
        <v>1.7058308171600176</v>
      </c>
      <c r="P26" s="4">
        <f t="shared" si="3"/>
        <v>1.7058308171600176</v>
      </c>
      <c r="Q26" s="4">
        <f t="shared" si="3"/>
        <v>1.7058308171600176</v>
      </c>
      <c r="R26" s="4">
        <f t="shared" si="3"/>
        <v>1.7058308171600176</v>
      </c>
      <c r="S26" s="4">
        <f t="shared" si="3"/>
        <v>1.7058308171600176</v>
      </c>
      <c r="T26" s="4">
        <f t="shared" si="3"/>
        <v>1.7058308171600176</v>
      </c>
    </row>
    <row r="27" spans="2:20" x14ac:dyDescent="0.35">
      <c r="B27" s="2" t="s">
        <v>19</v>
      </c>
      <c r="F27" s="4">
        <f t="shared" ref="F27:T27" si="4">F8/F26</f>
        <v>58.622460676661213</v>
      </c>
      <c r="G27" s="4">
        <f t="shared" si="4"/>
        <v>64.48470674432734</v>
      </c>
      <c r="H27" s="4">
        <f t="shared" si="4"/>
        <v>70.933177418760081</v>
      </c>
      <c r="I27" s="4">
        <f t="shared" si="4"/>
        <v>78.026495160636102</v>
      </c>
      <c r="J27" s="4">
        <f t="shared" si="4"/>
        <v>85.829144676699727</v>
      </c>
      <c r="K27" s="4">
        <f t="shared" si="4"/>
        <v>94.412059144369707</v>
      </c>
      <c r="L27" s="4">
        <f t="shared" si="4"/>
        <v>103.8532650588067</v>
      </c>
      <c r="M27" s="4">
        <f t="shared" si="4"/>
        <v>114.23859156468737</v>
      </c>
      <c r="N27" s="4">
        <f t="shared" si="4"/>
        <v>125.66245072115612</v>
      </c>
      <c r="O27" s="4">
        <f t="shared" si="4"/>
        <v>138.22869579327175</v>
      </c>
      <c r="P27" s="4">
        <f t="shared" si="4"/>
        <v>152.05156537259893</v>
      </c>
      <c r="Q27" s="4">
        <f t="shared" si="4"/>
        <v>167.25672190985881</v>
      </c>
      <c r="R27" s="4">
        <f t="shared" si="4"/>
        <v>183.98239410084472</v>
      </c>
      <c r="S27" s="4">
        <f t="shared" si="4"/>
        <v>202.38063351092919</v>
      </c>
      <c r="T27" s="4">
        <f t="shared" si="4"/>
        <v>222.61869686202215</v>
      </c>
    </row>
    <row r="28" spans="2:20" x14ac:dyDescent="0.35">
      <c r="B28" s="2" t="s">
        <v>358</v>
      </c>
      <c r="E28" s="4">
        <f>NPV(E13,F27:T27)</f>
        <v>1183.3855764647656</v>
      </c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</row>
    <row r="30" spans="2:20" x14ac:dyDescent="0.35">
      <c r="B30" s="2" t="s">
        <v>5</v>
      </c>
      <c r="F30" s="4">
        <f>E32</f>
        <v>1125</v>
      </c>
      <c r="G30" s="4">
        <f t="shared" ref="G30:T30" si="5">F32</f>
        <v>1128.2525393233389</v>
      </c>
      <c r="H30" s="4">
        <f t="shared" si="5"/>
        <v>1125.8054595451786</v>
      </c>
      <c r="I30" s="4">
        <f t="shared" si="5"/>
        <v>1116.7875551036775</v>
      </c>
      <c r="J30" s="4">
        <f t="shared" si="5"/>
        <v>1100.2254376982253</v>
      </c>
      <c r="K30" s="4">
        <f t="shared" si="5"/>
        <v>1075.0325649064368</v>
      </c>
      <c r="L30" s="4">
        <f t="shared" si="5"/>
        <v>1039.9971340073889</v>
      </c>
      <c r="M30" s="4">
        <f t="shared" si="5"/>
        <v>993.76872564895166</v>
      </c>
      <c r="N30" s="4">
        <f t="shared" si="5"/>
        <v>934.8435703667119</v>
      </c>
      <c r="O30" s="4">
        <f t="shared" si="5"/>
        <v>861.54829816389133</v>
      </c>
      <c r="P30" s="4">
        <f t="shared" si="5"/>
        <v>772.02201727881413</v>
      </c>
      <c r="Q30" s="4">
        <f t="shared" si="5"/>
        <v>664.1965527701559</v>
      </c>
      <c r="R30" s="4">
        <f t="shared" si="5"/>
        <v>535.77465849880491</v>
      </c>
      <c r="S30" s="4">
        <f t="shared" si="5"/>
        <v>384.20599732290043</v>
      </c>
      <c r="T30" s="4">
        <f t="shared" si="5"/>
        <v>206.66066367811626</v>
      </c>
    </row>
    <row r="31" spans="2:20" x14ac:dyDescent="0.35">
      <c r="B31" s="2" t="s">
        <v>359</v>
      </c>
      <c r="F31" s="4">
        <f t="shared" ref="F31:T31" si="6">F27-F33-F21</f>
        <v>-3.2525393233387874</v>
      </c>
      <c r="G31" s="4">
        <f t="shared" si="6"/>
        <v>2.4470797781603935</v>
      </c>
      <c r="H31" s="4">
        <f t="shared" si="6"/>
        <v>9.0179044415011518</v>
      </c>
      <c r="I31" s="4">
        <f t="shared" si="6"/>
        <v>16.562117405452227</v>
      </c>
      <c r="J31" s="4">
        <f t="shared" si="6"/>
        <v>25.19287279178846</v>
      </c>
      <c r="K31" s="4">
        <f t="shared" si="6"/>
        <v>35.03543089904786</v>
      </c>
      <c r="L31" s="4">
        <f t="shared" si="6"/>
        <v>46.22840835843725</v>
      </c>
      <c r="M31" s="4">
        <f t="shared" si="6"/>
        <v>58.925155282239785</v>
      </c>
      <c r="N31" s="4">
        <f t="shared" si="6"/>
        <v>73.295272202820513</v>
      </c>
      <c r="O31" s="4">
        <f t="shared" si="6"/>
        <v>89.526280885077185</v>
      </c>
      <c r="P31" s="4">
        <f t="shared" si="6"/>
        <v>107.82546450865823</v>
      </c>
      <c r="Q31" s="4">
        <f t="shared" si="6"/>
        <v>128.42189427135102</v>
      </c>
      <c r="R31" s="4">
        <f t="shared" si="6"/>
        <v>151.56866117590448</v>
      </c>
      <c r="S31" s="4">
        <f t="shared" si="6"/>
        <v>177.54533364478417</v>
      </c>
      <c r="T31" s="4">
        <f t="shared" si="6"/>
        <v>206.66066367811632</v>
      </c>
    </row>
    <row r="32" spans="2:20" x14ac:dyDescent="0.35">
      <c r="B32" s="2" t="s">
        <v>7</v>
      </c>
      <c r="E32" s="4">
        <f>E18</f>
        <v>1125</v>
      </c>
      <c r="F32" s="4">
        <f>F30-F31</f>
        <v>1128.2525393233389</v>
      </c>
      <c r="G32" s="4">
        <f t="shared" ref="G32:T32" si="7">G30-G31</f>
        <v>1125.8054595451786</v>
      </c>
      <c r="H32" s="4">
        <f t="shared" si="7"/>
        <v>1116.7875551036775</v>
      </c>
      <c r="I32" s="4">
        <f t="shared" si="7"/>
        <v>1100.2254376982253</v>
      </c>
      <c r="J32" s="4">
        <f t="shared" si="7"/>
        <v>1075.0325649064368</v>
      </c>
      <c r="K32" s="4">
        <f t="shared" si="7"/>
        <v>1039.9971340073889</v>
      </c>
      <c r="L32" s="4">
        <f t="shared" si="7"/>
        <v>993.76872564895166</v>
      </c>
      <c r="M32" s="4">
        <f t="shared" si="7"/>
        <v>934.8435703667119</v>
      </c>
      <c r="N32" s="4">
        <f t="shared" si="7"/>
        <v>861.54829816389133</v>
      </c>
      <c r="O32" s="4">
        <f t="shared" si="7"/>
        <v>772.02201727881413</v>
      </c>
      <c r="P32" s="4">
        <f t="shared" si="7"/>
        <v>664.1965527701559</v>
      </c>
      <c r="Q32" s="4">
        <f t="shared" si="7"/>
        <v>535.77465849880491</v>
      </c>
      <c r="R32" s="4">
        <f t="shared" si="7"/>
        <v>384.20599732290043</v>
      </c>
      <c r="S32" s="4">
        <f t="shared" si="7"/>
        <v>206.66066367811626</v>
      </c>
      <c r="T32" s="4">
        <f t="shared" si="7"/>
        <v>0</v>
      </c>
    </row>
    <row r="33" spans="2:20" x14ac:dyDescent="0.35">
      <c r="B33" s="2" t="s">
        <v>310</v>
      </c>
      <c r="F33" s="4">
        <f>F30*$E$13</f>
        <v>56.25</v>
      </c>
      <c r="G33" s="4">
        <f t="shared" ref="G33:T33" si="8">G30*$E$13</f>
        <v>56.412626966166947</v>
      </c>
      <c r="H33" s="4">
        <f t="shared" si="8"/>
        <v>56.29027297725893</v>
      </c>
      <c r="I33" s="4">
        <f t="shared" si="8"/>
        <v>55.839377755183875</v>
      </c>
      <c r="J33" s="4">
        <f t="shared" si="8"/>
        <v>55.011271884911267</v>
      </c>
      <c r="K33" s="4">
        <f t="shared" si="8"/>
        <v>53.751628245321847</v>
      </c>
      <c r="L33" s="4">
        <f t="shared" si="8"/>
        <v>51.999856700369449</v>
      </c>
      <c r="M33" s="4">
        <f t="shared" si="8"/>
        <v>49.688436282447583</v>
      </c>
      <c r="N33" s="4">
        <f t="shared" si="8"/>
        <v>46.742178518335599</v>
      </c>
      <c r="O33" s="4">
        <f t="shared" si="8"/>
        <v>43.077414908194569</v>
      </c>
      <c r="P33" s="4">
        <f t="shared" si="8"/>
        <v>38.601100863940708</v>
      </c>
      <c r="Q33" s="4">
        <f t="shared" si="8"/>
        <v>33.209827638507797</v>
      </c>
      <c r="R33" s="4">
        <f t="shared" si="8"/>
        <v>26.788732924940248</v>
      </c>
      <c r="S33" s="4">
        <f t="shared" si="8"/>
        <v>19.210299866145021</v>
      </c>
      <c r="T33" s="4">
        <f t="shared" si="8"/>
        <v>10.333033183905814</v>
      </c>
    </row>
    <row r="35" spans="2:20" x14ac:dyDescent="0.35">
      <c r="B35" s="2" t="s">
        <v>2</v>
      </c>
      <c r="F35" s="4">
        <f t="shared" ref="F35:T35" si="9">F8</f>
        <v>100</v>
      </c>
      <c r="G35" s="4">
        <f t="shared" si="9"/>
        <v>110.00000000000001</v>
      </c>
      <c r="H35" s="4">
        <f t="shared" si="9"/>
        <v>121.00000000000003</v>
      </c>
      <c r="I35" s="4">
        <f t="shared" si="9"/>
        <v>133.10000000000005</v>
      </c>
      <c r="J35" s="4">
        <f t="shared" si="9"/>
        <v>146.41000000000008</v>
      </c>
      <c r="K35" s="4">
        <f t="shared" si="9"/>
        <v>161.0510000000001</v>
      </c>
      <c r="L35" s="4">
        <f t="shared" si="9"/>
        <v>177.15610000000012</v>
      </c>
      <c r="M35" s="4">
        <f t="shared" si="9"/>
        <v>194.87171000000015</v>
      </c>
      <c r="N35" s="4">
        <f t="shared" si="9"/>
        <v>214.3588810000002</v>
      </c>
      <c r="O35" s="4">
        <f t="shared" si="9"/>
        <v>235.79476910000022</v>
      </c>
      <c r="P35" s="4">
        <f t="shared" si="9"/>
        <v>259.37424601000026</v>
      </c>
      <c r="Q35" s="4">
        <f t="shared" si="9"/>
        <v>285.3116706110003</v>
      </c>
      <c r="R35" s="4">
        <f t="shared" si="9"/>
        <v>313.84283767210036</v>
      </c>
      <c r="S35" s="4">
        <f t="shared" si="9"/>
        <v>345.22712143931039</v>
      </c>
      <c r="T35" s="4">
        <f t="shared" si="9"/>
        <v>379.74983358324147</v>
      </c>
    </row>
    <row r="36" spans="2:20" x14ac:dyDescent="0.35">
      <c r="B36" s="2" t="s">
        <v>326</v>
      </c>
      <c r="F36" s="4">
        <f>F33+F31</f>
        <v>52.997460676661213</v>
      </c>
      <c r="G36" s="4">
        <f t="shared" ref="G36:T36" si="10">G33+G31</f>
        <v>58.85970674432734</v>
      </c>
      <c r="H36" s="4">
        <f t="shared" si="10"/>
        <v>65.308177418760081</v>
      </c>
      <c r="I36" s="4">
        <f t="shared" si="10"/>
        <v>72.401495160636102</v>
      </c>
      <c r="J36" s="4">
        <f t="shared" si="10"/>
        <v>80.204144676699727</v>
      </c>
      <c r="K36" s="4">
        <f t="shared" si="10"/>
        <v>88.787059144369707</v>
      </c>
      <c r="L36" s="4">
        <f t="shared" si="10"/>
        <v>98.228265058806699</v>
      </c>
      <c r="M36" s="4">
        <f t="shared" si="10"/>
        <v>108.61359156468737</v>
      </c>
      <c r="N36" s="4">
        <f t="shared" si="10"/>
        <v>120.03745072115612</v>
      </c>
      <c r="O36" s="4">
        <f t="shared" si="10"/>
        <v>132.60369579327175</v>
      </c>
      <c r="P36" s="4">
        <f t="shared" si="10"/>
        <v>146.42656537259893</v>
      </c>
      <c r="Q36" s="4">
        <f t="shared" si="10"/>
        <v>161.63172190985881</v>
      </c>
      <c r="R36" s="4">
        <f t="shared" si="10"/>
        <v>178.35739410084472</v>
      </c>
      <c r="S36" s="4">
        <f t="shared" si="10"/>
        <v>196.75563351092919</v>
      </c>
      <c r="T36" s="4">
        <f t="shared" si="10"/>
        <v>216.99369686202215</v>
      </c>
    </row>
    <row r="37" spans="2:20" x14ac:dyDescent="0.35">
      <c r="B37" s="2" t="s">
        <v>161</v>
      </c>
      <c r="E37" s="4">
        <f>E14</f>
        <v>112.5</v>
      </c>
      <c r="F37" s="4">
        <f t="shared" ref="F37:T37" si="11">$E$37*$E$15</f>
        <v>5.625</v>
      </c>
      <c r="G37" s="4">
        <f t="shared" si="11"/>
        <v>5.625</v>
      </c>
      <c r="H37" s="4">
        <f t="shared" si="11"/>
        <v>5.625</v>
      </c>
      <c r="I37" s="4">
        <f t="shared" si="11"/>
        <v>5.625</v>
      </c>
      <c r="J37" s="4">
        <f t="shared" si="11"/>
        <v>5.625</v>
      </c>
      <c r="K37" s="4">
        <f t="shared" si="11"/>
        <v>5.625</v>
      </c>
      <c r="L37" s="4">
        <f t="shared" si="11"/>
        <v>5.625</v>
      </c>
      <c r="M37" s="4">
        <f t="shared" si="11"/>
        <v>5.625</v>
      </c>
      <c r="N37" s="4">
        <f t="shared" si="11"/>
        <v>5.625</v>
      </c>
      <c r="O37" s="4">
        <f t="shared" si="11"/>
        <v>5.625</v>
      </c>
      <c r="P37" s="4">
        <f t="shared" si="11"/>
        <v>5.625</v>
      </c>
      <c r="Q37" s="4">
        <f t="shared" si="11"/>
        <v>5.625</v>
      </c>
      <c r="R37" s="4">
        <f t="shared" si="11"/>
        <v>5.625</v>
      </c>
      <c r="S37" s="4">
        <f t="shared" si="11"/>
        <v>5.625</v>
      </c>
      <c r="T37" s="4">
        <f t="shared" si="11"/>
        <v>5.625</v>
      </c>
    </row>
    <row r="38" spans="2:20" x14ac:dyDescent="0.35">
      <c r="B38" s="2" t="s">
        <v>360</v>
      </c>
      <c r="F38" s="4">
        <f>F36+F37</f>
        <v>58.622460676661213</v>
      </c>
      <c r="G38" s="4">
        <f t="shared" ref="G38:T38" si="12">G36+G37</f>
        <v>64.48470674432734</v>
      </c>
      <c r="H38" s="4">
        <f t="shared" si="12"/>
        <v>70.933177418760081</v>
      </c>
      <c r="I38" s="4">
        <f t="shared" si="12"/>
        <v>78.026495160636102</v>
      </c>
      <c r="J38" s="4">
        <f t="shared" si="12"/>
        <v>85.829144676699727</v>
      </c>
      <c r="K38" s="4">
        <f t="shared" si="12"/>
        <v>94.412059144369707</v>
      </c>
      <c r="L38" s="4">
        <f t="shared" si="12"/>
        <v>103.8532650588067</v>
      </c>
      <c r="M38" s="4">
        <f t="shared" si="12"/>
        <v>114.23859156468737</v>
      </c>
      <c r="N38" s="4">
        <f t="shared" si="12"/>
        <v>125.66245072115612</v>
      </c>
      <c r="O38" s="4">
        <f t="shared" si="12"/>
        <v>138.22869579327175</v>
      </c>
      <c r="P38" s="4">
        <f t="shared" si="12"/>
        <v>152.05156537259893</v>
      </c>
      <c r="Q38" s="4">
        <f t="shared" si="12"/>
        <v>167.25672190985881</v>
      </c>
      <c r="R38" s="4">
        <f t="shared" si="12"/>
        <v>183.98239410084472</v>
      </c>
      <c r="S38" s="4">
        <f t="shared" si="12"/>
        <v>202.38063351092919</v>
      </c>
      <c r="T38" s="4">
        <f t="shared" si="12"/>
        <v>222.61869686202215</v>
      </c>
    </row>
    <row r="39" spans="2:20" x14ac:dyDescent="0.35">
      <c r="B39" s="2" t="s">
        <v>9</v>
      </c>
      <c r="F39" s="4">
        <f>F35/F38</f>
        <v>1.7058308171600176</v>
      </c>
      <c r="G39" s="4">
        <f t="shared" ref="G39:T39" si="13">G35/G38</f>
        <v>1.7058308171600178</v>
      </c>
      <c r="H39" s="4">
        <f t="shared" si="13"/>
        <v>1.7058308171600178</v>
      </c>
      <c r="I39" s="4">
        <f t="shared" si="13"/>
        <v>1.7058308171600178</v>
      </c>
      <c r="J39" s="4">
        <f t="shared" si="13"/>
        <v>1.7058308171600178</v>
      </c>
      <c r="K39" s="4">
        <f t="shared" si="13"/>
        <v>1.7058308171600178</v>
      </c>
      <c r="L39" s="4">
        <f t="shared" si="13"/>
        <v>1.7058308171600174</v>
      </c>
      <c r="M39" s="4">
        <f t="shared" si="13"/>
        <v>1.7058308171600176</v>
      </c>
      <c r="N39" s="4">
        <f t="shared" si="13"/>
        <v>1.7058308171600176</v>
      </c>
      <c r="O39" s="4">
        <f t="shared" si="13"/>
        <v>1.7058308171600174</v>
      </c>
      <c r="P39" s="4">
        <f t="shared" si="13"/>
        <v>1.7058308171600176</v>
      </c>
      <c r="Q39" s="4">
        <f t="shared" si="13"/>
        <v>1.7058308171600176</v>
      </c>
      <c r="R39" s="4">
        <f t="shared" si="13"/>
        <v>1.7058308171600176</v>
      </c>
      <c r="S39" s="4">
        <f t="shared" si="13"/>
        <v>1.7058308171600176</v>
      </c>
      <c r="T39" s="4">
        <f t="shared" si="13"/>
        <v>1.7058308171600176</v>
      </c>
    </row>
    <row r="41" spans="2:20" x14ac:dyDescent="0.35">
      <c r="B41" s="2" t="s">
        <v>334</v>
      </c>
      <c r="E41" s="4">
        <f>NPV(E13,F36:T36)</f>
        <v>1125</v>
      </c>
    </row>
    <row r="42" spans="2:20" x14ac:dyDescent="0.35">
      <c r="B42" s="2" t="s">
        <v>327</v>
      </c>
      <c r="E42" s="4">
        <f>NPV(E13,F37:T37)</f>
        <v>58.385576464765812</v>
      </c>
    </row>
    <row r="44" spans="2:20" x14ac:dyDescent="0.35">
      <c r="B44" s="2" t="s">
        <v>331</v>
      </c>
      <c r="E44" s="12">
        <f>E32/E7</f>
        <v>0.75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4">
    <tabColor rgb="FFFFFF00"/>
  </sheetPr>
  <dimension ref="A1:T44"/>
  <sheetViews>
    <sheetView zoomScale="80" zoomScaleNormal="80" workbookViewId="0">
      <pane xSplit="5" ySplit="6" topLeftCell="F7" activePane="bottomRight" state="frozen"/>
      <selection pane="topRight" activeCell="F1" sqref="F1"/>
      <selection pane="bottomLeft" activeCell="A7" sqref="A7"/>
      <selection pane="bottomRight" activeCell="J18" sqref="J18"/>
    </sheetView>
  </sheetViews>
  <sheetFormatPr defaultColWidth="9.1796875" defaultRowHeight="14.5" x14ac:dyDescent="0.35"/>
  <cols>
    <col min="1" max="3" width="1.453125" style="2" customWidth="1"/>
    <col min="4" max="4" width="35.81640625" style="2" customWidth="1"/>
    <col min="5" max="5" width="9.81640625" style="2" bestFit="1" customWidth="1"/>
    <col min="6" max="16384" width="9.1796875" style="2"/>
  </cols>
  <sheetData>
    <row r="1" spans="1:20" ht="26" x14ac:dyDescent="0.6">
      <c r="C1" s="89" t="s">
        <v>486</v>
      </c>
    </row>
    <row r="2" spans="1:20" ht="26" x14ac:dyDescent="0.6">
      <c r="C2" s="89" t="s">
        <v>355</v>
      </c>
    </row>
    <row r="3" spans="1:20" s="60" customFormat="1" ht="26" x14ac:dyDescent="0.6">
      <c r="C3" s="132" t="s">
        <v>489</v>
      </c>
    </row>
    <row r="4" spans="1:20" x14ac:dyDescent="0.35">
      <c r="E4" s="39">
        <v>0</v>
      </c>
      <c r="F4" s="39">
        <v>1</v>
      </c>
      <c r="G4" s="39">
        <v>2</v>
      </c>
      <c r="H4" s="39">
        <v>3</v>
      </c>
      <c r="I4" s="39">
        <v>4</v>
      </c>
      <c r="J4" s="39">
        <v>5</v>
      </c>
      <c r="K4" s="39">
        <v>6</v>
      </c>
      <c r="L4" s="39">
        <v>7</v>
      </c>
      <c r="M4" s="39">
        <v>8</v>
      </c>
      <c r="N4" s="39">
        <v>9</v>
      </c>
      <c r="O4" s="39">
        <v>10</v>
      </c>
      <c r="P4" s="39">
        <v>11</v>
      </c>
      <c r="Q4" s="39">
        <v>12</v>
      </c>
      <c r="R4" s="39">
        <v>13</v>
      </c>
      <c r="S4" s="39">
        <v>14</v>
      </c>
      <c r="T4" s="39">
        <v>15</v>
      </c>
    </row>
    <row r="5" spans="1:20" s="106" customFormat="1" x14ac:dyDescent="0.35">
      <c r="A5" s="106" t="s">
        <v>322</v>
      </c>
    </row>
    <row r="6" spans="1:20" x14ac:dyDescent="0.35">
      <c r="B6" s="2" t="s">
        <v>66</v>
      </c>
      <c r="F6" s="38">
        <v>100</v>
      </c>
      <c r="G6" s="4">
        <f>F6*1.1</f>
        <v>110.00000000000001</v>
      </c>
      <c r="H6" s="4">
        <f t="shared" ref="H6:T6" si="0">G6*1.1</f>
        <v>121.00000000000003</v>
      </c>
      <c r="I6" s="4">
        <f t="shared" si="0"/>
        <v>133.10000000000005</v>
      </c>
      <c r="J6" s="4">
        <f t="shared" si="0"/>
        <v>146.41000000000008</v>
      </c>
      <c r="K6" s="4">
        <f t="shared" si="0"/>
        <v>161.0510000000001</v>
      </c>
      <c r="L6" s="4">
        <f t="shared" si="0"/>
        <v>177.15610000000012</v>
      </c>
      <c r="M6" s="4">
        <f t="shared" si="0"/>
        <v>194.87171000000015</v>
      </c>
      <c r="N6" s="4">
        <f t="shared" si="0"/>
        <v>214.3588810000002</v>
      </c>
      <c r="O6" s="4">
        <f t="shared" si="0"/>
        <v>235.79476910000022</v>
      </c>
      <c r="P6" s="4">
        <f t="shared" si="0"/>
        <v>259.37424601000026</v>
      </c>
      <c r="Q6" s="4">
        <f t="shared" si="0"/>
        <v>285.3116706110003</v>
      </c>
      <c r="R6" s="4">
        <f t="shared" si="0"/>
        <v>313.84283767210036</v>
      </c>
      <c r="S6" s="4">
        <f t="shared" si="0"/>
        <v>345.22712143931039</v>
      </c>
      <c r="T6" s="4">
        <f t="shared" si="0"/>
        <v>379.74983358324147</v>
      </c>
    </row>
    <row r="7" spans="1:20" x14ac:dyDescent="0.35">
      <c r="B7" s="2" t="s">
        <v>323</v>
      </c>
      <c r="E7" s="38">
        <v>1500</v>
      </c>
    </row>
    <row r="8" spans="1:20" x14ac:dyDescent="0.35">
      <c r="B8" s="2" t="s">
        <v>324</v>
      </c>
      <c r="E8" s="4">
        <f>E6-E7</f>
        <v>-1500</v>
      </c>
      <c r="F8" s="4">
        <f t="shared" ref="F8:T8" si="1">F6-F7</f>
        <v>100</v>
      </c>
      <c r="G8" s="4">
        <f t="shared" si="1"/>
        <v>110.00000000000001</v>
      </c>
      <c r="H8" s="4">
        <f t="shared" si="1"/>
        <v>121.00000000000003</v>
      </c>
      <c r="I8" s="4">
        <f t="shared" si="1"/>
        <v>133.10000000000005</v>
      </c>
      <c r="J8" s="4">
        <f t="shared" si="1"/>
        <v>146.41000000000008</v>
      </c>
      <c r="K8" s="4">
        <f t="shared" si="1"/>
        <v>161.0510000000001</v>
      </c>
      <c r="L8" s="4">
        <f t="shared" si="1"/>
        <v>177.15610000000012</v>
      </c>
      <c r="M8" s="4">
        <f t="shared" si="1"/>
        <v>194.87171000000015</v>
      </c>
      <c r="N8" s="4">
        <f t="shared" si="1"/>
        <v>214.3588810000002</v>
      </c>
      <c r="O8" s="4">
        <f t="shared" si="1"/>
        <v>235.79476910000022</v>
      </c>
      <c r="P8" s="4">
        <f t="shared" si="1"/>
        <v>259.37424601000026</v>
      </c>
      <c r="Q8" s="4">
        <f t="shared" si="1"/>
        <v>285.3116706110003</v>
      </c>
      <c r="R8" s="4">
        <f t="shared" si="1"/>
        <v>313.84283767210036</v>
      </c>
      <c r="S8" s="4">
        <f t="shared" si="1"/>
        <v>345.22712143931039</v>
      </c>
      <c r="T8" s="4">
        <f t="shared" si="1"/>
        <v>379.74983358324147</v>
      </c>
    </row>
    <row r="10" spans="1:20" x14ac:dyDescent="0.35">
      <c r="B10" s="2" t="s">
        <v>100</v>
      </c>
      <c r="E10" s="12">
        <f>IRR(8:8)</f>
        <v>8.7147737003260284E-2</v>
      </c>
    </row>
    <row r="12" spans="1:20" x14ac:dyDescent="0.35">
      <c r="B12" s="2" t="s">
        <v>306</v>
      </c>
      <c r="E12" s="37">
        <v>0.75</v>
      </c>
      <c r="G12" s="2" t="s">
        <v>332</v>
      </c>
      <c r="J12" s="12">
        <f>E44</f>
        <v>0</v>
      </c>
    </row>
    <row r="13" spans="1:20" x14ac:dyDescent="0.35">
      <c r="B13" s="2" t="s">
        <v>24</v>
      </c>
      <c r="E13" s="37">
        <v>0.05</v>
      </c>
    </row>
    <row r="14" spans="1:20" x14ac:dyDescent="0.35">
      <c r="B14" s="2" t="s">
        <v>487</v>
      </c>
      <c r="E14" s="38">
        <f>E18*E13*2</f>
        <v>112.5</v>
      </c>
      <c r="G14" s="2" t="s">
        <v>336</v>
      </c>
    </row>
    <row r="15" spans="1:20" x14ac:dyDescent="0.35">
      <c r="B15" s="2" t="s">
        <v>171</v>
      </c>
      <c r="E15" s="37">
        <v>0.05</v>
      </c>
    </row>
    <row r="16" spans="1:20" x14ac:dyDescent="0.35">
      <c r="I16" s="2" t="s">
        <v>337</v>
      </c>
      <c r="L16" s="2" t="s">
        <v>338</v>
      </c>
      <c r="Q16" s="2" t="s">
        <v>338</v>
      </c>
    </row>
    <row r="17" spans="2:20" x14ac:dyDescent="0.35">
      <c r="B17" s="2" t="s">
        <v>325</v>
      </c>
      <c r="E17" s="4">
        <f>NPV(E13,F8:T8)</f>
        <v>2018.6555849162698</v>
      </c>
      <c r="I17" s="2" t="s">
        <v>339</v>
      </c>
      <c r="L17" s="2" t="s">
        <v>340</v>
      </c>
      <c r="Q17" s="2" t="s">
        <v>345</v>
      </c>
    </row>
    <row r="18" spans="2:20" x14ac:dyDescent="0.35">
      <c r="B18" s="2" t="s">
        <v>347</v>
      </c>
      <c r="E18" s="4">
        <f>E12*E7</f>
        <v>1125</v>
      </c>
      <c r="I18" s="2" t="s">
        <v>343</v>
      </c>
      <c r="L18" s="2" t="s">
        <v>341</v>
      </c>
    </row>
    <row r="19" spans="2:20" x14ac:dyDescent="0.35">
      <c r="B19" s="2" t="s">
        <v>333</v>
      </c>
      <c r="E19" s="4">
        <f>E42</f>
        <v>58.385576464765812</v>
      </c>
      <c r="I19" s="2" t="s">
        <v>344</v>
      </c>
      <c r="L19" s="2" t="s">
        <v>342</v>
      </c>
    </row>
    <row r="20" spans="2:20" x14ac:dyDescent="0.35">
      <c r="E20" s="4"/>
      <c r="F20" s="4"/>
    </row>
    <row r="21" spans="2:20" x14ac:dyDescent="0.35">
      <c r="B21" s="2" t="s">
        <v>171</v>
      </c>
      <c r="E21" s="4">
        <f>E14</f>
        <v>112.5</v>
      </c>
      <c r="F21" s="4">
        <f t="shared" ref="F21:T21" si="2">$E$21*$E$15</f>
        <v>5.625</v>
      </c>
      <c r="G21" s="4">
        <f t="shared" si="2"/>
        <v>5.625</v>
      </c>
      <c r="H21" s="4">
        <f t="shared" si="2"/>
        <v>5.625</v>
      </c>
      <c r="I21" s="4">
        <f t="shared" si="2"/>
        <v>5.625</v>
      </c>
      <c r="J21" s="4">
        <f t="shared" si="2"/>
        <v>5.625</v>
      </c>
      <c r="K21" s="4">
        <f t="shared" si="2"/>
        <v>5.625</v>
      </c>
      <c r="L21" s="4">
        <f t="shared" si="2"/>
        <v>5.625</v>
      </c>
      <c r="M21" s="4">
        <f t="shared" si="2"/>
        <v>5.625</v>
      </c>
      <c r="N21" s="4">
        <f t="shared" si="2"/>
        <v>5.625</v>
      </c>
      <c r="O21" s="4">
        <f t="shared" si="2"/>
        <v>5.625</v>
      </c>
      <c r="P21" s="4">
        <f t="shared" si="2"/>
        <v>5.625</v>
      </c>
      <c r="Q21" s="4">
        <f t="shared" si="2"/>
        <v>5.625</v>
      </c>
      <c r="R21" s="4">
        <f t="shared" si="2"/>
        <v>5.625</v>
      </c>
      <c r="S21" s="4">
        <f t="shared" si="2"/>
        <v>5.625</v>
      </c>
      <c r="T21" s="4">
        <f t="shared" si="2"/>
        <v>5.625</v>
      </c>
    </row>
    <row r="22" spans="2:20" x14ac:dyDescent="0.35">
      <c r="E22" s="4"/>
      <c r="F22" s="4"/>
    </row>
    <row r="23" spans="2:20" x14ac:dyDescent="0.35">
      <c r="B23" s="2" t="s">
        <v>346</v>
      </c>
      <c r="E23" s="61"/>
      <c r="F23" s="4"/>
    </row>
    <row r="24" spans="2:20" x14ac:dyDescent="0.35">
      <c r="B24" s="2" t="s">
        <v>356</v>
      </c>
      <c r="E24" s="61"/>
      <c r="F24" s="4"/>
    </row>
    <row r="25" spans="2:20" x14ac:dyDescent="0.35">
      <c r="E25" s="4"/>
      <c r="F25" s="4"/>
    </row>
    <row r="26" spans="2:20" x14ac:dyDescent="0.35">
      <c r="B26" s="2" t="s">
        <v>357</v>
      </c>
      <c r="E26" s="61"/>
      <c r="F26" s="61"/>
      <c r="G26" s="61"/>
      <c r="H26" s="61"/>
      <c r="I26" s="61"/>
      <c r="J26" s="61"/>
      <c r="K26" s="61"/>
      <c r="L26" s="61"/>
      <c r="M26" s="61"/>
      <c r="N26" s="61"/>
      <c r="O26" s="61"/>
      <c r="P26" s="61"/>
      <c r="Q26" s="61"/>
      <c r="R26" s="61"/>
      <c r="S26" s="61"/>
      <c r="T26" s="61"/>
    </row>
    <row r="27" spans="2:20" x14ac:dyDescent="0.35">
      <c r="B27" s="2" t="s">
        <v>19</v>
      </c>
      <c r="E27" s="60"/>
      <c r="F27" s="61"/>
      <c r="G27" s="61"/>
      <c r="H27" s="61"/>
      <c r="I27" s="61"/>
      <c r="J27" s="61"/>
      <c r="K27" s="61"/>
      <c r="L27" s="61"/>
      <c r="M27" s="61"/>
      <c r="N27" s="61"/>
      <c r="O27" s="61"/>
      <c r="P27" s="61"/>
      <c r="Q27" s="61"/>
      <c r="R27" s="61"/>
      <c r="S27" s="61"/>
      <c r="T27" s="61"/>
    </row>
    <row r="28" spans="2:20" x14ac:dyDescent="0.35">
      <c r="B28" s="2" t="s">
        <v>358</v>
      </c>
      <c r="E28" s="4">
        <f>NPV(E13,F27:T27)</f>
        <v>0</v>
      </c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</row>
    <row r="30" spans="2:20" x14ac:dyDescent="0.35">
      <c r="B30" s="2" t="s">
        <v>5</v>
      </c>
      <c r="E30" s="60"/>
      <c r="F30" s="61"/>
      <c r="G30" s="61"/>
      <c r="H30" s="61"/>
      <c r="I30" s="61"/>
      <c r="J30" s="61"/>
      <c r="K30" s="61"/>
      <c r="L30" s="61"/>
      <c r="M30" s="61"/>
      <c r="N30" s="61"/>
      <c r="O30" s="61"/>
      <c r="P30" s="61"/>
      <c r="Q30" s="61"/>
      <c r="R30" s="61"/>
      <c r="S30" s="61"/>
      <c r="T30" s="61"/>
    </row>
    <row r="31" spans="2:20" x14ac:dyDescent="0.35">
      <c r="B31" s="2" t="s">
        <v>359</v>
      </c>
      <c r="E31" s="60"/>
      <c r="F31" s="61"/>
      <c r="G31" s="61"/>
      <c r="H31" s="61"/>
      <c r="I31" s="61"/>
      <c r="J31" s="61"/>
      <c r="K31" s="61"/>
      <c r="L31" s="61"/>
      <c r="M31" s="61"/>
      <c r="N31" s="61"/>
      <c r="O31" s="61"/>
      <c r="P31" s="61"/>
      <c r="Q31" s="61"/>
      <c r="R31" s="61"/>
      <c r="S31" s="61"/>
      <c r="T31" s="61"/>
    </row>
    <row r="32" spans="2:20" x14ac:dyDescent="0.35">
      <c r="B32" s="2" t="s">
        <v>7</v>
      </c>
      <c r="E32" s="61"/>
      <c r="F32" s="61"/>
      <c r="G32" s="61"/>
      <c r="H32" s="61"/>
      <c r="I32" s="61"/>
      <c r="J32" s="61"/>
      <c r="K32" s="61"/>
      <c r="L32" s="61"/>
      <c r="M32" s="61"/>
      <c r="N32" s="61"/>
      <c r="O32" s="61"/>
      <c r="P32" s="61"/>
      <c r="Q32" s="61"/>
      <c r="R32" s="61"/>
      <c r="S32" s="61"/>
      <c r="T32" s="61"/>
    </row>
    <row r="33" spans="2:20" x14ac:dyDescent="0.35">
      <c r="B33" s="2" t="s">
        <v>310</v>
      </c>
      <c r="E33" s="60"/>
      <c r="F33" s="61"/>
      <c r="G33" s="61"/>
      <c r="H33" s="61"/>
      <c r="I33" s="61"/>
      <c r="J33" s="61"/>
      <c r="K33" s="61"/>
      <c r="L33" s="61"/>
      <c r="M33" s="61"/>
      <c r="N33" s="61"/>
      <c r="O33" s="61"/>
      <c r="P33" s="61"/>
      <c r="Q33" s="61"/>
      <c r="R33" s="61"/>
      <c r="S33" s="61"/>
      <c r="T33" s="61"/>
    </row>
    <row r="35" spans="2:20" x14ac:dyDescent="0.35">
      <c r="B35" s="2" t="s">
        <v>2</v>
      </c>
      <c r="F35" s="4">
        <f t="shared" ref="F35:T35" si="3">F8</f>
        <v>100</v>
      </c>
      <c r="G35" s="4">
        <f t="shared" si="3"/>
        <v>110.00000000000001</v>
      </c>
      <c r="H35" s="4">
        <f t="shared" si="3"/>
        <v>121.00000000000003</v>
      </c>
      <c r="I35" s="4">
        <f t="shared" si="3"/>
        <v>133.10000000000005</v>
      </c>
      <c r="J35" s="4">
        <f t="shared" si="3"/>
        <v>146.41000000000008</v>
      </c>
      <c r="K35" s="4">
        <f t="shared" si="3"/>
        <v>161.0510000000001</v>
      </c>
      <c r="L35" s="4">
        <f t="shared" si="3"/>
        <v>177.15610000000012</v>
      </c>
      <c r="M35" s="4">
        <f t="shared" si="3"/>
        <v>194.87171000000015</v>
      </c>
      <c r="N35" s="4">
        <f t="shared" si="3"/>
        <v>214.3588810000002</v>
      </c>
      <c r="O35" s="4">
        <f t="shared" si="3"/>
        <v>235.79476910000022</v>
      </c>
      <c r="P35" s="4">
        <f t="shared" si="3"/>
        <v>259.37424601000026</v>
      </c>
      <c r="Q35" s="4">
        <f t="shared" si="3"/>
        <v>285.3116706110003</v>
      </c>
      <c r="R35" s="4">
        <f t="shared" si="3"/>
        <v>313.84283767210036</v>
      </c>
      <c r="S35" s="4">
        <f t="shared" si="3"/>
        <v>345.22712143931039</v>
      </c>
      <c r="T35" s="4">
        <f t="shared" si="3"/>
        <v>379.74983358324147</v>
      </c>
    </row>
    <row r="36" spans="2:20" x14ac:dyDescent="0.35">
      <c r="B36" s="2" t="s">
        <v>326</v>
      </c>
      <c r="F36" s="4">
        <f>F33+F31</f>
        <v>0</v>
      </c>
      <c r="G36" s="4">
        <f t="shared" ref="G36:T36" si="4">G33+G31</f>
        <v>0</v>
      </c>
      <c r="H36" s="4">
        <f t="shared" si="4"/>
        <v>0</v>
      </c>
      <c r="I36" s="4">
        <f t="shared" si="4"/>
        <v>0</v>
      </c>
      <c r="J36" s="4">
        <f t="shared" si="4"/>
        <v>0</v>
      </c>
      <c r="K36" s="4">
        <f t="shared" si="4"/>
        <v>0</v>
      </c>
      <c r="L36" s="4">
        <f t="shared" si="4"/>
        <v>0</v>
      </c>
      <c r="M36" s="4">
        <f t="shared" si="4"/>
        <v>0</v>
      </c>
      <c r="N36" s="4">
        <f t="shared" si="4"/>
        <v>0</v>
      </c>
      <c r="O36" s="4">
        <f t="shared" si="4"/>
        <v>0</v>
      </c>
      <c r="P36" s="4">
        <f t="shared" si="4"/>
        <v>0</v>
      </c>
      <c r="Q36" s="4">
        <f t="shared" si="4"/>
        <v>0</v>
      </c>
      <c r="R36" s="4">
        <f t="shared" si="4"/>
        <v>0</v>
      </c>
      <c r="S36" s="4">
        <f t="shared" si="4"/>
        <v>0</v>
      </c>
      <c r="T36" s="4">
        <f t="shared" si="4"/>
        <v>0</v>
      </c>
    </row>
    <row r="37" spans="2:20" x14ac:dyDescent="0.35">
      <c r="B37" s="2" t="s">
        <v>161</v>
      </c>
      <c r="E37" s="4">
        <f>E14</f>
        <v>112.5</v>
      </c>
      <c r="F37" s="4">
        <f t="shared" ref="F37:T37" si="5">$E$37*$E$15</f>
        <v>5.625</v>
      </c>
      <c r="G37" s="4">
        <f t="shared" si="5"/>
        <v>5.625</v>
      </c>
      <c r="H37" s="4">
        <f t="shared" si="5"/>
        <v>5.625</v>
      </c>
      <c r="I37" s="4">
        <f t="shared" si="5"/>
        <v>5.625</v>
      </c>
      <c r="J37" s="4">
        <f t="shared" si="5"/>
        <v>5.625</v>
      </c>
      <c r="K37" s="4">
        <f t="shared" si="5"/>
        <v>5.625</v>
      </c>
      <c r="L37" s="4">
        <f t="shared" si="5"/>
        <v>5.625</v>
      </c>
      <c r="M37" s="4">
        <f t="shared" si="5"/>
        <v>5.625</v>
      </c>
      <c r="N37" s="4">
        <f t="shared" si="5"/>
        <v>5.625</v>
      </c>
      <c r="O37" s="4">
        <f t="shared" si="5"/>
        <v>5.625</v>
      </c>
      <c r="P37" s="4">
        <f t="shared" si="5"/>
        <v>5.625</v>
      </c>
      <c r="Q37" s="4">
        <f t="shared" si="5"/>
        <v>5.625</v>
      </c>
      <c r="R37" s="4">
        <f t="shared" si="5"/>
        <v>5.625</v>
      </c>
      <c r="S37" s="4">
        <f t="shared" si="5"/>
        <v>5.625</v>
      </c>
      <c r="T37" s="4">
        <f t="shared" si="5"/>
        <v>5.625</v>
      </c>
    </row>
    <row r="38" spans="2:20" x14ac:dyDescent="0.35">
      <c r="B38" s="2" t="s">
        <v>360</v>
      </c>
      <c r="F38" s="4">
        <f>F36+F37</f>
        <v>5.625</v>
      </c>
      <c r="G38" s="4">
        <f t="shared" ref="G38:T38" si="6">G36+G37</f>
        <v>5.625</v>
      </c>
      <c r="H38" s="4">
        <f t="shared" si="6"/>
        <v>5.625</v>
      </c>
      <c r="I38" s="4">
        <f t="shared" si="6"/>
        <v>5.625</v>
      </c>
      <c r="J38" s="4">
        <f t="shared" si="6"/>
        <v>5.625</v>
      </c>
      <c r="K38" s="4">
        <f t="shared" si="6"/>
        <v>5.625</v>
      </c>
      <c r="L38" s="4">
        <f t="shared" si="6"/>
        <v>5.625</v>
      </c>
      <c r="M38" s="4">
        <f t="shared" si="6"/>
        <v>5.625</v>
      </c>
      <c r="N38" s="4">
        <f t="shared" si="6"/>
        <v>5.625</v>
      </c>
      <c r="O38" s="4">
        <f t="shared" si="6"/>
        <v>5.625</v>
      </c>
      <c r="P38" s="4">
        <f t="shared" si="6"/>
        <v>5.625</v>
      </c>
      <c r="Q38" s="4">
        <f t="shared" si="6"/>
        <v>5.625</v>
      </c>
      <c r="R38" s="4">
        <f t="shared" si="6"/>
        <v>5.625</v>
      </c>
      <c r="S38" s="4">
        <f t="shared" si="6"/>
        <v>5.625</v>
      </c>
      <c r="T38" s="4">
        <f t="shared" si="6"/>
        <v>5.625</v>
      </c>
    </row>
    <row r="39" spans="2:20" x14ac:dyDescent="0.35">
      <c r="B39" s="2" t="s">
        <v>9</v>
      </c>
      <c r="F39" s="4">
        <f>F35/F38</f>
        <v>17.777777777777779</v>
      </c>
      <c r="G39" s="4">
        <f t="shared" ref="G39:T39" si="7">G35/G38</f>
        <v>19.555555555555557</v>
      </c>
      <c r="H39" s="4">
        <f t="shared" si="7"/>
        <v>21.511111111111116</v>
      </c>
      <c r="I39" s="4">
        <f t="shared" si="7"/>
        <v>23.66222222222223</v>
      </c>
      <c r="J39" s="4">
        <f t="shared" si="7"/>
        <v>26.02844444444446</v>
      </c>
      <c r="K39" s="4">
        <f t="shared" si="7"/>
        <v>28.631288888888907</v>
      </c>
      <c r="L39" s="4">
        <f t="shared" si="7"/>
        <v>31.494417777777798</v>
      </c>
      <c r="M39" s="4">
        <f t="shared" si="7"/>
        <v>34.643859555555579</v>
      </c>
      <c r="N39" s="4">
        <f t="shared" si="7"/>
        <v>38.108245511111143</v>
      </c>
      <c r="O39" s="4">
        <f t="shared" si="7"/>
        <v>41.919070062222261</v>
      </c>
      <c r="P39" s="4">
        <f t="shared" si="7"/>
        <v>46.110977068444491</v>
      </c>
      <c r="Q39" s="4">
        <f t="shared" si="7"/>
        <v>50.722074775288938</v>
      </c>
      <c r="R39" s="4">
        <f t="shared" si="7"/>
        <v>55.794282252817844</v>
      </c>
      <c r="S39" s="4">
        <f t="shared" si="7"/>
        <v>61.373710478099625</v>
      </c>
      <c r="T39" s="4">
        <f t="shared" si="7"/>
        <v>67.511081525909589</v>
      </c>
    </row>
    <row r="41" spans="2:20" x14ac:dyDescent="0.35">
      <c r="B41" s="2" t="s">
        <v>334</v>
      </c>
      <c r="E41" s="4">
        <f>NPV(E13,F36:T36)</f>
        <v>0</v>
      </c>
    </row>
    <row r="42" spans="2:20" x14ac:dyDescent="0.35">
      <c r="B42" s="2" t="s">
        <v>327</v>
      </c>
      <c r="E42" s="4">
        <f>NPV(E13,F37:T37)</f>
        <v>58.385576464765812</v>
      </c>
    </row>
    <row r="44" spans="2:20" x14ac:dyDescent="0.35">
      <c r="B44" s="2" t="s">
        <v>331</v>
      </c>
      <c r="E44" s="12">
        <f>E32/E7</f>
        <v>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15"/>
  <dimension ref="A1:BL108"/>
  <sheetViews>
    <sheetView zoomScale="80" zoomScaleNormal="80" workbookViewId="0">
      <pane xSplit="4" ySplit="8" topLeftCell="E9" activePane="bottomRight" state="frozen"/>
      <selection pane="topRight" activeCell="E1" sqref="E1"/>
      <selection pane="bottomLeft" activeCell="A9" sqref="A9"/>
      <selection pane="bottomRight" activeCell="J20" sqref="J20"/>
    </sheetView>
  </sheetViews>
  <sheetFormatPr defaultColWidth="9.1796875" defaultRowHeight="14.5" outlineLevelRow="1" x14ac:dyDescent="0.35"/>
  <cols>
    <col min="1" max="2" width="1.26953125" style="2" customWidth="1"/>
    <col min="3" max="3" width="38.81640625" style="2" customWidth="1"/>
    <col min="4" max="4" width="12.7265625" style="2" bestFit="1" customWidth="1"/>
    <col min="5" max="64" width="10.81640625" style="2" customWidth="1"/>
    <col min="65" max="16384" width="9.1796875" style="2"/>
  </cols>
  <sheetData>
    <row r="1" spans="1:18" ht="26" x14ac:dyDescent="0.6">
      <c r="C1" s="89" t="s">
        <v>406</v>
      </c>
    </row>
    <row r="2" spans="1:18" ht="26" x14ac:dyDescent="0.6">
      <c r="C2" s="89" t="s">
        <v>405</v>
      </c>
    </row>
    <row r="3" spans="1:18" ht="26" x14ac:dyDescent="0.6">
      <c r="C3" s="89" t="s">
        <v>231</v>
      </c>
    </row>
    <row r="5" spans="1:18" s="40" customFormat="1" x14ac:dyDescent="0.35">
      <c r="A5" s="40" t="s">
        <v>77</v>
      </c>
    </row>
    <row r="6" spans="1:18" x14ac:dyDescent="0.35">
      <c r="A6" s="1"/>
      <c r="B6" s="2" t="s">
        <v>65</v>
      </c>
      <c r="D6" s="51">
        <v>1</v>
      </c>
      <c r="E6" s="51">
        <v>5</v>
      </c>
      <c r="F6" s="51">
        <v>10</v>
      </c>
      <c r="K6" s="2" t="s">
        <v>132</v>
      </c>
    </row>
    <row r="7" spans="1:18" x14ac:dyDescent="0.35">
      <c r="A7" s="1"/>
      <c r="B7" s="2" t="s">
        <v>24</v>
      </c>
      <c r="D7" s="50">
        <v>0.03</v>
      </c>
      <c r="E7" s="50">
        <v>0.04</v>
      </c>
      <c r="F7" s="50">
        <v>0.05</v>
      </c>
      <c r="K7" s="2" t="s">
        <v>133</v>
      </c>
      <c r="R7" s="2" t="s">
        <v>129</v>
      </c>
    </row>
    <row r="8" spans="1:18" x14ac:dyDescent="0.35">
      <c r="A8" s="1"/>
      <c r="B8" s="2" t="s">
        <v>84</v>
      </c>
      <c r="D8" s="52">
        <v>1.05</v>
      </c>
      <c r="E8" s="4"/>
      <c r="F8" s="4"/>
      <c r="K8" s="2" t="s">
        <v>134</v>
      </c>
      <c r="R8" s="2" t="s">
        <v>126</v>
      </c>
    </row>
    <row r="9" spans="1:18" x14ac:dyDescent="0.35">
      <c r="A9" s="1"/>
      <c r="D9" s="4"/>
      <c r="E9" s="12"/>
      <c r="F9" s="12"/>
      <c r="R9" s="2" t="s">
        <v>127</v>
      </c>
    </row>
    <row r="10" spans="1:18" x14ac:dyDescent="0.35">
      <c r="A10" s="1"/>
      <c r="B10" s="2" t="s">
        <v>85</v>
      </c>
      <c r="D10" s="51">
        <v>20</v>
      </c>
      <c r="K10" s="2" t="s">
        <v>140</v>
      </c>
      <c r="R10" s="2" t="s">
        <v>128</v>
      </c>
    </row>
    <row r="11" spans="1:18" x14ac:dyDescent="0.35">
      <c r="H11" s="12"/>
      <c r="K11" s="2" t="s">
        <v>141</v>
      </c>
    </row>
    <row r="12" spans="1:18" x14ac:dyDescent="0.35">
      <c r="B12" s="2" t="s">
        <v>222</v>
      </c>
      <c r="D12" s="51" t="b">
        <v>0</v>
      </c>
      <c r="G12" s="1" t="s">
        <v>320</v>
      </c>
      <c r="H12" s="12"/>
      <c r="K12" s="2" t="s">
        <v>142</v>
      </c>
      <c r="R12" s="2" t="s">
        <v>130</v>
      </c>
    </row>
    <row r="13" spans="1:18" x14ac:dyDescent="0.35">
      <c r="B13" s="2" t="s">
        <v>229</v>
      </c>
      <c r="D13" s="2" t="b">
        <f>NOT(D12)</f>
        <v>1</v>
      </c>
      <c r="G13" s="2" t="s">
        <v>304</v>
      </c>
      <c r="H13" s="4">
        <f ca="1">D71</f>
        <v>1.2278178473934531E-11</v>
      </c>
      <c r="K13" s="2" t="s">
        <v>143</v>
      </c>
      <c r="R13" s="2" t="s">
        <v>131</v>
      </c>
    </row>
    <row r="14" spans="1:18" x14ac:dyDescent="0.35">
      <c r="A14" s="1"/>
      <c r="G14" s="2" t="s">
        <v>305</v>
      </c>
      <c r="H14" s="4">
        <f ca="1">D70</f>
        <v>3.1364186521097014E-10</v>
      </c>
      <c r="R14" s="2" t="s">
        <v>137</v>
      </c>
    </row>
    <row r="15" spans="1:18" x14ac:dyDescent="0.35">
      <c r="A15" s="1"/>
      <c r="B15" s="2" t="s">
        <v>78</v>
      </c>
      <c r="D15" s="51">
        <v>6</v>
      </c>
      <c r="G15" s="2" t="s">
        <v>315</v>
      </c>
      <c r="H15" s="12">
        <f>D101</f>
        <v>0.94999999999999973</v>
      </c>
      <c r="I15" s="3">
        <f>D27</f>
        <v>0.95</v>
      </c>
    </row>
    <row r="16" spans="1:18" x14ac:dyDescent="0.35">
      <c r="A16" s="1"/>
      <c r="B16" s="2" t="s">
        <v>82</v>
      </c>
      <c r="D16" s="2">
        <f>D15/6</f>
        <v>1</v>
      </c>
      <c r="G16" s="2" t="s">
        <v>300</v>
      </c>
      <c r="H16" s="4">
        <f ca="1">D107</f>
        <v>1.1087190156148692</v>
      </c>
      <c r="I16" s="4">
        <f>D8</f>
        <v>1.05</v>
      </c>
    </row>
    <row r="17" spans="1:64" x14ac:dyDescent="0.35">
      <c r="A17" s="1"/>
      <c r="B17" s="2" t="s">
        <v>79</v>
      </c>
      <c r="D17" s="50">
        <v>0.01</v>
      </c>
      <c r="G17" s="2" t="s">
        <v>301</v>
      </c>
      <c r="H17" s="4">
        <f ca="1">D108</f>
        <v>1.1087190156148687</v>
      </c>
    </row>
    <row r="18" spans="1:64" x14ac:dyDescent="0.35">
      <c r="A18" s="1"/>
      <c r="B18" s="2" t="s">
        <v>171</v>
      </c>
      <c r="D18" s="50">
        <v>2.5000000000000001E-3</v>
      </c>
      <c r="G18" s="2" t="s">
        <v>309</v>
      </c>
      <c r="H18" s="12">
        <f ca="1">D96</f>
        <v>9.0076337845623522E-2</v>
      </c>
    </row>
    <row r="19" spans="1:64" x14ac:dyDescent="0.35">
      <c r="A19" s="1"/>
      <c r="G19" s="2" t="s">
        <v>321</v>
      </c>
      <c r="H19" s="4">
        <f>D60</f>
        <v>3904.8364631652821</v>
      </c>
      <c r="I19" s="4">
        <f>D44</f>
        <v>4329.3664395776605</v>
      </c>
    </row>
    <row r="20" spans="1:64" x14ac:dyDescent="0.35">
      <c r="A20" s="1"/>
      <c r="B20" s="2" t="s">
        <v>66</v>
      </c>
      <c r="D20" s="51">
        <v>120</v>
      </c>
    </row>
    <row r="21" spans="1:64" x14ac:dyDescent="0.35">
      <c r="A21" s="1"/>
      <c r="D21" s="51"/>
      <c r="K21" s="2" t="s">
        <v>117</v>
      </c>
    </row>
    <row r="22" spans="1:64" x14ac:dyDescent="0.35">
      <c r="A22" s="1"/>
      <c r="D22" s="51">
        <v>1</v>
      </c>
      <c r="E22" s="51">
        <v>4</v>
      </c>
      <c r="F22" s="51">
        <v>6</v>
      </c>
      <c r="K22" s="2" t="s">
        <v>118</v>
      </c>
    </row>
    <row r="23" spans="1:64" x14ac:dyDescent="0.35">
      <c r="A23" s="1"/>
      <c r="B23" s="2" t="s">
        <v>38</v>
      </c>
      <c r="D23" s="53">
        <v>0.03</v>
      </c>
      <c r="E23" s="53">
        <v>0.02</v>
      </c>
      <c r="F23" s="53">
        <v>0.03</v>
      </c>
      <c r="K23" s="2" t="s">
        <v>119</v>
      </c>
    </row>
    <row r="24" spans="1:64" x14ac:dyDescent="0.35">
      <c r="A24" s="1"/>
      <c r="K24" s="2" t="s">
        <v>120</v>
      </c>
    </row>
    <row r="25" spans="1:64" x14ac:dyDescent="0.35">
      <c r="A25" s="1"/>
      <c r="B25" s="2" t="s">
        <v>12</v>
      </c>
      <c r="D25" s="52">
        <v>4000</v>
      </c>
      <c r="G25" s="32" t="s">
        <v>97</v>
      </c>
      <c r="H25" s="32" t="s">
        <v>10</v>
      </c>
      <c r="I25" s="32" t="s">
        <v>15</v>
      </c>
      <c r="J25" s="32"/>
      <c r="K25" s="2" t="s">
        <v>121</v>
      </c>
    </row>
    <row r="26" spans="1:64" x14ac:dyDescent="0.35">
      <c r="A26" s="1"/>
      <c r="B26" s="2" t="s">
        <v>95</v>
      </c>
      <c r="D26" s="4">
        <f>G26</f>
        <v>110.35417175292969</v>
      </c>
      <c r="G26" s="31">
        <f>E80</f>
        <v>110.35417175292969</v>
      </c>
      <c r="H26" s="30"/>
      <c r="I26" s="30"/>
      <c r="J26" s="28"/>
      <c r="N26" s="4"/>
      <c r="O26" s="4"/>
      <c r="P26" s="4"/>
    </row>
    <row r="27" spans="1:64" outlineLevel="1" x14ac:dyDescent="0.35">
      <c r="A27" s="1"/>
      <c r="B27" s="2" t="s">
        <v>86</v>
      </c>
      <c r="D27" s="53">
        <v>0.95</v>
      </c>
      <c r="I27" s="26"/>
    </row>
    <row r="28" spans="1:64" outlineLevel="1" x14ac:dyDescent="0.35">
      <c r="A28" s="1"/>
      <c r="B28" s="2" t="s">
        <v>329</v>
      </c>
      <c r="D28" s="4">
        <f>(D25+D26)*D27</f>
        <v>3904.836463165283</v>
      </c>
    </row>
    <row r="29" spans="1:64" s="10" customFormat="1" outlineLevel="1" x14ac:dyDescent="0.35">
      <c r="A29" s="22"/>
    </row>
    <row r="30" spans="1:64" s="98" customFormat="1" outlineLevel="1" x14ac:dyDescent="0.35">
      <c r="A30" s="98" t="s">
        <v>210</v>
      </c>
    </row>
    <row r="31" spans="1:64" x14ac:dyDescent="0.35">
      <c r="A31" s="1"/>
      <c r="B31" s="2" t="s">
        <v>65</v>
      </c>
      <c r="E31" s="51">
        <v>1</v>
      </c>
      <c r="F31" s="51">
        <v>2</v>
      </c>
      <c r="G31" s="51">
        <v>3</v>
      </c>
      <c r="H31" s="51">
        <v>4</v>
      </c>
      <c r="I31" s="51">
        <v>5</v>
      </c>
      <c r="J31" s="51">
        <v>6</v>
      </c>
      <c r="K31" s="51">
        <v>7</v>
      </c>
      <c r="L31" s="51">
        <v>8</v>
      </c>
      <c r="M31" s="51">
        <v>9</v>
      </c>
      <c r="N31" s="51">
        <v>10</v>
      </c>
      <c r="O31" s="51">
        <v>11</v>
      </c>
      <c r="P31" s="51">
        <v>12</v>
      </c>
      <c r="Q31" s="51">
        <v>13</v>
      </c>
      <c r="R31" s="51">
        <v>14</v>
      </c>
      <c r="S31" s="51">
        <v>15</v>
      </c>
      <c r="T31" s="51">
        <v>16</v>
      </c>
      <c r="U31" s="51">
        <v>17</v>
      </c>
      <c r="V31" s="51">
        <v>18</v>
      </c>
      <c r="W31" s="51">
        <v>19</v>
      </c>
      <c r="X31" s="51">
        <v>20</v>
      </c>
      <c r="Y31" s="51">
        <v>21</v>
      </c>
      <c r="Z31" s="51">
        <v>22</v>
      </c>
      <c r="AA31" s="51">
        <v>23</v>
      </c>
      <c r="AB31" s="51">
        <v>24</v>
      </c>
      <c r="AC31" s="51">
        <v>25</v>
      </c>
      <c r="AD31" s="51">
        <v>26</v>
      </c>
      <c r="AE31" s="51">
        <v>27</v>
      </c>
      <c r="AF31" s="51">
        <v>28</v>
      </c>
      <c r="AG31" s="51">
        <v>29</v>
      </c>
      <c r="AH31" s="51">
        <v>30</v>
      </c>
      <c r="AI31" s="51">
        <v>31</v>
      </c>
      <c r="AJ31" s="51">
        <v>32</v>
      </c>
      <c r="AK31" s="51">
        <v>33</v>
      </c>
      <c r="AL31" s="51">
        <v>34</v>
      </c>
      <c r="AM31" s="51">
        <v>35</v>
      </c>
      <c r="AN31" s="51">
        <v>36</v>
      </c>
      <c r="AO31" s="51">
        <v>37</v>
      </c>
      <c r="AP31" s="51">
        <v>38</v>
      </c>
      <c r="AQ31" s="51">
        <v>39</v>
      </c>
      <c r="AR31" s="51">
        <v>40</v>
      </c>
      <c r="AS31" s="51">
        <v>41</v>
      </c>
      <c r="AT31" s="51">
        <v>42</v>
      </c>
      <c r="AU31" s="51">
        <v>43</v>
      </c>
      <c r="AV31" s="51">
        <v>44</v>
      </c>
      <c r="AW31" s="51">
        <v>45</v>
      </c>
      <c r="AX31" s="51">
        <v>46</v>
      </c>
      <c r="AY31" s="51">
        <v>47</v>
      </c>
      <c r="AZ31" s="51">
        <v>48</v>
      </c>
      <c r="BA31" s="51">
        <v>49</v>
      </c>
      <c r="BB31" s="51">
        <v>50</v>
      </c>
      <c r="BC31" s="51">
        <v>51</v>
      </c>
      <c r="BD31" s="51">
        <v>52</v>
      </c>
      <c r="BE31" s="51">
        <v>53</v>
      </c>
      <c r="BF31" s="51">
        <v>54</v>
      </c>
      <c r="BG31" s="51">
        <v>55</v>
      </c>
      <c r="BH31" s="51">
        <v>56</v>
      </c>
      <c r="BI31" s="51">
        <v>57</v>
      </c>
      <c r="BJ31" s="51">
        <v>58</v>
      </c>
      <c r="BK31" s="51">
        <v>59</v>
      </c>
      <c r="BL31" s="51">
        <v>60</v>
      </c>
    </row>
    <row r="32" spans="1:64" x14ac:dyDescent="0.35">
      <c r="A32" s="1"/>
      <c r="B32" s="2" t="s">
        <v>30</v>
      </c>
      <c r="E32" s="2">
        <f t="shared" ref="E32:BL32" si="0">ROUNDUP(E31/2,0)</f>
        <v>1</v>
      </c>
      <c r="F32" s="2">
        <f t="shared" si="0"/>
        <v>1</v>
      </c>
      <c r="G32" s="2">
        <f t="shared" si="0"/>
        <v>2</v>
      </c>
      <c r="H32" s="2">
        <f t="shared" si="0"/>
        <v>2</v>
      </c>
      <c r="I32" s="2">
        <f t="shared" si="0"/>
        <v>3</v>
      </c>
      <c r="J32" s="2">
        <f t="shared" si="0"/>
        <v>3</v>
      </c>
      <c r="K32" s="2">
        <f t="shared" si="0"/>
        <v>4</v>
      </c>
      <c r="L32" s="2">
        <f t="shared" si="0"/>
        <v>4</v>
      </c>
      <c r="M32" s="2">
        <f t="shared" si="0"/>
        <v>5</v>
      </c>
      <c r="N32" s="2">
        <f t="shared" si="0"/>
        <v>5</v>
      </c>
      <c r="O32" s="2">
        <f t="shared" si="0"/>
        <v>6</v>
      </c>
      <c r="P32" s="2">
        <f t="shared" si="0"/>
        <v>6</v>
      </c>
      <c r="Q32" s="2">
        <f t="shared" si="0"/>
        <v>7</v>
      </c>
      <c r="R32" s="2">
        <f t="shared" si="0"/>
        <v>7</v>
      </c>
      <c r="S32" s="2">
        <f t="shared" si="0"/>
        <v>8</v>
      </c>
      <c r="T32" s="2">
        <f t="shared" si="0"/>
        <v>8</v>
      </c>
      <c r="U32" s="2">
        <f t="shared" si="0"/>
        <v>9</v>
      </c>
      <c r="V32" s="2">
        <f t="shared" si="0"/>
        <v>9</v>
      </c>
      <c r="W32" s="2">
        <f t="shared" si="0"/>
        <v>10</v>
      </c>
      <c r="X32" s="2">
        <f t="shared" si="0"/>
        <v>10</v>
      </c>
      <c r="Y32" s="2">
        <f t="shared" si="0"/>
        <v>11</v>
      </c>
      <c r="Z32" s="2">
        <f t="shared" si="0"/>
        <v>11</v>
      </c>
      <c r="AA32" s="2">
        <f t="shared" si="0"/>
        <v>12</v>
      </c>
      <c r="AB32" s="2">
        <f t="shared" si="0"/>
        <v>12</v>
      </c>
      <c r="AC32" s="2">
        <f t="shared" si="0"/>
        <v>13</v>
      </c>
      <c r="AD32" s="2">
        <f t="shared" si="0"/>
        <v>13</v>
      </c>
      <c r="AE32" s="2">
        <f t="shared" si="0"/>
        <v>14</v>
      </c>
      <c r="AF32" s="2">
        <f t="shared" si="0"/>
        <v>14</v>
      </c>
      <c r="AG32" s="2">
        <f t="shared" si="0"/>
        <v>15</v>
      </c>
      <c r="AH32" s="2">
        <f t="shared" si="0"/>
        <v>15</v>
      </c>
      <c r="AI32" s="2">
        <f t="shared" si="0"/>
        <v>16</v>
      </c>
      <c r="AJ32" s="2">
        <f t="shared" si="0"/>
        <v>16</v>
      </c>
      <c r="AK32" s="2">
        <f t="shared" si="0"/>
        <v>17</v>
      </c>
      <c r="AL32" s="2">
        <f t="shared" si="0"/>
        <v>17</v>
      </c>
      <c r="AM32" s="2">
        <f t="shared" si="0"/>
        <v>18</v>
      </c>
      <c r="AN32" s="2">
        <f t="shared" si="0"/>
        <v>18</v>
      </c>
      <c r="AO32" s="2">
        <f t="shared" si="0"/>
        <v>19</v>
      </c>
      <c r="AP32" s="2">
        <f t="shared" si="0"/>
        <v>19</v>
      </c>
      <c r="AQ32" s="2">
        <f t="shared" si="0"/>
        <v>20</v>
      </c>
      <c r="AR32" s="2">
        <f t="shared" si="0"/>
        <v>20</v>
      </c>
      <c r="AS32" s="2">
        <f t="shared" si="0"/>
        <v>21</v>
      </c>
      <c r="AT32" s="2">
        <f t="shared" si="0"/>
        <v>21</v>
      </c>
      <c r="AU32" s="2">
        <f t="shared" si="0"/>
        <v>22</v>
      </c>
      <c r="AV32" s="2">
        <f t="shared" si="0"/>
        <v>22</v>
      </c>
      <c r="AW32" s="2">
        <f t="shared" si="0"/>
        <v>23</v>
      </c>
      <c r="AX32" s="2">
        <f t="shared" si="0"/>
        <v>23</v>
      </c>
      <c r="AY32" s="2">
        <f t="shared" si="0"/>
        <v>24</v>
      </c>
      <c r="AZ32" s="2">
        <f t="shared" si="0"/>
        <v>24</v>
      </c>
      <c r="BA32" s="2">
        <f t="shared" si="0"/>
        <v>25</v>
      </c>
      <c r="BB32" s="2">
        <f t="shared" si="0"/>
        <v>25</v>
      </c>
      <c r="BC32" s="2">
        <f t="shared" si="0"/>
        <v>26</v>
      </c>
      <c r="BD32" s="2">
        <f t="shared" si="0"/>
        <v>26</v>
      </c>
      <c r="BE32" s="2">
        <f t="shared" si="0"/>
        <v>27</v>
      </c>
      <c r="BF32" s="2">
        <f t="shared" si="0"/>
        <v>27</v>
      </c>
      <c r="BG32" s="2">
        <f t="shared" si="0"/>
        <v>28</v>
      </c>
      <c r="BH32" s="2">
        <f t="shared" si="0"/>
        <v>28</v>
      </c>
      <c r="BI32" s="2">
        <f t="shared" si="0"/>
        <v>29</v>
      </c>
      <c r="BJ32" s="2">
        <f t="shared" si="0"/>
        <v>29</v>
      </c>
      <c r="BK32" s="2">
        <f t="shared" si="0"/>
        <v>30</v>
      </c>
      <c r="BL32" s="2">
        <f t="shared" si="0"/>
        <v>30</v>
      </c>
    </row>
    <row r="33" spans="1:64" x14ac:dyDescent="0.35">
      <c r="A33" s="1"/>
      <c r="C33" s="2" t="s">
        <v>80</v>
      </c>
      <c r="E33" s="2" t="b">
        <f t="shared" ref="E33:BL33" si="1">E31&lt;=$D$10*2</f>
        <v>1</v>
      </c>
      <c r="F33" s="2" t="b">
        <f t="shared" si="1"/>
        <v>1</v>
      </c>
      <c r="G33" s="2" t="b">
        <f t="shared" si="1"/>
        <v>1</v>
      </c>
      <c r="H33" s="2" t="b">
        <f t="shared" si="1"/>
        <v>1</v>
      </c>
      <c r="I33" s="2" t="b">
        <f t="shared" si="1"/>
        <v>1</v>
      </c>
      <c r="J33" s="2" t="b">
        <f t="shared" si="1"/>
        <v>1</v>
      </c>
      <c r="K33" s="2" t="b">
        <f t="shared" si="1"/>
        <v>1</v>
      </c>
      <c r="L33" s="2" t="b">
        <f t="shared" si="1"/>
        <v>1</v>
      </c>
      <c r="M33" s="2" t="b">
        <f t="shared" si="1"/>
        <v>1</v>
      </c>
      <c r="N33" s="2" t="b">
        <f t="shared" si="1"/>
        <v>1</v>
      </c>
      <c r="O33" s="2" t="b">
        <f t="shared" si="1"/>
        <v>1</v>
      </c>
      <c r="P33" s="2" t="b">
        <f t="shared" si="1"/>
        <v>1</v>
      </c>
      <c r="Q33" s="2" t="b">
        <f t="shared" si="1"/>
        <v>1</v>
      </c>
      <c r="R33" s="2" t="b">
        <f t="shared" si="1"/>
        <v>1</v>
      </c>
      <c r="S33" s="2" t="b">
        <f t="shared" si="1"/>
        <v>1</v>
      </c>
      <c r="T33" s="2" t="b">
        <f t="shared" si="1"/>
        <v>1</v>
      </c>
      <c r="U33" s="2" t="b">
        <f t="shared" si="1"/>
        <v>1</v>
      </c>
      <c r="V33" s="2" t="b">
        <f t="shared" si="1"/>
        <v>1</v>
      </c>
      <c r="W33" s="2" t="b">
        <f t="shared" si="1"/>
        <v>1</v>
      </c>
      <c r="X33" s="2" t="b">
        <f t="shared" si="1"/>
        <v>1</v>
      </c>
      <c r="Y33" s="2" t="b">
        <f t="shared" si="1"/>
        <v>1</v>
      </c>
      <c r="Z33" s="2" t="b">
        <f t="shared" si="1"/>
        <v>1</v>
      </c>
      <c r="AA33" s="2" t="b">
        <f t="shared" si="1"/>
        <v>1</v>
      </c>
      <c r="AB33" s="2" t="b">
        <f t="shared" si="1"/>
        <v>1</v>
      </c>
      <c r="AC33" s="2" t="b">
        <f t="shared" si="1"/>
        <v>1</v>
      </c>
      <c r="AD33" s="2" t="b">
        <f t="shared" si="1"/>
        <v>1</v>
      </c>
      <c r="AE33" s="2" t="b">
        <f t="shared" si="1"/>
        <v>1</v>
      </c>
      <c r="AF33" s="2" t="b">
        <f t="shared" si="1"/>
        <v>1</v>
      </c>
      <c r="AG33" s="2" t="b">
        <f t="shared" si="1"/>
        <v>1</v>
      </c>
      <c r="AH33" s="2" t="b">
        <f t="shared" si="1"/>
        <v>1</v>
      </c>
      <c r="AI33" s="2" t="b">
        <f t="shared" si="1"/>
        <v>1</v>
      </c>
      <c r="AJ33" s="2" t="b">
        <f t="shared" si="1"/>
        <v>1</v>
      </c>
      <c r="AK33" s="2" t="b">
        <f t="shared" si="1"/>
        <v>1</v>
      </c>
      <c r="AL33" s="2" t="b">
        <f t="shared" si="1"/>
        <v>1</v>
      </c>
      <c r="AM33" s="2" t="b">
        <f t="shared" si="1"/>
        <v>1</v>
      </c>
      <c r="AN33" s="2" t="b">
        <f t="shared" si="1"/>
        <v>1</v>
      </c>
      <c r="AO33" s="2" t="b">
        <f t="shared" si="1"/>
        <v>1</v>
      </c>
      <c r="AP33" s="2" t="b">
        <f t="shared" si="1"/>
        <v>1</v>
      </c>
      <c r="AQ33" s="2" t="b">
        <f t="shared" si="1"/>
        <v>1</v>
      </c>
      <c r="AR33" s="2" t="b">
        <f t="shared" si="1"/>
        <v>1</v>
      </c>
      <c r="AS33" s="2" t="b">
        <f t="shared" si="1"/>
        <v>0</v>
      </c>
      <c r="AT33" s="2" t="b">
        <f t="shared" si="1"/>
        <v>0</v>
      </c>
      <c r="AU33" s="2" t="b">
        <f t="shared" si="1"/>
        <v>0</v>
      </c>
      <c r="AV33" s="2" t="b">
        <f t="shared" si="1"/>
        <v>0</v>
      </c>
      <c r="AW33" s="2" t="b">
        <f t="shared" si="1"/>
        <v>0</v>
      </c>
      <c r="AX33" s="2" t="b">
        <f t="shared" si="1"/>
        <v>0</v>
      </c>
      <c r="AY33" s="2" t="b">
        <f t="shared" si="1"/>
        <v>0</v>
      </c>
      <c r="AZ33" s="2" t="b">
        <f t="shared" si="1"/>
        <v>0</v>
      </c>
      <c r="BA33" s="2" t="b">
        <f t="shared" si="1"/>
        <v>0</v>
      </c>
      <c r="BB33" s="2" t="b">
        <f t="shared" si="1"/>
        <v>0</v>
      </c>
      <c r="BC33" s="2" t="b">
        <f t="shared" si="1"/>
        <v>0</v>
      </c>
      <c r="BD33" s="2" t="b">
        <f t="shared" si="1"/>
        <v>0</v>
      </c>
      <c r="BE33" s="2" t="b">
        <f t="shared" si="1"/>
        <v>0</v>
      </c>
      <c r="BF33" s="2" t="b">
        <f t="shared" si="1"/>
        <v>0</v>
      </c>
      <c r="BG33" s="2" t="b">
        <f t="shared" si="1"/>
        <v>0</v>
      </c>
      <c r="BH33" s="2" t="b">
        <f t="shared" si="1"/>
        <v>0</v>
      </c>
      <c r="BI33" s="2" t="b">
        <f t="shared" si="1"/>
        <v>0</v>
      </c>
      <c r="BJ33" s="2" t="b">
        <f t="shared" si="1"/>
        <v>0</v>
      </c>
      <c r="BK33" s="2" t="b">
        <f t="shared" si="1"/>
        <v>0</v>
      </c>
      <c r="BL33" s="2" t="b">
        <f t="shared" si="1"/>
        <v>0</v>
      </c>
    </row>
    <row r="34" spans="1:64" x14ac:dyDescent="0.35">
      <c r="A34" s="1"/>
      <c r="C34" s="2" t="s">
        <v>144</v>
      </c>
      <c r="E34" s="51" t="b">
        <v>1</v>
      </c>
      <c r="F34" s="51" t="b">
        <v>1</v>
      </c>
      <c r="G34" s="51" t="b">
        <v>1</v>
      </c>
      <c r="H34" s="51" t="b">
        <v>1</v>
      </c>
      <c r="I34" s="51" t="b">
        <v>1</v>
      </c>
      <c r="J34" s="51" t="b">
        <v>1</v>
      </c>
      <c r="K34" s="51" t="b">
        <v>1</v>
      </c>
      <c r="L34" s="51" t="b">
        <v>1</v>
      </c>
      <c r="M34" s="51" t="b">
        <v>1</v>
      </c>
      <c r="N34" s="51" t="b">
        <v>1</v>
      </c>
      <c r="O34" s="51" t="b">
        <v>1</v>
      </c>
      <c r="P34" s="51" t="b">
        <v>1</v>
      </c>
      <c r="Q34" s="51" t="b">
        <v>1</v>
      </c>
      <c r="R34" s="51" t="b">
        <v>1</v>
      </c>
      <c r="S34" s="51" t="b">
        <v>1</v>
      </c>
      <c r="T34" s="51" t="b">
        <v>1</v>
      </c>
      <c r="U34" s="51" t="b">
        <v>1</v>
      </c>
      <c r="V34" s="51" t="b">
        <v>1</v>
      </c>
      <c r="W34" s="51" t="b">
        <v>1</v>
      </c>
      <c r="X34" s="51" t="b">
        <v>1</v>
      </c>
      <c r="Y34" s="51" t="b">
        <v>1</v>
      </c>
      <c r="Z34" s="51" t="b">
        <v>1</v>
      </c>
      <c r="AA34" s="51" t="b">
        <v>1</v>
      </c>
      <c r="AB34" s="51" t="b">
        <v>1</v>
      </c>
      <c r="AC34" s="51" t="b">
        <v>1</v>
      </c>
      <c r="AD34" s="51" t="b">
        <v>1</v>
      </c>
      <c r="AE34" s="51" t="b">
        <v>1</v>
      </c>
      <c r="AF34" s="51" t="b">
        <v>1</v>
      </c>
      <c r="AG34" s="51" t="b">
        <v>1</v>
      </c>
      <c r="AH34" s="51" t="b">
        <v>1</v>
      </c>
      <c r="AI34" s="51" t="b">
        <v>1</v>
      </c>
      <c r="AJ34" s="51" t="b">
        <v>1</v>
      </c>
      <c r="AK34" s="51" t="b">
        <v>1</v>
      </c>
      <c r="AL34" s="51" t="b">
        <v>1</v>
      </c>
      <c r="AM34" s="51" t="b">
        <v>1</v>
      </c>
      <c r="AN34" s="51" t="b">
        <v>1</v>
      </c>
      <c r="AO34" s="51" t="b">
        <v>1</v>
      </c>
      <c r="AP34" s="51" t="b">
        <v>1</v>
      </c>
      <c r="AQ34" s="51" t="b">
        <v>1</v>
      </c>
      <c r="AR34" s="51" t="b">
        <v>1</v>
      </c>
      <c r="AS34" s="51" t="b">
        <v>1</v>
      </c>
      <c r="AT34" s="51" t="b">
        <v>1</v>
      </c>
      <c r="AU34" s="51" t="b">
        <v>1</v>
      </c>
      <c r="AV34" s="51" t="b">
        <v>1</v>
      </c>
      <c r="AW34" s="51" t="b">
        <v>1</v>
      </c>
      <c r="AX34" s="51" t="b">
        <v>1</v>
      </c>
      <c r="AY34" s="51" t="b">
        <v>1</v>
      </c>
      <c r="AZ34" s="51" t="b">
        <v>1</v>
      </c>
      <c r="BA34" s="51" t="b">
        <v>1</v>
      </c>
      <c r="BB34" s="51" t="b">
        <v>1</v>
      </c>
      <c r="BC34" s="51" t="b">
        <v>1</v>
      </c>
      <c r="BD34" s="51" t="b">
        <v>1</v>
      </c>
      <c r="BE34" s="51" t="b">
        <v>1</v>
      </c>
      <c r="BF34" s="51" t="b">
        <v>1</v>
      </c>
      <c r="BG34" s="51" t="b">
        <v>1</v>
      </c>
      <c r="BH34" s="51" t="b">
        <v>1</v>
      </c>
      <c r="BI34" s="51" t="b">
        <v>1</v>
      </c>
      <c r="BJ34" s="51" t="b">
        <v>1</v>
      </c>
      <c r="BK34" s="51" t="b">
        <v>1</v>
      </c>
      <c r="BL34" s="51" t="b">
        <v>1</v>
      </c>
    </row>
    <row r="35" spans="1:64" x14ac:dyDescent="0.35">
      <c r="A35" s="1"/>
    </row>
    <row r="36" spans="1:64" x14ac:dyDescent="0.35">
      <c r="A36" s="1"/>
      <c r="C36" s="2" t="s">
        <v>38</v>
      </c>
      <c r="E36" s="12">
        <f t="shared" ref="E36:BL36" si="2">LOOKUP(E32,22:22,23:23)/2</f>
        <v>1.4999999999999999E-2</v>
      </c>
      <c r="F36" s="12">
        <f t="shared" si="2"/>
        <v>1.4999999999999999E-2</v>
      </c>
      <c r="G36" s="12">
        <f t="shared" si="2"/>
        <v>1.4999999999999999E-2</v>
      </c>
      <c r="H36" s="12">
        <f t="shared" si="2"/>
        <v>1.4999999999999999E-2</v>
      </c>
      <c r="I36" s="12">
        <f t="shared" si="2"/>
        <v>1.4999999999999999E-2</v>
      </c>
      <c r="J36" s="12">
        <f t="shared" si="2"/>
        <v>1.4999999999999999E-2</v>
      </c>
      <c r="K36" s="12">
        <f t="shared" si="2"/>
        <v>0.01</v>
      </c>
      <c r="L36" s="12">
        <f t="shared" si="2"/>
        <v>0.01</v>
      </c>
      <c r="M36" s="12">
        <f t="shared" si="2"/>
        <v>0.01</v>
      </c>
      <c r="N36" s="12">
        <f t="shared" si="2"/>
        <v>0.01</v>
      </c>
      <c r="O36" s="12">
        <f t="shared" si="2"/>
        <v>1.4999999999999999E-2</v>
      </c>
      <c r="P36" s="12">
        <f t="shared" si="2"/>
        <v>1.4999999999999999E-2</v>
      </c>
      <c r="Q36" s="12">
        <f t="shared" si="2"/>
        <v>1.4999999999999999E-2</v>
      </c>
      <c r="R36" s="12">
        <f t="shared" si="2"/>
        <v>1.4999999999999999E-2</v>
      </c>
      <c r="S36" s="12">
        <f t="shared" si="2"/>
        <v>1.4999999999999999E-2</v>
      </c>
      <c r="T36" s="12">
        <f t="shared" si="2"/>
        <v>1.4999999999999999E-2</v>
      </c>
      <c r="U36" s="12">
        <f t="shared" si="2"/>
        <v>1.4999999999999999E-2</v>
      </c>
      <c r="V36" s="12">
        <f t="shared" si="2"/>
        <v>1.4999999999999999E-2</v>
      </c>
      <c r="W36" s="12">
        <f t="shared" si="2"/>
        <v>1.4999999999999999E-2</v>
      </c>
      <c r="X36" s="12">
        <f t="shared" si="2"/>
        <v>1.4999999999999999E-2</v>
      </c>
      <c r="Y36" s="12">
        <f t="shared" si="2"/>
        <v>1.4999999999999999E-2</v>
      </c>
      <c r="Z36" s="12">
        <f t="shared" si="2"/>
        <v>1.4999999999999999E-2</v>
      </c>
      <c r="AA36" s="12">
        <f t="shared" si="2"/>
        <v>1.4999999999999999E-2</v>
      </c>
      <c r="AB36" s="12">
        <f t="shared" si="2"/>
        <v>1.4999999999999999E-2</v>
      </c>
      <c r="AC36" s="12">
        <f t="shared" si="2"/>
        <v>1.4999999999999999E-2</v>
      </c>
      <c r="AD36" s="12">
        <f t="shared" si="2"/>
        <v>1.4999999999999999E-2</v>
      </c>
      <c r="AE36" s="12">
        <f t="shared" si="2"/>
        <v>1.4999999999999999E-2</v>
      </c>
      <c r="AF36" s="12">
        <f t="shared" si="2"/>
        <v>1.4999999999999999E-2</v>
      </c>
      <c r="AG36" s="12">
        <f t="shared" si="2"/>
        <v>1.4999999999999999E-2</v>
      </c>
      <c r="AH36" s="12">
        <f t="shared" si="2"/>
        <v>1.4999999999999999E-2</v>
      </c>
      <c r="AI36" s="12">
        <f t="shared" si="2"/>
        <v>1.4999999999999999E-2</v>
      </c>
      <c r="AJ36" s="12">
        <f t="shared" si="2"/>
        <v>1.4999999999999999E-2</v>
      </c>
      <c r="AK36" s="12">
        <f t="shared" si="2"/>
        <v>1.4999999999999999E-2</v>
      </c>
      <c r="AL36" s="12">
        <f t="shared" si="2"/>
        <v>1.4999999999999999E-2</v>
      </c>
      <c r="AM36" s="12">
        <f t="shared" si="2"/>
        <v>1.4999999999999999E-2</v>
      </c>
      <c r="AN36" s="12">
        <f t="shared" si="2"/>
        <v>1.4999999999999999E-2</v>
      </c>
      <c r="AO36" s="12">
        <f t="shared" si="2"/>
        <v>1.4999999999999999E-2</v>
      </c>
      <c r="AP36" s="12">
        <f t="shared" si="2"/>
        <v>1.4999999999999999E-2</v>
      </c>
      <c r="AQ36" s="12">
        <f t="shared" si="2"/>
        <v>1.4999999999999999E-2</v>
      </c>
      <c r="AR36" s="12">
        <f t="shared" si="2"/>
        <v>1.4999999999999999E-2</v>
      </c>
      <c r="AS36" s="12">
        <f t="shared" si="2"/>
        <v>1.4999999999999999E-2</v>
      </c>
      <c r="AT36" s="12">
        <f t="shared" si="2"/>
        <v>1.4999999999999999E-2</v>
      </c>
      <c r="AU36" s="12">
        <f t="shared" si="2"/>
        <v>1.4999999999999999E-2</v>
      </c>
      <c r="AV36" s="12">
        <f t="shared" si="2"/>
        <v>1.4999999999999999E-2</v>
      </c>
      <c r="AW36" s="12">
        <f t="shared" si="2"/>
        <v>1.4999999999999999E-2</v>
      </c>
      <c r="AX36" s="12">
        <f t="shared" si="2"/>
        <v>1.4999999999999999E-2</v>
      </c>
      <c r="AY36" s="12">
        <f t="shared" si="2"/>
        <v>1.4999999999999999E-2</v>
      </c>
      <c r="AZ36" s="12">
        <f t="shared" si="2"/>
        <v>1.4999999999999999E-2</v>
      </c>
      <c r="BA36" s="12">
        <f t="shared" si="2"/>
        <v>1.4999999999999999E-2</v>
      </c>
      <c r="BB36" s="12">
        <f t="shared" si="2"/>
        <v>1.4999999999999999E-2</v>
      </c>
      <c r="BC36" s="12">
        <f t="shared" si="2"/>
        <v>1.4999999999999999E-2</v>
      </c>
      <c r="BD36" s="12">
        <f t="shared" si="2"/>
        <v>1.4999999999999999E-2</v>
      </c>
      <c r="BE36" s="12">
        <f t="shared" si="2"/>
        <v>1.4999999999999999E-2</v>
      </c>
      <c r="BF36" s="12">
        <f t="shared" si="2"/>
        <v>1.4999999999999999E-2</v>
      </c>
      <c r="BG36" s="12">
        <f t="shared" si="2"/>
        <v>1.4999999999999999E-2</v>
      </c>
      <c r="BH36" s="12">
        <f t="shared" si="2"/>
        <v>1.4999999999999999E-2</v>
      </c>
      <c r="BI36" s="12">
        <f t="shared" si="2"/>
        <v>1.4999999999999999E-2</v>
      </c>
      <c r="BJ36" s="12">
        <f t="shared" si="2"/>
        <v>1.4999999999999999E-2</v>
      </c>
      <c r="BK36" s="12">
        <f t="shared" si="2"/>
        <v>1.4999999999999999E-2</v>
      </c>
      <c r="BL36" s="12">
        <f t="shared" si="2"/>
        <v>1.4999999999999999E-2</v>
      </c>
    </row>
    <row r="37" spans="1:64" x14ac:dyDescent="0.35">
      <c r="A37" s="1"/>
      <c r="C37" s="2" t="s">
        <v>104</v>
      </c>
      <c r="D37" s="4">
        <f>D20</f>
        <v>120</v>
      </c>
      <c r="E37" s="4">
        <f t="shared" ref="E37:BL37" si="3">D37*(1+E36)</f>
        <v>121.79999999999998</v>
      </c>
      <c r="F37" s="4">
        <f t="shared" si="3"/>
        <v>123.62699999999997</v>
      </c>
      <c r="G37" s="4">
        <f t="shared" si="3"/>
        <v>125.48140499999995</v>
      </c>
      <c r="H37" s="4">
        <f t="shared" si="3"/>
        <v>127.36362607499994</v>
      </c>
      <c r="I37" s="4">
        <f t="shared" si="3"/>
        <v>129.27408046612493</v>
      </c>
      <c r="J37" s="4">
        <f t="shared" si="3"/>
        <v>131.2131916731168</v>
      </c>
      <c r="K37" s="4">
        <f t="shared" si="3"/>
        <v>132.52532358984797</v>
      </c>
      <c r="L37" s="4">
        <f t="shared" si="3"/>
        <v>133.85057682574646</v>
      </c>
      <c r="M37" s="4">
        <f t="shared" si="3"/>
        <v>135.18908259400393</v>
      </c>
      <c r="N37" s="4">
        <f t="shared" si="3"/>
        <v>136.54097341994398</v>
      </c>
      <c r="O37" s="4">
        <f t="shared" si="3"/>
        <v>138.58908802124313</v>
      </c>
      <c r="P37" s="4">
        <f t="shared" si="3"/>
        <v>140.66792434156176</v>
      </c>
      <c r="Q37" s="4">
        <f t="shared" si="3"/>
        <v>142.77794320668517</v>
      </c>
      <c r="R37" s="4">
        <f t="shared" si="3"/>
        <v>144.91961235478544</v>
      </c>
      <c r="S37" s="4">
        <f t="shared" si="3"/>
        <v>147.0934065401072</v>
      </c>
      <c r="T37" s="4">
        <f t="shared" si="3"/>
        <v>149.29980763820879</v>
      </c>
      <c r="U37" s="4">
        <f t="shared" si="3"/>
        <v>151.5393047527819</v>
      </c>
      <c r="V37" s="4">
        <f t="shared" si="3"/>
        <v>153.81239432407361</v>
      </c>
      <c r="W37" s="4">
        <f t="shared" si="3"/>
        <v>156.1195802389347</v>
      </c>
      <c r="X37" s="4">
        <f t="shared" si="3"/>
        <v>158.46137394251872</v>
      </c>
      <c r="Y37" s="4">
        <f t="shared" si="3"/>
        <v>160.83829455165647</v>
      </c>
      <c r="Z37" s="4">
        <f t="shared" si="3"/>
        <v>163.2508689699313</v>
      </c>
      <c r="AA37" s="4">
        <f t="shared" si="3"/>
        <v>165.69963200448026</v>
      </c>
      <c r="AB37" s="4">
        <f t="shared" si="3"/>
        <v>168.18512648454745</v>
      </c>
      <c r="AC37" s="4">
        <f t="shared" si="3"/>
        <v>170.70790338181564</v>
      </c>
      <c r="AD37" s="4">
        <f t="shared" si="3"/>
        <v>173.26852193254285</v>
      </c>
      <c r="AE37" s="4">
        <f t="shared" si="3"/>
        <v>175.86754976153097</v>
      </c>
      <c r="AF37" s="4">
        <f t="shared" si="3"/>
        <v>178.50556300795392</v>
      </c>
      <c r="AG37" s="4">
        <f t="shared" si="3"/>
        <v>181.18314645307322</v>
      </c>
      <c r="AH37" s="4">
        <f t="shared" si="3"/>
        <v>183.90089364986929</v>
      </c>
      <c r="AI37" s="4">
        <f t="shared" si="3"/>
        <v>186.6594070546173</v>
      </c>
      <c r="AJ37" s="4">
        <f t="shared" si="3"/>
        <v>189.45929816043653</v>
      </c>
      <c r="AK37" s="4">
        <f t="shared" si="3"/>
        <v>192.30118763284307</v>
      </c>
      <c r="AL37" s="4">
        <f t="shared" si="3"/>
        <v>195.18570544733569</v>
      </c>
      <c r="AM37" s="4">
        <f t="shared" si="3"/>
        <v>198.11349102904572</v>
      </c>
      <c r="AN37" s="4">
        <f t="shared" si="3"/>
        <v>201.08519339448139</v>
      </c>
      <c r="AO37" s="4">
        <f t="shared" si="3"/>
        <v>204.1014712953986</v>
      </c>
      <c r="AP37" s="4">
        <f t="shared" si="3"/>
        <v>207.16299336482956</v>
      </c>
      <c r="AQ37" s="4">
        <f t="shared" si="3"/>
        <v>210.27043826530198</v>
      </c>
      <c r="AR37" s="4">
        <f t="shared" si="3"/>
        <v>213.42449483928149</v>
      </c>
      <c r="AS37" s="4">
        <f t="shared" si="3"/>
        <v>216.62586226187071</v>
      </c>
      <c r="AT37" s="4">
        <f t="shared" si="3"/>
        <v>219.87525019579874</v>
      </c>
      <c r="AU37" s="4">
        <f t="shared" si="3"/>
        <v>223.17337894873569</v>
      </c>
      <c r="AV37" s="4">
        <f t="shared" si="3"/>
        <v>226.52097963296671</v>
      </c>
      <c r="AW37" s="4">
        <f t="shared" si="3"/>
        <v>229.9187943274612</v>
      </c>
      <c r="AX37" s="4">
        <f t="shared" si="3"/>
        <v>233.3675762423731</v>
      </c>
      <c r="AY37" s="4">
        <f t="shared" si="3"/>
        <v>236.86808988600868</v>
      </c>
      <c r="AZ37" s="4">
        <f t="shared" si="3"/>
        <v>240.42111123429879</v>
      </c>
      <c r="BA37" s="4">
        <f t="shared" si="3"/>
        <v>244.02742790281326</v>
      </c>
      <c r="BB37" s="4">
        <f t="shared" si="3"/>
        <v>247.68783932135543</v>
      </c>
      <c r="BC37" s="4">
        <f t="shared" si="3"/>
        <v>251.40315691117573</v>
      </c>
      <c r="BD37" s="4">
        <f t="shared" si="3"/>
        <v>255.17420426484333</v>
      </c>
      <c r="BE37" s="4">
        <f t="shared" si="3"/>
        <v>259.00181732881595</v>
      </c>
      <c r="BF37" s="4">
        <f t="shared" si="3"/>
        <v>262.88684458874815</v>
      </c>
      <c r="BG37" s="4">
        <f t="shared" si="3"/>
        <v>266.83014725757937</v>
      </c>
      <c r="BH37" s="4">
        <f t="shared" si="3"/>
        <v>270.83259946644301</v>
      </c>
      <c r="BI37" s="4">
        <f t="shared" si="3"/>
        <v>274.89508845843966</v>
      </c>
      <c r="BJ37" s="4">
        <f t="shared" si="3"/>
        <v>279.0185147853162</v>
      </c>
      <c r="BK37" s="4">
        <f t="shared" si="3"/>
        <v>283.2037925070959</v>
      </c>
      <c r="BL37" s="4">
        <f t="shared" si="3"/>
        <v>287.45184939470232</v>
      </c>
    </row>
    <row r="38" spans="1:64" x14ac:dyDescent="0.35">
      <c r="A38" s="1"/>
      <c r="C38" s="2" t="s">
        <v>105</v>
      </c>
      <c r="D38" s="4"/>
      <c r="E38" s="46">
        <f>E81*$D$13</f>
        <v>0.55177086591720581</v>
      </c>
      <c r="F38" s="46">
        <f t="shared" ref="F38:BL38" si="4">F81*$D$13</f>
        <v>0.56004738807678223</v>
      </c>
      <c r="G38" s="46">
        <f t="shared" si="4"/>
        <v>0.56844812631607056</v>
      </c>
      <c r="H38" s="46">
        <f t="shared" si="4"/>
        <v>0.57697486877441406</v>
      </c>
      <c r="I38" s="46">
        <f t="shared" si="4"/>
        <v>0.58562946319580078</v>
      </c>
      <c r="J38" s="46">
        <f t="shared" si="4"/>
        <v>0.59441393613815308</v>
      </c>
      <c r="K38" s="46">
        <f t="shared" si="4"/>
        <v>0.60035806894302368</v>
      </c>
      <c r="L38" s="46">
        <f t="shared" si="4"/>
        <v>0.60636162757873535</v>
      </c>
      <c r="M38" s="46">
        <f t="shared" si="4"/>
        <v>0.61242526769638062</v>
      </c>
      <c r="N38" s="46">
        <f t="shared" si="4"/>
        <v>0.61854952573776245</v>
      </c>
      <c r="O38" s="46">
        <f t="shared" si="4"/>
        <v>0.62782776355743408</v>
      </c>
      <c r="P38" s="46">
        <f t="shared" si="4"/>
        <v>0.63724517822265625</v>
      </c>
      <c r="Q38" s="46">
        <f t="shared" si="4"/>
        <v>0.64680379629135132</v>
      </c>
      <c r="R38" s="46">
        <f t="shared" si="4"/>
        <v>0.65650588274002075</v>
      </c>
      <c r="S38" s="46">
        <f t="shared" si="4"/>
        <v>0.66635346412658691</v>
      </c>
      <c r="T38" s="46">
        <f t="shared" si="4"/>
        <v>0.67634880542755127</v>
      </c>
      <c r="U38" s="46">
        <f t="shared" si="4"/>
        <v>0.68649399280548096</v>
      </c>
      <c r="V38" s="46">
        <f t="shared" si="4"/>
        <v>0.69679147005081177</v>
      </c>
      <c r="W38" s="46">
        <f t="shared" si="4"/>
        <v>0.70724326372146606</v>
      </c>
      <c r="X38" s="46">
        <f t="shared" si="4"/>
        <v>0.71785193681716919</v>
      </c>
      <c r="Y38" s="46">
        <f t="shared" si="4"/>
        <v>0.72861975431442261</v>
      </c>
      <c r="Z38" s="46">
        <f t="shared" si="4"/>
        <v>0.73954904079437256</v>
      </c>
      <c r="AA38" s="46">
        <f t="shared" si="4"/>
        <v>0.75064224004745483</v>
      </c>
      <c r="AB38" s="46">
        <f t="shared" si="4"/>
        <v>0.76190191507339478</v>
      </c>
      <c r="AC38" s="46">
        <f t="shared" si="4"/>
        <v>0.7733304500579834</v>
      </c>
      <c r="AD38" s="46">
        <f t="shared" si="4"/>
        <v>0.78493040800094604</v>
      </c>
      <c r="AE38" s="46">
        <f t="shared" si="4"/>
        <v>0.79670435190200806</v>
      </c>
      <c r="AF38" s="46">
        <f t="shared" si="4"/>
        <v>0.80865496397018433</v>
      </c>
      <c r="AG38" s="46">
        <f t="shared" si="4"/>
        <v>0.82078474760055542</v>
      </c>
      <c r="AH38" s="46">
        <f t="shared" si="4"/>
        <v>0.83309644460678101</v>
      </c>
      <c r="AI38" s="46">
        <f t="shared" si="4"/>
        <v>0.84559297561645508</v>
      </c>
      <c r="AJ38" s="46">
        <f t="shared" si="4"/>
        <v>0.8582768440246582</v>
      </c>
      <c r="AK38" s="46">
        <f t="shared" si="4"/>
        <v>0.87115097045898438</v>
      </c>
      <c r="AL38" s="46">
        <f t="shared" si="4"/>
        <v>0.88421827554702759</v>
      </c>
      <c r="AM38" s="46">
        <f t="shared" si="4"/>
        <v>0.89748156070709229</v>
      </c>
      <c r="AN38" s="46">
        <f t="shared" si="4"/>
        <v>0.91094374656677246</v>
      </c>
      <c r="AO38" s="46">
        <f t="shared" si="4"/>
        <v>0.92460793256759644</v>
      </c>
      <c r="AP38" s="46">
        <f t="shared" si="4"/>
        <v>0.9384770393371582</v>
      </c>
      <c r="AQ38" s="46">
        <f t="shared" si="4"/>
        <v>0.95255416631698608</v>
      </c>
      <c r="AR38" s="46">
        <f t="shared" si="4"/>
        <v>0.96684247255325317</v>
      </c>
      <c r="AS38" s="46">
        <f t="shared" si="4"/>
        <v>0</v>
      </c>
      <c r="AT38" s="46">
        <f t="shared" si="4"/>
        <v>0</v>
      </c>
      <c r="AU38" s="46">
        <f t="shared" si="4"/>
        <v>0</v>
      </c>
      <c r="AV38" s="46">
        <f t="shared" si="4"/>
        <v>0</v>
      </c>
      <c r="AW38" s="46">
        <f t="shared" si="4"/>
        <v>0</v>
      </c>
      <c r="AX38" s="46">
        <f t="shared" si="4"/>
        <v>0</v>
      </c>
      <c r="AY38" s="46">
        <f t="shared" si="4"/>
        <v>0</v>
      </c>
      <c r="AZ38" s="46">
        <f t="shared" si="4"/>
        <v>0</v>
      </c>
      <c r="BA38" s="46">
        <f t="shared" si="4"/>
        <v>0</v>
      </c>
      <c r="BB38" s="46">
        <f t="shared" si="4"/>
        <v>0</v>
      </c>
      <c r="BC38" s="46">
        <f t="shared" si="4"/>
        <v>0</v>
      </c>
      <c r="BD38" s="46">
        <f t="shared" si="4"/>
        <v>0</v>
      </c>
      <c r="BE38" s="46">
        <f t="shared" si="4"/>
        <v>0</v>
      </c>
      <c r="BF38" s="46">
        <f t="shared" si="4"/>
        <v>0</v>
      </c>
      <c r="BG38" s="46">
        <f t="shared" si="4"/>
        <v>0</v>
      </c>
      <c r="BH38" s="46">
        <f t="shared" si="4"/>
        <v>0</v>
      </c>
      <c r="BI38" s="46">
        <f t="shared" si="4"/>
        <v>0</v>
      </c>
      <c r="BJ38" s="46">
        <f t="shared" si="4"/>
        <v>0</v>
      </c>
      <c r="BK38" s="46">
        <f t="shared" si="4"/>
        <v>0</v>
      </c>
      <c r="BL38" s="46">
        <f t="shared" si="4"/>
        <v>0</v>
      </c>
    </row>
    <row r="39" spans="1:64" ht="15" thickBot="1" x14ac:dyDescent="0.4">
      <c r="A39" s="1"/>
      <c r="C39" s="24" t="s">
        <v>2</v>
      </c>
      <c r="D39" s="25"/>
      <c r="E39" s="25">
        <f>E37+E38</f>
        <v>122.35177086591719</v>
      </c>
      <c r="F39" s="25">
        <f t="shared" ref="F39:BL39" si="5">F37+F38</f>
        <v>124.18704738807675</v>
      </c>
      <c r="G39" s="25">
        <f t="shared" si="5"/>
        <v>126.04985312631602</v>
      </c>
      <c r="H39" s="25">
        <f t="shared" si="5"/>
        <v>127.94060094377436</v>
      </c>
      <c r="I39" s="25">
        <f t="shared" si="5"/>
        <v>129.85970992932073</v>
      </c>
      <c r="J39" s="25">
        <f t="shared" si="5"/>
        <v>131.80760560925495</v>
      </c>
      <c r="K39" s="25">
        <f t="shared" si="5"/>
        <v>133.125681658791</v>
      </c>
      <c r="L39" s="25">
        <f t="shared" si="5"/>
        <v>134.45693845332519</v>
      </c>
      <c r="M39" s="25">
        <f t="shared" si="5"/>
        <v>135.80150786170032</v>
      </c>
      <c r="N39" s="25">
        <f t="shared" si="5"/>
        <v>137.15952294568174</v>
      </c>
      <c r="O39" s="25">
        <f t="shared" si="5"/>
        <v>139.21691578480056</v>
      </c>
      <c r="P39" s="25">
        <f t="shared" si="5"/>
        <v>141.30516951978441</v>
      </c>
      <c r="Q39" s="25">
        <f t="shared" si="5"/>
        <v>143.42474700297652</v>
      </c>
      <c r="R39" s="25">
        <f t="shared" si="5"/>
        <v>145.57611823752546</v>
      </c>
      <c r="S39" s="25">
        <f t="shared" si="5"/>
        <v>147.75976000423378</v>
      </c>
      <c r="T39" s="25">
        <f t="shared" si="5"/>
        <v>149.97615644363634</v>
      </c>
      <c r="U39" s="25">
        <f t="shared" si="5"/>
        <v>152.22579874558738</v>
      </c>
      <c r="V39" s="25">
        <f t="shared" si="5"/>
        <v>154.50918579412442</v>
      </c>
      <c r="W39" s="25">
        <f t="shared" si="5"/>
        <v>156.82682350265617</v>
      </c>
      <c r="X39" s="25">
        <f t="shared" si="5"/>
        <v>159.17922587933589</v>
      </c>
      <c r="Y39" s="25">
        <f t="shared" si="5"/>
        <v>161.5669143059709</v>
      </c>
      <c r="Z39" s="25">
        <f t="shared" si="5"/>
        <v>163.99041801072568</v>
      </c>
      <c r="AA39" s="25">
        <f t="shared" si="5"/>
        <v>166.45027424452772</v>
      </c>
      <c r="AB39" s="25">
        <f t="shared" si="5"/>
        <v>168.94702839962085</v>
      </c>
      <c r="AC39" s="25">
        <f t="shared" si="5"/>
        <v>171.48123383187362</v>
      </c>
      <c r="AD39" s="25">
        <f t="shared" si="5"/>
        <v>174.0534523405438</v>
      </c>
      <c r="AE39" s="25">
        <f t="shared" si="5"/>
        <v>176.66425411343297</v>
      </c>
      <c r="AF39" s="25">
        <f t="shared" si="5"/>
        <v>179.31421797192411</v>
      </c>
      <c r="AG39" s="25">
        <f t="shared" si="5"/>
        <v>182.00393120067378</v>
      </c>
      <c r="AH39" s="25">
        <f t="shared" si="5"/>
        <v>184.73399009447607</v>
      </c>
      <c r="AI39" s="25">
        <f t="shared" si="5"/>
        <v>187.50500003023376</v>
      </c>
      <c r="AJ39" s="25">
        <f t="shared" si="5"/>
        <v>190.31757500446119</v>
      </c>
      <c r="AK39" s="25">
        <f t="shared" si="5"/>
        <v>193.17233860330205</v>
      </c>
      <c r="AL39" s="25">
        <f t="shared" si="5"/>
        <v>196.06992372288272</v>
      </c>
      <c r="AM39" s="25">
        <f t="shared" si="5"/>
        <v>199.01097258975281</v>
      </c>
      <c r="AN39" s="25">
        <f t="shared" si="5"/>
        <v>201.99613714104817</v>
      </c>
      <c r="AO39" s="25">
        <f t="shared" si="5"/>
        <v>205.02607922796619</v>
      </c>
      <c r="AP39" s="25">
        <f t="shared" si="5"/>
        <v>208.10147040416672</v>
      </c>
      <c r="AQ39" s="25">
        <f t="shared" si="5"/>
        <v>211.22299243161896</v>
      </c>
      <c r="AR39" s="25">
        <f t="shared" si="5"/>
        <v>214.39133731183475</v>
      </c>
      <c r="AS39" s="25">
        <f t="shared" si="5"/>
        <v>216.62586226187071</v>
      </c>
      <c r="AT39" s="25">
        <f t="shared" si="5"/>
        <v>219.87525019579874</v>
      </c>
      <c r="AU39" s="25">
        <f t="shared" si="5"/>
        <v>223.17337894873569</v>
      </c>
      <c r="AV39" s="25">
        <f t="shared" si="5"/>
        <v>226.52097963296671</v>
      </c>
      <c r="AW39" s="25">
        <f t="shared" si="5"/>
        <v>229.9187943274612</v>
      </c>
      <c r="AX39" s="25">
        <f t="shared" si="5"/>
        <v>233.3675762423731</v>
      </c>
      <c r="AY39" s="25">
        <f t="shared" si="5"/>
        <v>236.86808988600868</v>
      </c>
      <c r="AZ39" s="25">
        <f t="shared" si="5"/>
        <v>240.42111123429879</v>
      </c>
      <c r="BA39" s="25">
        <f t="shared" si="5"/>
        <v>244.02742790281326</v>
      </c>
      <c r="BB39" s="25">
        <f t="shared" si="5"/>
        <v>247.68783932135543</v>
      </c>
      <c r="BC39" s="25">
        <f t="shared" si="5"/>
        <v>251.40315691117573</v>
      </c>
      <c r="BD39" s="25">
        <f t="shared" si="5"/>
        <v>255.17420426484333</v>
      </c>
      <c r="BE39" s="25">
        <f t="shared" si="5"/>
        <v>259.00181732881595</v>
      </c>
      <c r="BF39" s="25">
        <f t="shared" si="5"/>
        <v>262.88684458874815</v>
      </c>
      <c r="BG39" s="25">
        <f t="shared" si="5"/>
        <v>266.83014725757937</v>
      </c>
      <c r="BH39" s="25">
        <f t="shared" si="5"/>
        <v>270.83259946644301</v>
      </c>
      <c r="BI39" s="25">
        <f t="shared" si="5"/>
        <v>274.89508845843966</v>
      </c>
      <c r="BJ39" s="25">
        <f t="shared" si="5"/>
        <v>279.0185147853162</v>
      </c>
      <c r="BK39" s="25">
        <f t="shared" si="5"/>
        <v>283.2037925070959</v>
      </c>
      <c r="BL39" s="25">
        <f t="shared" si="5"/>
        <v>287.45184939470232</v>
      </c>
    </row>
    <row r="40" spans="1:64" x14ac:dyDescent="0.35">
      <c r="A40" s="1"/>
      <c r="C40" s="10" t="s">
        <v>122</v>
      </c>
      <c r="D40" s="46"/>
      <c r="E40" s="46">
        <f>E39*E33</f>
        <v>122.35177086591719</v>
      </c>
      <c r="F40" s="46">
        <f t="shared" ref="F40:BL40" si="6">F39*F33</f>
        <v>124.18704738807675</v>
      </c>
      <c r="G40" s="46">
        <f t="shared" si="6"/>
        <v>126.04985312631602</v>
      </c>
      <c r="H40" s="46">
        <f t="shared" si="6"/>
        <v>127.94060094377436</v>
      </c>
      <c r="I40" s="46">
        <f t="shared" si="6"/>
        <v>129.85970992932073</v>
      </c>
      <c r="J40" s="46">
        <f t="shared" si="6"/>
        <v>131.80760560925495</v>
      </c>
      <c r="K40" s="46">
        <f t="shared" si="6"/>
        <v>133.125681658791</v>
      </c>
      <c r="L40" s="46">
        <f t="shared" si="6"/>
        <v>134.45693845332519</v>
      </c>
      <c r="M40" s="46">
        <f t="shared" si="6"/>
        <v>135.80150786170032</v>
      </c>
      <c r="N40" s="46">
        <f t="shared" si="6"/>
        <v>137.15952294568174</v>
      </c>
      <c r="O40" s="46">
        <f t="shared" si="6"/>
        <v>139.21691578480056</v>
      </c>
      <c r="P40" s="46">
        <f t="shared" si="6"/>
        <v>141.30516951978441</v>
      </c>
      <c r="Q40" s="46">
        <f t="shared" si="6"/>
        <v>143.42474700297652</v>
      </c>
      <c r="R40" s="46">
        <f t="shared" si="6"/>
        <v>145.57611823752546</v>
      </c>
      <c r="S40" s="46">
        <f t="shared" si="6"/>
        <v>147.75976000423378</v>
      </c>
      <c r="T40" s="46">
        <f t="shared" si="6"/>
        <v>149.97615644363634</v>
      </c>
      <c r="U40" s="46">
        <f t="shared" si="6"/>
        <v>152.22579874558738</v>
      </c>
      <c r="V40" s="46">
        <f t="shared" si="6"/>
        <v>154.50918579412442</v>
      </c>
      <c r="W40" s="46">
        <f t="shared" si="6"/>
        <v>156.82682350265617</v>
      </c>
      <c r="X40" s="46">
        <f t="shared" si="6"/>
        <v>159.17922587933589</v>
      </c>
      <c r="Y40" s="46">
        <f t="shared" si="6"/>
        <v>161.5669143059709</v>
      </c>
      <c r="Z40" s="46">
        <f t="shared" si="6"/>
        <v>163.99041801072568</v>
      </c>
      <c r="AA40" s="46">
        <f t="shared" si="6"/>
        <v>166.45027424452772</v>
      </c>
      <c r="AB40" s="46">
        <f t="shared" si="6"/>
        <v>168.94702839962085</v>
      </c>
      <c r="AC40" s="46">
        <f t="shared" si="6"/>
        <v>171.48123383187362</v>
      </c>
      <c r="AD40" s="46">
        <f t="shared" si="6"/>
        <v>174.0534523405438</v>
      </c>
      <c r="AE40" s="46">
        <f t="shared" si="6"/>
        <v>176.66425411343297</v>
      </c>
      <c r="AF40" s="46">
        <f t="shared" si="6"/>
        <v>179.31421797192411</v>
      </c>
      <c r="AG40" s="46">
        <f t="shared" si="6"/>
        <v>182.00393120067378</v>
      </c>
      <c r="AH40" s="46">
        <f t="shared" si="6"/>
        <v>184.73399009447607</v>
      </c>
      <c r="AI40" s="46">
        <f t="shared" si="6"/>
        <v>187.50500003023376</v>
      </c>
      <c r="AJ40" s="46">
        <f t="shared" si="6"/>
        <v>190.31757500446119</v>
      </c>
      <c r="AK40" s="46">
        <f t="shared" si="6"/>
        <v>193.17233860330205</v>
      </c>
      <c r="AL40" s="46">
        <f t="shared" si="6"/>
        <v>196.06992372288272</v>
      </c>
      <c r="AM40" s="46">
        <f t="shared" si="6"/>
        <v>199.01097258975281</v>
      </c>
      <c r="AN40" s="46">
        <f t="shared" si="6"/>
        <v>201.99613714104817</v>
      </c>
      <c r="AO40" s="46">
        <f t="shared" si="6"/>
        <v>205.02607922796619</v>
      </c>
      <c r="AP40" s="46">
        <f t="shared" si="6"/>
        <v>208.10147040416672</v>
      </c>
      <c r="AQ40" s="46">
        <f t="shared" si="6"/>
        <v>211.22299243161896</v>
      </c>
      <c r="AR40" s="46">
        <f t="shared" si="6"/>
        <v>214.39133731183475</v>
      </c>
      <c r="AS40" s="46">
        <f t="shared" si="6"/>
        <v>0</v>
      </c>
      <c r="AT40" s="46">
        <f t="shared" si="6"/>
        <v>0</v>
      </c>
      <c r="AU40" s="46">
        <f t="shared" si="6"/>
        <v>0</v>
      </c>
      <c r="AV40" s="46">
        <f t="shared" si="6"/>
        <v>0</v>
      </c>
      <c r="AW40" s="46">
        <f t="shared" si="6"/>
        <v>0</v>
      </c>
      <c r="AX40" s="46">
        <f t="shared" si="6"/>
        <v>0</v>
      </c>
      <c r="AY40" s="46">
        <f t="shared" si="6"/>
        <v>0</v>
      </c>
      <c r="AZ40" s="46">
        <f t="shared" si="6"/>
        <v>0</v>
      </c>
      <c r="BA40" s="46">
        <f t="shared" si="6"/>
        <v>0</v>
      </c>
      <c r="BB40" s="46">
        <f t="shared" si="6"/>
        <v>0</v>
      </c>
      <c r="BC40" s="46">
        <f t="shared" si="6"/>
        <v>0</v>
      </c>
      <c r="BD40" s="46">
        <f t="shared" si="6"/>
        <v>0</v>
      </c>
      <c r="BE40" s="46">
        <f t="shared" si="6"/>
        <v>0</v>
      </c>
      <c r="BF40" s="46">
        <f t="shared" si="6"/>
        <v>0</v>
      </c>
      <c r="BG40" s="46">
        <f t="shared" si="6"/>
        <v>0</v>
      </c>
      <c r="BH40" s="46">
        <f t="shared" si="6"/>
        <v>0</v>
      </c>
      <c r="BI40" s="46">
        <f t="shared" si="6"/>
        <v>0</v>
      </c>
      <c r="BJ40" s="46">
        <f t="shared" si="6"/>
        <v>0</v>
      </c>
      <c r="BK40" s="46">
        <f t="shared" si="6"/>
        <v>0</v>
      </c>
      <c r="BL40" s="46">
        <f t="shared" si="6"/>
        <v>0</v>
      </c>
    </row>
    <row r="41" spans="1:64" x14ac:dyDescent="0.35">
      <c r="A41" s="1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</row>
    <row r="42" spans="1:64" x14ac:dyDescent="0.35">
      <c r="A42" s="1"/>
      <c r="C42" s="2" t="s">
        <v>72</v>
      </c>
      <c r="E42" s="12">
        <f t="shared" ref="E42:BL42" si="7">LOOKUP(E32,6:6,7:7)/2</f>
        <v>1.4999999999999999E-2</v>
      </c>
      <c r="F42" s="12">
        <f t="shared" si="7"/>
        <v>1.4999999999999999E-2</v>
      </c>
      <c r="G42" s="12">
        <f t="shared" si="7"/>
        <v>1.4999999999999999E-2</v>
      </c>
      <c r="H42" s="12">
        <f t="shared" si="7"/>
        <v>1.4999999999999999E-2</v>
      </c>
      <c r="I42" s="12">
        <f t="shared" si="7"/>
        <v>1.4999999999999999E-2</v>
      </c>
      <c r="J42" s="12">
        <f t="shared" si="7"/>
        <v>1.4999999999999999E-2</v>
      </c>
      <c r="K42" s="12">
        <f t="shared" si="7"/>
        <v>1.4999999999999999E-2</v>
      </c>
      <c r="L42" s="12">
        <f t="shared" si="7"/>
        <v>1.4999999999999999E-2</v>
      </c>
      <c r="M42" s="12">
        <f t="shared" si="7"/>
        <v>0.02</v>
      </c>
      <c r="N42" s="12">
        <f t="shared" si="7"/>
        <v>0.02</v>
      </c>
      <c r="O42" s="12">
        <f t="shared" si="7"/>
        <v>0.02</v>
      </c>
      <c r="P42" s="12">
        <f t="shared" si="7"/>
        <v>0.02</v>
      </c>
      <c r="Q42" s="12">
        <f t="shared" si="7"/>
        <v>0.02</v>
      </c>
      <c r="R42" s="12">
        <f t="shared" si="7"/>
        <v>0.02</v>
      </c>
      <c r="S42" s="12">
        <f t="shared" si="7"/>
        <v>0.02</v>
      </c>
      <c r="T42" s="12">
        <f t="shared" si="7"/>
        <v>0.02</v>
      </c>
      <c r="U42" s="12">
        <f t="shared" si="7"/>
        <v>0.02</v>
      </c>
      <c r="V42" s="12">
        <f t="shared" si="7"/>
        <v>0.02</v>
      </c>
      <c r="W42" s="12">
        <f t="shared" si="7"/>
        <v>2.5000000000000001E-2</v>
      </c>
      <c r="X42" s="12">
        <f t="shared" si="7"/>
        <v>2.5000000000000001E-2</v>
      </c>
      <c r="Y42" s="12">
        <f t="shared" si="7"/>
        <v>2.5000000000000001E-2</v>
      </c>
      <c r="Z42" s="12">
        <f t="shared" si="7"/>
        <v>2.5000000000000001E-2</v>
      </c>
      <c r="AA42" s="12">
        <f t="shared" si="7"/>
        <v>2.5000000000000001E-2</v>
      </c>
      <c r="AB42" s="12">
        <f t="shared" si="7"/>
        <v>2.5000000000000001E-2</v>
      </c>
      <c r="AC42" s="12">
        <f t="shared" si="7"/>
        <v>2.5000000000000001E-2</v>
      </c>
      <c r="AD42" s="12">
        <f t="shared" si="7"/>
        <v>2.5000000000000001E-2</v>
      </c>
      <c r="AE42" s="12">
        <f t="shared" si="7"/>
        <v>2.5000000000000001E-2</v>
      </c>
      <c r="AF42" s="12">
        <f t="shared" si="7"/>
        <v>2.5000000000000001E-2</v>
      </c>
      <c r="AG42" s="12">
        <f t="shared" si="7"/>
        <v>2.5000000000000001E-2</v>
      </c>
      <c r="AH42" s="12">
        <f t="shared" si="7"/>
        <v>2.5000000000000001E-2</v>
      </c>
      <c r="AI42" s="12">
        <f t="shared" si="7"/>
        <v>2.5000000000000001E-2</v>
      </c>
      <c r="AJ42" s="12">
        <f t="shared" si="7"/>
        <v>2.5000000000000001E-2</v>
      </c>
      <c r="AK42" s="12">
        <f t="shared" si="7"/>
        <v>2.5000000000000001E-2</v>
      </c>
      <c r="AL42" s="12">
        <f t="shared" si="7"/>
        <v>2.5000000000000001E-2</v>
      </c>
      <c r="AM42" s="12">
        <f t="shared" si="7"/>
        <v>2.5000000000000001E-2</v>
      </c>
      <c r="AN42" s="12">
        <f t="shared" si="7"/>
        <v>2.5000000000000001E-2</v>
      </c>
      <c r="AO42" s="12">
        <f t="shared" si="7"/>
        <v>2.5000000000000001E-2</v>
      </c>
      <c r="AP42" s="12">
        <f t="shared" si="7"/>
        <v>2.5000000000000001E-2</v>
      </c>
      <c r="AQ42" s="12">
        <f t="shared" si="7"/>
        <v>2.5000000000000001E-2</v>
      </c>
      <c r="AR42" s="12">
        <f t="shared" si="7"/>
        <v>2.5000000000000001E-2</v>
      </c>
      <c r="AS42" s="12">
        <f t="shared" si="7"/>
        <v>2.5000000000000001E-2</v>
      </c>
      <c r="AT42" s="12">
        <f t="shared" si="7"/>
        <v>2.5000000000000001E-2</v>
      </c>
      <c r="AU42" s="12">
        <f t="shared" si="7"/>
        <v>2.5000000000000001E-2</v>
      </c>
      <c r="AV42" s="12">
        <f t="shared" si="7"/>
        <v>2.5000000000000001E-2</v>
      </c>
      <c r="AW42" s="12">
        <f t="shared" si="7"/>
        <v>2.5000000000000001E-2</v>
      </c>
      <c r="AX42" s="12">
        <f t="shared" si="7"/>
        <v>2.5000000000000001E-2</v>
      </c>
      <c r="AY42" s="12">
        <f t="shared" si="7"/>
        <v>2.5000000000000001E-2</v>
      </c>
      <c r="AZ42" s="12">
        <f t="shared" si="7"/>
        <v>2.5000000000000001E-2</v>
      </c>
      <c r="BA42" s="12">
        <f t="shared" si="7"/>
        <v>2.5000000000000001E-2</v>
      </c>
      <c r="BB42" s="12">
        <f t="shared" si="7"/>
        <v>2.5000000000000001E-2</v>
      </c>
      <c r="BC42" s="12">
        <f t="shared" si="7"/>
        <v>2.5000000000000001E-2</v>
      </c>
      <c r="BD42" s="12">
        <f t="shared" si="7"/>
        <v>2.5000000000000001E-2</v>
      </c>
      <c r="BE42" s="12">
        <f t="shared" si="7"/>
        <v>2.5000000000000001E-2</v>
      </c>
      <c r="BF42" s="12">
        <f t="shared" si="7"/>
        <v>2.5000000000000001E-2</v>
      </c>
      <c r="BG42" s="12">
        <f t="shared" si="7"/>
        <v>2.5000000000000001E-2</v>
      </c>
      <c r="BH42" s="12">
        <f t="shared" si="7"/>
        <v>2.5000000000000001E-2</v>
      </c>
      <c r="BI42" s="12">
        <f t="shared" si="7"/>
        <v>2.5000000000000001E-2</v>
      </c>
      <c r="BJ42" s="12">
        <f t="shared" si="7"/>
        <v>2.5000000000000001E-2</v>
      </c>
      <c r="BK42" s="12">
        <f t="shared" si="7"/>
        <v>2.5000000000000001E-2</v>
      </c>
      <c r="BL42" s="12">
        <f t="shared" si="7"/>
        <v>2.5000000000000001E-2</v>
      </c>
    </row>
    <row r="43" spans="1:64" x14ac:dyDescent="0.35">
      <c r="A43" s="1"/>
      <c r="C43" s="2" t="s">
        <v>89</v>
      </c>
      <c r="D43" s="51">
        <v>1</v>
      </c>
      <c r="E43" s="4">
        <f t="shared" ref="E43:BL43" si="8">D43*(1+E42)</f>
        <v>1.0149999999999999</v>
      </c>
      <c r="F43" s="4">
        <f t="shared" si="8"/>
        <v>1.0302249999999997</v>
      </c>
      <c r="G43" s="4">
        <f t="shared" si="8"/>
        <v>1.0456783749999996</v>
      </c>
      <c r="H43" s="4">
        <f t="shared" si="8"/>
        <v>1.0613635506249994</v>
      </c>
      <c r="I43" s="4">
        <f t="shared" si="8"/>
        <v>1.0772840038843743</v>
      </c>
      <c r="J43" s="4">
        <f t="shared" si="8"/>
        <v>1.0934432639426397</v>
      </c>
      <c r="K43" s="4">
        <f t="shared" si="8"/>
        <v>1.1098449129017791</v>
      </c>
      <c r="L43" s="4">
        <f t="shared" si="8"/>
        <v>1.1264925865953057</v>
      </c>
      <c r="M43" s="4">
        <f t="shared" si="8"/>
        <v>1.1490224383272118</v>
      </c>
      <c r="N43" s="4">
        <f t="shared" si="8"/>
        <v>1.172002887093756</v>
      </c>
      <c r="O43" s="4">
        <f t="shared" si="8"/>
        <v>1.1954429448356312</v>
      </c>
      <c r="P43" s="4">
        <f t="shared" si="8"/>
        <v>1.2193518037323439</v>
      </c>
      <c r="Q43" s="4">
        <f t="shared" si="8"/>
        <v>1.2437388398069908</v>
      </c>
      <c r="R43" s="4">
        <f t="shared" si="8"/>
        <v>1.2686136166031308</v>
      </c>
      <c r="S43" s="4">
        <f t="shared" si="8"/>
        <v>1.2939858889351934</v>
      </c>
      <c r="T43" s="4">
        <f t="shared" si="8"/>
        <v>1.3198656067138972</v>
      </c>
      <c r="U43" s="4">
        <f t="shared" si="8"/>
        <v>1.3462629188481752</v>
      </c>
      <c r="V43" s="4">
        <f t="shared" si="8"/>
        <v>1.3731881772251386</v>
      </c>
      <c r="W43" s="4">
        <f t="shared" si="8"/>
        <v>1.407517881655767</v>
      </c>
      <c r="X43" s="4">
        <f t="shared" si="8"/>
        <v>1.442705828697161</v>
      </c>
      <c r="Y43" s="4">
        <f t="shared" si="8"/>
        <v>1.47877347441459</v>
      </c>
      <c r="Z43" s="4">
        <f t="shared" si="8"/>
        <v>1.5157428112749545</v>
      </c>
      <c r="AA43" s="4">
        <f t="shared" si="8"/>
        <v>1.5536363815568281</v>
      </c>
      <c r="AB43" s="4">
        <f t="shared" si="8"/>
        <v>1.5924772910957488</v>
      </c>
      <c r="AC43" s="4">
        <f t="shared" si="8"/>
        <v>1.6322892233731423</v>
      </c>
      <c r="AD43" s="4">
        <f t="shared" si="8"/>
        <v>1.6730964539574706</v>
      </c>
      <c r="AE43" s="4">
        <f t="shared" si="8"/>
        <v>1.7149238653064072</v>
      </c>
      <c r="AF43" s="4">
        <f t="shared" si="8"/>
        <v>1.7577969619390672</v>
      </c>
      <c r="AG43" s="4">
        <f t="shared" si="8"/>
        <v>1.8017418859875438</v>
      </c>
      <c r="AH43" s="4">
        <f t="shared" si="8"/>
        <v>1.8467854331372322</v>
      </c>
      <c r="AI43" s="4">
        <f t="shared" si="8"/>
        <v>1.8929550689656629</v>
      </c>
      <c r="AJ43" s="4">
        <f t="shared" si="8"/>
        <v>1.9402789456898044</v>
      </c>
      <c r="AK43" s="4">
        <f t="shared" si="8"/>
        <v>1.9887859193320494</v>
      </c>
      <c r="AL43" s="4">
        <f t="shared" si="8"/>
        <v>2.0385055673153505</v>
      </c>
      <c r="AM43" s="4">
        <f t="shared" si="8"/>
        <v>2.0894682064982342</v>
      </c>
      <c r="AN43" s="4">
        <f t="shared" si="8"/>
        <v>2.1417049116606899</v>
      </c>
      <c r="AO43" s="4">
        <f t="shared" si="8"/>
        <v>2.1952475344522071</v>
      </c>
      <c r="AP43" s="4">
        <f t="shared" si="8"/>
        <v>2.2501287228135123</v>
      </c>
      <c r="AQ43" s="4">
        <f t="shared" si="8"/>
        <v>2.30638194088385</v>
      </c>
      <c r="AR43" s="4">
        <f t="shared" si="8"/>
        <v>2.3640414894059458</v>
      </c>
      <c r="AS43" s="4">
        <f t="shared" si="8"/>
        <v>2.4231425266410942</v>
      </c>
      <c r="AT43" s="4">
        <f t="shared" si="8"/>
        <v>2.4837210898071214</v>
      </c>
      <c r="AU43" s="4">
        <f t="shared" si="8"/>
        <v>2.545814117052299</v>
      </c>
      <c r="AV43" s="4">
        <f t="shared" si="8"/>
        <v>2.6094594699786064</v>
      </c>
      <c r="AW43" s="4">
        <f t="shared" si="8"/>
        <v>2.6746959567280713</v>
      </c>
      <c r="AX43" s="4">
        <f t="shared" si="8"/>
        <v>2.7415633556462726</v>
      </c>
      <c r="AY43" s="4">
        <f t="shared" si="8"/>
        <v>2.8101024395374292</v>
      </c>
      <c r="AZ43" s="4">
        <f t="shared" si="8"/>
        <v>2.8803550005258649</v>
      </c>
      <c r="BA43" s="4">
        <f t="shared" si="8"/>
        <v>2.9523638755390111</v>
      </c>
      <c r="BB43" s="4">
        <f t="shared" si="8"/>
        <v>3.026172972427486</v>
      </c>
      <c r="BC43" s="4">
        <f t="shared" si="8"/>
        <v>3.1018272967381728</v>
      </c>
      <c r="BD43" s="4">
        <f t="shared" si="8"/>
        <v>3.1793729791566268</v>
      </c>
      <c r="BE43" s="4">
        <f t="shared" si="8"/>
        <v>3.2588573036355419</v>
      </c>
      <c r="BF43" s="4">
        <f t="shared" si="8"/>
        <v>3.34032873622643</v>
      </c>
      <c r="BG43" s="4">
        <f t="shared" si="8"/>
        <v>3.4238369546320904</v>
      </c>
      <c r="BH43" s="4">
        <f t="shared" si="8"/>
        <v>3.5094328784978925</v>
      </c>
      <c r="BI43" s="4">
        <f t="shared" si="8"/>
        <v>3.5971687004603394</v>
      </c>
      <c r="BJ43" s="4">
        <f t="shared" si="8"/>
        <v>3.6870979179718475</v>
      </c>
      <c r="BK43" s="4">
        <f t="shared" si="8"/>
        <v>3.7792753659211433</v>
      </c>
      <c r="BL43" s="4">
        <f t="shared" si="8"/>
        <v>3.8737572500691715</v>
      </c>
    </row>
    <row r="44" spans="1:64" x14ac:dyDescent="0.35">
      <c r="A44" s="1"/>
      <c r="C44" s="2" t="s">
        <v>15</v>
      </c>
      <c r="D44" s="4">
        <f>SUMPRODUCT(E40:BL40/E43:BL43)</f>
        <v>4329.3664395776605</v>
      </c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</row>
    <row r="45" spans="1:64" x14ac:dyDescent="0.35">
      <c r="A45" s="1"/>
      <c r="C45" s="2" t="s">
        <v>330</v>
      </c>
      <c r="D45" s="4">
        <f>D28</f>
        <v>3904.836463165283</v>
      </c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</row>
    <row r="46" spans="1:64" x14ac:dyDescent="0.35">
      <c r="A46" s="1"/>
      <c r="C46" s="2" t="s">
        <v>328</v>
      </c>
      <c r="D46" s="4">
        <f>D59</f>
        <v>0</v>
      </c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</row>
    <row r="47" spans="1:64" x14ac:dyDescent="0.35">
      <c r="A47" s="1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</row>
    <row r="48" spans="1:64" x14ac:dyDescent="0.35">
      <c r="A48" s="1"/>
      <c r="C48" s="2" t="s">
        <v>348</v>
      </c>
      <c r="D48" s="4">
        <f>D44/D45</f>
        <v>1.1087190156148694</v>
      </c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</row>
    <row r="49" spans="1:64" x14ac:dyDescent="0.35">
      <c r="A49" s="1"/>
      <c r="C49" s="2" t="s">
        <v>123</v>
      </c>
      <c r="D49" s="4">
        <f>D44/(D45+D46)</f>
        <v>1.1087190156148694</v>
      </c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</row>
    <row r="50" spans="1:64" x14ac:dyDescent="0.35">
      <c r="A50" s="1"/>
      <c r="C50" s="2" t="s">
        <v>316</v>
      </c>
      <c r="D50" s="4" t="b">
        <f>D49&gt;D8</f>
        <v>1</v>
      </c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</row>
    <row r="51" spans="1:64" x14ac:dyDescent="0.35">
      <c r="A51" s="1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</row>
    <row r="52" spans="1:64" x14ac:dyDescent="0.35">
      <c r="A52" s="1"/>
      <c r="C52" s="2" t="s">
        <v>351</v>
      </c>
      <c r="D52" s="4">
        <f>D8</f>
        <v>1.05</v>
      </c>
      <c r="E52" s="4">
        <f>E39/$D$52*E33</f>
        <v>116.52549606277827</v>
      </c>
      <c r="F52" s="4">
        <f t="shared" ref="F52:BL52" si="9">F39/$D$52*F33</f>
        <v>118.27337846483499</v>
      </c>
      <c r="G52" s="4">
        <f t="shared" si="9"/>
        <v>120.04747916792002</v>
      </c>
      <c r="H52" s="4">
        <f t="shared" si="9"/>
        <v>121.84819137502319</v>
      </c>
      <c r="I52" s="4">
        <f t="shared" si="9"/>
        <v>123.67591421840069</v>
      </c>
      <c r="J52" s="4">
        <f t="shared" si="9"/>
        <v>125.53105296119519</v>
      </c>
      <c r="K52" s="4">
        <f t="shared" si="9"/>
        <v>126.78636348456284</v>
      </c>
      <c r="L52" s="4">
        <f t="shared" si="9"/>
        <v>128.05422709840494</v>
      </c>
      <c r="M52" s="4">
        <f t="shared" si="9"/>
        <v>129.33476939209552</v>
      </c>
      <c r="N52" s="4">
        <f t="shared" si="9"/>
        <v>130.62811709112546</v>
      </c>
      <c r="O52" s="4">
        <f t="shared" si="9"/>
        <v>132.58753884266719</v>
      </c>
      <c r="P52" s="4">
        <f t="shared" si="9"/>
        <v>134.57635192360419</v>
      </c>
      <c r="Q52" s="4">
        <f t="shared" si="9"/>
        <v>136.59499714569191</v>
      </c>
      <c r="R52" s="4">
        <f t="shared" si="9"/>
        <v>138.64392213097662</v>
      </c>
      <c r="S52" s="4">
        <f t="shared" si="9"/>
        <v>140.72358095641312</v>
      </c>
      <c r="T52" s="4">
        <f t="shared" si="9"/>
        <v>142.83443470822507</v>
      </c>
      <c r="U52" s="4">
        <f t="shared" si="9"/>
        <v>144.97695118627368</v>
      </c>
      <c r="V52" s="4">
        <f t="shared" si="9"/>
        <v>147.15160551821373</v>
      </c>
      <c r="W52" s="4">
        <f t="shared" si="9"/>
        <v>149.35887952633919</v>
      </c>
      <c r="X52" s="4">
        <f t="shared" si="9"/>
        <v>151.59926274222465</v>
      </c>
      <c r="Y52" s="4">
        <f t="shared" si="9"/>
        <v>153.87325171997227</v>
      </c>
      <c r="Z52" s="4">
        <f t="shared" si="9"/>
        <v>156.18135048640539</v>
      </c>
      <c r="AA52" s="4">
        <f t="shared" si="9"/>
        <v>158.52407070907401</v>
      </c>
      <c r="AB52" s="4">
        <f t="shared" si="9"/>
        <v>160.9019318091627</v>
      </c>
      <c r="AC52" s="4">
        <f t="shared" si="9"/>
        <v>163.31546079226058</v>
      </c>
      <c r="AD52" s="4">
        <f t="shared" si="9"/>
        <v>165.76519270527982</v>
      </c>
      <c r="AE52" s="4">
        <f t="shared" si="9"/>
        <v>168.25167058422187</v>
      </c>
      <c r="AF52" s="4">
        <f t="shared" si="9"/>
        <v>170.77544568754675</v>
      </c>
      <c r="AG52" s="4">
        <f t="shared" si="9"/>
        <v>173.33707733397503</v>
      </c>
      <c r="AH52" s="4">
        <f t="shared" si="9"/>
        <v>175.93713342331054</v>
      </c>
      <c r="AI52" s="4">
        <f t="shared" si="9"/>
        <v>178.57619050498454</v>
      </c>
      <c r="AJ52" s="4">
        <f t="shared" si="9"/>
        <v>181.25483333758208</v>
      </c>
      <c r="AK52" s="4">
        <f t="shared" si="9"/>
        <v>183.97365581266862</v>
      </c>
      <c r="AL52" s="4">
        <f t="shared" si="9"/>
        <v>186.73326068845972</v>
      </c>
      <c r="AM52" s="4">
        <f t="shared" si="9"/>
        <v>189.53425960928837</v>
      </c>
      <c r="AN52" s="4">
        <f t="shared" si="9"/>
        <v>192.37727346766491</v>
      </c>
      <c r="AO52" s="4">
        <f t="shared" si="9"/>
        <v>195.26293259806303</v>
      </c>
      <c r="AP52" s="4">
        <f t="shared" si="9"/>
        <v>198.19187657539686</v>
      </c>
      <c r="AQ52" s="4">
        <f t="shared" si="9"/>
        <v>201.16475469677997</v>
      </c>
      <c r="AR52" s="4">
        <f t="shared" si="9"/>
        <v>204.18222601127118</v>
      </c>
      <c r="AS52" s="4">
        <f t="shared" si="9"/>
        <v>0</v>
      </c>
      <c r="AT52" s="4">
        <f t="shared" si="9"/>
        <v>0</v>
      </c>
      <c r="AU52" s="4">
        <f t="shared" si="9"/>
        <v>0</v>
      </c>
      <c r="AV52" s="4">
        <f t="shared" si="9"/>
        <v>0</v>
      </c>
      <c r="AW52" s="4">
        <f t="shared" si="9"/>
        <v>0</v>
      </c>
      <c r="AX52" s="4">
        <f t="shared" si="9"/>
        <v>0</v>
      </c>
      <c r="AY52" s="4">
        <f t="shared" si="9"/>
        <v>0</v>
      </c>
      <c r="AZ52" s="4">
        <f t="shared" si="9"/>
        <v>0</v>
      </c>
      <c r="BA52" s="4">
        <f t="shared" si="9"/>
        <v>0</v>
      </c>
      <c r="BB52" s="4">
        <f t="shared" si="9"/>
        <v>0</v>
      </c>
      <c r="BC52" s="4">
        <f t="shared" si="9"/>
        <v>0</v>
      </c>
      <c r="BD52" s="4">
        <f t="shared" si="9"/>
        <v>0</v>
      </c>
      <c r="BE52" s="4">
        <f t="shared" si="9"/>
        <v>0</v>
      </c>
      <c r="BF52" s="4">
        <f t="shared" si="9"/>
        <v>0</v>
      </c>
      <c r="BG52" s="4">
        <f t="shared" si="9"/>
        <v>0</v>
      </c>
      <c r="BH52" s="4">
        <f t="shared" si="9"/>
        <v>0</v>
      </c>
      <c r="BI52" s="4">
        <f t="shared" si="9"/>
        <v>0</v>
      </c>
      <c r="BJ52" s="4">
        <f t="shared" si="9"/>
        <v>0</v>
      </c>
      <c r="BK52" s="4">
        <f t="shared" si="9"/>
        <v>0</v>
      </c>
      <c r="BL52" s="4">
        <f t="shared" si="9"/>
        <v>0</v>
      </c>
    </row>
    <row r="53" spans="1:64" x14ac:dyDescent="0.35">
      <c r="A53" s="1"/>
      <c r="C53" s="2" t="s">
        <v>352</v>
      </c>
      <c r="D53" s="4">
        <f>SUMPRODUCT(E52:BL52/E43:BL43)-D46</f>
        <v>4123.2061329311045</v>
      </c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</row>
    <row r="54" spans="1:64" x14ac:dyDescent="0.35">
      <c r="A54" s="1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</row>
    <row r="55" spans="1:64" x14ac:dyDescent="0.35">
      <c r="A55" s="1"/>
      <c r="C55" s="27" t="s">
        <v>317</v>
      </c>
      <c r="D55" s="30">
        <f>IF(D53&lt;D45,D8,D49)</f>
        <v>1.1087190156148694</v>
      </c>
      <c r="E55" s="30">
        <f t="shared" ref="E55:BL55" si="10">D55</f>
        <v>1.1087190156148694</v>
      </c>
      <c r="F55" s="30">
        <f t="shared" si="10"/>
        <v>1.1087190156148694</v>
      </c>
      <c r="G55" s="30">
        <f t="shared" si="10"/>
        <v>1.1087190156148694</v>
      </c>
      <c r="H55" s="30">
        <f t="shared" si="10"/>
        <v>1.1087190156148694</v>
      </c>
      <c r="I55" s="30">
        <f t="shared" si="10"/>
        <v>1.1087190156148694</v>
      </c>
      <c r="J55" s="30">
        <f t="shared" si="10"/>
        <v>1.1087190156148694</v>
      </c>
      <c r="K55" s="30">
        <f t="shared" si="10"/>
        <v>1.1087190156148694</v>
      </c>
      <c r="L55" s="30">
        <f t="shared" si="10"/>
        <v>1.1087190156148694</v>
      </c>
      <c r="M55" s="30">
        <f t="shared" si="10"/>
        <v>1.1087190156148694</v>
      </c>
      <c r="N55" s="30">
        <f t="shared" si="10"/>
        <v>1.1087190156148694</v>
      </c>
      <c r="O55" s="30">
        <f t="shared" si="10"/>
        <v>1.1087190156148694</v>
      </c>
      <c r="P55" s="30">
        <f t="shared" si="10"/>
        <v>1.1087190156148694</v>
      </c>
      <c r="Q55" s="30">
        <f t="shared" si="10"/>
        <v>1.1087190156148694</v>
      </c>
      <c r="R55" s="30">
        <f t="shared" si="10"/>
        <v>1.1087190156148694</v>
      </c>
      <c r="S55" s="30">
        <f t="shared" si="10"/>
        <v>1.1087190156148694</v>
      </c>
      <c r="T55" s="30">
        <f t="shared" si="10"/>
        <v>1.1087190156148694</v>
      </c>
      <c r="U55" s="30">
        <f t="shared" si="10"/>
        <v>1.1087190156148694</v>
      </c>
      <c r="V55" s="30">
        <f t="shared" si="10"/>
        <v>1.1087190156148694</v>
      </c>
      <c r="W55" s="30">
        <f t="shared" si="10"/>
        <v>1.1087190156148694</v>
      </c>
      <c r="X55" s="30">
        <f t="shared" si="10"/>
        <v>1.1087190156148694</v>
      </c>
      <c r="Y55" s="30">
        <f t="shared" si="10"/>
        <v>1.1087190156148694</v>
      </c>
      <c r="Z55" s="30">
        <f t="shared" si="10"/>
        <v>1.1087190156148694</v>
      </c>
      <c r="AA55" s="30">
        <f t="shared" si="10"/>
        <v>1.1087190156148694</v>
      </c>
      <c r="AB55" s="30">
        <f t="shared" si="10"/>
        <v>1.1087190156148694</v>
      </c>
      <c r="AC55" s="30">
        <f t="shared" si="10"/>
        <v>1.1087190156148694</v>
      </c>
      <c r="AD55" s="30">
        <f t="shared" si="10"/>
        <v>1.1087190156148694</v>
      </c>
      <c r="AE55" s="30">
        <f t="shared" si="10"/>
        <v>1.1087190156148694</v>
      </c>
      <c r="AF55" s="30">
        <f t="shared" si="10"/>
        <v>1.1087190156148694</v>
      </c>
      <c r="AG55" s="30">
        <f t="shared" si="10"/>
        <v>1.1087190156148694</v>
      </c>
      <c r="AH55" s="30">
        <f t="shared" si="10"/>
        <v>1.1087190156148694</v>
      </c>
      <c r="AI55" s="30">
        <f t="shared" si="10"/>
        <v>1.1087190156148694</v>
      </c>
      <c r="AJ55" s="30">
        <f t="shared" si="10"/>
        <v>1.1087190156148694</v>
      </c>
      <c r="AK55" s="30">
        <f t="shared" si="10"/>
        <v>1.1087190156148694</v>
      </c>
      <c r="AL55" s="30">
        <f t="shared" si="10"/>
        <v>1.1087190156148694</v>
      </c>
      <c r="AM55" s="30">
        <f t="shared" si="10"/>
        <v>1.1087190156148694</v>
      </c>
      <c r="AN55" s="30">
        <f t="shared" si="10"/>
        <v>1.1087190156148694</v>
      </c>
      <c r="AO55" s="30">
        <f t="shared" si="10"/>
        <v>1.1087190156148694</v>
      </c>
      <c r="AP55" s="30">
        <f t="shared" si="10"/>
        <v>1.1087190156148694</v>
      </c>
      <c r="AQ55" s="30">
        <f t="shared" si="10"/>
        <v>1.1087190156148694</v>
      </c>
      <c r="AR55" s="30">
        <f t="shared" si="10"/>
        <v>1.1087190156148694</v>
      </c>
      <c r="AS55" s="30">
        <f t="shared" si="10"/>
        <v>1.1087190156148694</v>
      </c>
      <c r="AT55" s="30">
        <f t="shared" si="10"/>
        <v>1.1087190156148694</v>
      </c>
      <c r="AU55" s="30">
        <f t="shared" si="10"/>
        <v>1.1087190156148694</v>
      </c>
      <c r="AV55" s="30">
        <f t="shared" si="10"/>
        <v>1.1087190156148694</v>
      </c>
      <c r="AW55" s="30">
        <f t="shared" si="10"/>
        <v>1.1087190156148694</v>
      </c>
      <c r="AX55" s="30">
        <f t="shared" si="10"/>
        <v>1.1087190156148694</v>
      </c>
      <c r="AY55" s="30">
        <f t="shared" si="10"/>
        <v>1.1087190156148694</v>
      </c>
      <c r="AZ55" s="30">
        <f t="shared" si="10"/>
        <v>1.1087190156148694</v>
      </c>
      <c r="BA55" s="30">
        <f t="shared" si="10"/>
        <v>1.1087190156148694</v>
      </c>
      <c r="BB55" s="30">
        <f t="shared" si="10"/>
        <v>1.1087190156148694</v>
      </c>
      <c r="BC55" s="30">
        <f t="shared" si="10"/>
        <v>1.1087190156148694</v>
      </c>
      <c r="BD55" s="30">
        <f t="shared" si="10"/>
        <v>1.1087190156148694</v>
      </c>
      <c r="BE55" s="30">
        <f t="shared" si="10"/>
        <v>1.1087190156148694</v>
      </c>
      <c r="BF55" s="30">
        <f t="shared" si="10"/>
        <v>1.1087190156148694</v>
      </c>
      <c r="BG55" s="30">
        <f t="shared" si="10"/>
        <v>1.1087190156148694</v>
      </c>
      <c r="BH55" s="30">
        <f t="shared" si="10"/>
        <v>1.1087190156148694</v>
      </c>
      <c r="BI55" s="30">
        <f t="shared" si="10"/>
        <v>1.1087190156148694</v>
      </c>
      <c r="BJ55" s="30">
        <f t="shared" si="10"/>
        <v>1.1087190156148694</v>
      </c>
      <c r="BK55" s="30">
        <f t="shared" si="10"/>
        <v>1.1087190156148694</v>
      </c>
      <c r="BL55" s="28">
        <f t="shared" si="10"/>
        <v>1.1087190156148694</v>
      </c>
    </row>
    <row r="56" spans="1:64" x14ac:dyDescent="0.35">
      <c r="A56" s="1"/>
      <c r="C56" s="10" t="s">
        <v>318</v>
      </c>
      <c r="D56" s="105"/>
      <c r="E56" s="46">
        <f t="shared" ref="E56:AJ56" si="11">E40/E55*E33</f>
        <v>110.35417372909744</v>
      </c>
      <c r="F56" s="46">
        <f t="shared" si="11"/>
        <v>112.00948629820833</v>
      </c>
      <c r="G56" s="46">
        <f t="shared" si="11"/>
        <v>113.68962861741102</v>
      </c>
      <c r="H56" s="46">
        <f t="shared" si="11"/>
        <v>115.39497306521935</v>
      </c>
      <c r="I56" s="46">
        <f t="shared" si="11"/>
        <v>117.12589763539286</v>
      </c>
      <c r="J56" s="46">
        <f t="shared" si="11"/>
        <v>118.8827861278789</v>
      </c>
      <c r="K56" s="46">
        <f t="shared" si="11"/>
        <v>120.07161398324411</v>
      </c>
      <c r="L56" s="46">
        <f t="shared" si="11"/>
        <v>121.27233010318538</v>
      </c>
      <c r="M56" s="46">
        <f t="shared" si="11"/>
        <v>122.48505342572122</v>
      </c>
      <c r="N56" s="46">
        <f t="shared" si="11"/>
        <v>123.70990396481683</v>
      </c>
      <c r="O56" s="46">
        <f t="shared" si="11"/>
        <v>125.56555251971947</v>
      </c>
      <c r="P56" s="46">
        <f t="shared" si="11"/>
        <v>127.44903580590245</v>
      </c>
      <c r="Q56" s="46">
        <f t="shared" si="11"/>
        <v>129.36077128923105</v>
      </c>
      <c r="R56" s="46">
        <f t="shared" si="11"/>
        <v>131.30118288518068</v>
      </c>
      <c r="S56" s="46">
        <f t="shared" si="11"/>
        <v>133.27070062227597</v>
      </c>
      <c r="T56" s="46">
        <f t="shared" si="11"/>
        <v>135.26976116709164</v>
      </c>
      <c r="U56" s="46">
        <f t="shared" si="11"/>
        <v>137.29880754427808</v>
      </c>
      <c r="V56" s="46">
        <f t="shared" si="11"/>
        <v>139.35828971819092</v>
      </c>
      <c r="W56" s="46">
        <f t="shared" si="11"/>
        <v>141.44866399326949</v>
      </c>
      <c r="X56" s="46">
        <f t="shared" si="11"/>
        <v>143.57039397494128</v>
      </c>
      <c r="Y56" s="46">
        <f t="shared" si="11"/>
        <v>145.72394991924054</v>
      </c>
      <c r="Z56" s="46">
        <f t="shared" si="11"/>
        <v>147.90980915915875</v>
      </c>
      <c r="AA56" s="46">
        <f t="shared" si="11"/>
        <v>150.12845626375255</v>
      </c>
      <c r="AB56" s="46">
        <f t="shared" si="11"/>
        <v>152.38038314507199</v>
      </c>
      <c r="AC56" s="46">
        <f t="shared" si="11"/>
        <v>154.66608889789282</v>
      </c>
      <c r="AD56" s="46">
        <f t="shared" si="11"/>
        <v>156.98608023243639</v>
      </c>
      <c r="AE56" s="46">
        <f t="shared" si="11"/>
        <v>159.34087142490213</v>
      </c>
      <c r="AF56" s="46">
        <f t="shared" si="11"/>
        <v>161.7309845384772</v>
      </c>
      <c r="AG56" s="46">
        <f t="shared" si="11"/>
        <v>164.15694926972881</v>
      </c>
      <c r="AH56" s="46">
        <f t="shared" si="11"/>
        <v>166.61930344184361</v>
      </c>
      <c r="AI56" s="46">
        <f t="shared" si="11"/>
        <v>169.11859306954153</v>
      </c>
      <c r="AJ56" s="46">
        <f t="shared" si="11"/>
        <v>171.65537194193027</v>
      </c>
      <c r="AK56" s="46">
        <f t="shared" ref="AK56:BL56" si="12">AK40/AK55*AK33</f>
        <v>174.23020249740483</v>
      </c>
      <c r="AL56" s="46">
        <f t="shared" si="12"/>
        <v>176.84365557142263</v>
      </c>
      <c r="AM56" s="46">
        <f t="shared" si="12"/>
        <v>179.49631041493956</v>
      </c>
      <c r="AN56" s="46">
        <f t="shared" si="12"/>
        <v>182.1887550372949</v>
      </c>
      <c r="AO56" s="46">
        <f t="shared" si="12"/>
        <v>184.92158638973424</v>
      </c>
      <c r="AP56" s="46">
        <f t="shared" si="12"/>
        <v>187.69541017455947</v>
      </c>
      <c r="AQ56" s="46">
        <f t="shared" si="12"/>
        <v>190.51084130137306</v>
      </c>
      <c r="AR56" s="46">
        <f t="shared" si="12"/>
        <v>193.36850391524888</v>
      </c>
      <c r="AS56" s="46">
        <f t="shared" si="12"/>
        <v>0</v>
      </c>
      <c r="AT56" s="46">
        <f t="shared" si="12"/>
        <v>0</v>
      </c>
      <c r="AU56" s="46">
        <f t="shared" si="12"/>
        <v>0</v>
      </c>
      <c r="AV56" s="46">
        <f t="shared" si="12"/>
        <v>0</v>
      </c>
      <c r="AW56" s="46">
        <f t="shared" si="12"/>
        <v>0</v>
      </c>
      <c r="AX56" s="46">
        <f t="shared" si="12"/>
        <v>0</v>
      </c>
      <c r="AY56" s="46">
        <f t="shared" si="12"/>
        <v>0</v>
      </c>
      <c r="AZ56" s="46">
        <f t="shared" si="12"/>
        <v>0</v>
      </c>
      <c r="BA56" s="46">
        <f t="shared" si="12"/>
        <v>0</v>
      </c>
      <c r="BB56" s="46">
        <f t="shared" si="12"/>
        <v>0</v>
      </c>
      <c r="BC56" s="46">
        <f t="shared" si="12"/>
        <v>0</v>
      </c>
      <c r="BD56" s="46">
        <f t="shared" si="12"/>
        <v>0</v>
      </c>
      <c r="BE56" s="46">
        <f t="shared" si="12"/>
        <v>0</v>
      </c>
      <c r="BF56" s="46">
        <f t="shared" si="12"/>
        <v>0</v>
      </c>
      <c r="BG56" s="46">
        <f t="shared" si="12"/>
        <v>0</v>
      </c>
      <c r="BH56" s="46">
        <f t="shared" si="12"/>
        <v>0</v>
      </c>
      <c r="BI56" s="46">
        <f t="shared" si="12"/>
        <v>0</v>
      </c>
      <c r="BJ56" s="46">
        <f t="shared" si="12"/>
        <v>0</v>
      </c>
      <c r="BK56" s="46">
        <f t="shared" si="12"/>
        <v>0</v>
      </c>
      <c r="BL56" s="46">
        <f t="shared" si="12"/>
        <v>0</v>
      </c>
    </row>
    <row r="57" spans="1:64" x14ac:dyDescent="0.35">
      <c r="A57" s="1"/>
      <c r="C57" s="10" t="s">
        <v>319</v>
      </c>
      <c r="D57" s="105"/>
      <c r="E57" s="46">
        <f ca="1">E74*$D$12</f>
        <v>0</v>
      </c>
      <c r="F57" s="46">
        <f t="shared" ref="F57:BL57" ca="1" si="13">F74*$D$12</f>
        <v>0</v>
      </c>
      <c r="G57" s="46">
        <f t="shared" ca="1" si="13"/>
        <v>0</v>
      </c>
      <c r="H57" s="46">
        <f t="shared" ca="1" si="13"/>
        <v>0</v>
      </c>
      <c r="I57" s="46">
        <f t="shared" ca="1" si="13"/>
        <v>0</v>
      </c>
      <c r="J57" s="46">
        <f t="shared" ca="1" si="13"/>
        <v>0</v>
      </c>
      <c r="K57" s="46">
        <f t="shared" ca="1" si="13"/>
        <v>0</v>
      </c>
      <c r="L57" s="46">
        <f t="shared" ca="1" si="13"/>
        <v>0</v>
      </c>
      <c r="M57" s="46">
        <f t="shared" ca="1" si="13"/>
        <v>0</v>
      </c>
      <c r="N57" s="46">
        <f t="shared" ca="1" si="13"/>
        <v>0</v>
      </c>
      <c r="O57" s="46">
        <f t="shared" ca="1" si="13"/>
        <v>0</v>
      </c>
      <c r="P57" s="46">
        <f t="shared" ca="1" si="13"/>
        <v>0</v>
      </c>
      <c r="Q57" s="46">
        <f t="shared" ca="1" si="13"/>
        <v>0</v>
      </c>
      <c r="R57" s="46">
        <f t="shared" ca="1" si="13"/>
        <v>0</v>
      </c>
      <c r="S57" s="46">
        <f t="shared" ca="1" si="13"/>
        <v>0</v>
      </c>
      <c r="T57" s="46">
        <f t="shared" ca="1" si="13"/>
        <v>0</v>
      </c>
      <c r="U57" s="46">
        <f t="shared" ca="1" si="13"/>
        <v>0</v>
      </c>
      <c r="V57" s="46">
        <f t="shared" ca="1" si="13"/>
        <v>0</v>
      </c>
      <c r="W57" s="46">
        <f t="shared" ca="1" si="13"/>
        <v>0</v>
      </c>
      <c r="X57" s="46">
        <f t="shared" ca="1" si="13"/>
        <v>0</v>
      </c>
      <c r="Y57" s="46">
        <f t="shared" ca="1" si="13"/>
        <v>0</v>
      </c>
      <c r="Z57" s="46">
        <f t="shared" ca="1" si="13"/>
        <v>0</v>
      </c>
      <c r="AA57" s="46">
        <f t="shared" ca="1" si="13"/>
        <v>0</v>
      </c>
      <c r="AB57" s="46">
        <f t="shared" ca="1" si="13"/>
        <v>0</v>
      </c>
      <c r="AC57" s="46">
        <f t="shared" ca="1" si="13"/>
        <v>0</v>
      </c>
      <c r="AD57" s="46">
        <f t="shared" ca="1" si="13"/>
        <v>0</v>
      </c>
      <c r="AE57" s="46">
        <f t="shared" ca="1" si="13"/>
        <v>0</v>
      </c>
      <c r="AF57" s="46">
        <f t="shared" ca="1" si="13"/>
        <v>0</v>
      </c>
      <c r="AG57" s="46">
        <f t="shared" ca="1" si="13"/>
        <v>0</v>
      </c>
      <c r="AH57" s="46">
        <f t="shared" ca="1" si="13"/>
        <v>0</v>
      </c>
      <c r="AI57" s="46">
        <f t="shared" ca="1" si="13"/>
        <v>0</v>
      </c>
      <c r="AJ57" s="46">
        <f t="shared" ca="1" si="13"/>
        <v>0</v>
      </c>
      <c r="AK57" s="46">
        <f t="shared" ca="1" si="13"/>
        <v>0</v>
      </c>
      <c r="AL57" s="46">
        <f t="shared" ca="1" si="13"/>
        <v>0</v>
      </c>
      <c r="AM57" s="46">
        <f t="shared" ca="1" si="13"/>
        <v>0</v>
      </c>
      <c r="AN57" s="46">
        <f t="shared" ca="1" si="13"/>
        <v>0</v>
      </c>
      <c r="AO57" s="46">
        <f t="shared" ca="1" si="13"/>
        <v>0</v>
      </c>
      <c r="AP57" s="46">
        <f t="shared" ca="1" si="13"/>
        <v>0</v>
      </c>
      <c r="AQ57" s="46">
        <f t="shared" ca="1" si="13"/>
        <v>0</v>
      </c>
      <c r="AR57" s="46">
        <f t="shared" ca="1" si="13"/>
        <v>0</v>
      </c>
      <c r="AS57" s="46">
        <f t="shared" ca="1" si="13"/>
        <v>0</v>
      </c>
      <c r="AT57" s="46">
        <f t="shared" ca="1" si="13"/>
        <v>0</v>
      </c>
      <c r="AU57" s="46">
        <f t="shared" ca="1" si="13"/>
        <v>0</v>
      </c>
      <c r="AV57" s="46">
        <f t="shared" ca="1" si="13"/>
        <v>0</v>
      </c>
      <c r="AW57" s="46">
        <f t="shared" ca="1" si="13"/>
        <v>0</v>
      </c>
      <c r="AX57" s="46">
        <f t="shared" ca="1" si="13"/>
        <v>0</v>
      </c>
      <c r="AY57" s="46">
        <f t="shared" ca="1" si="13"/>
        <v>0</v>
      </c>
      <c r="AZ57" s="46">
        <f t="shared" ca="1" si="13"/>
        <v>0</v>
      </c>
      <c r="BA57" s="46">
        <f t="shared" ca="1" si="13"/>
        <v>0</v>
      </c>
      <c r="BB57" s="46">
        <f t="shared" ca="1" si="13"/>
        <v>0</v>
      </c>
      <c r="BC57" s="46">
        <f t="shared" ca="1" si="13"/>
        <v>0</v>
      </c>
      <c r="BD57" s="46">
        <f t="shared" ca="1" si="13"/>
        <v>0</v>
      </c>
      <c r="BE57" s="46">
        <f t="shared" ca="1" si="13"/>
        <v>0</v>
      </c>
      <c r="BF57" s="46">
        <f t="shared" ca="1" si="13"/>
        <v>0</v>
      </c>
      <c r="BG57" s="46">
        <f t="shared" ca="1" si="13"/>
        <v>0</v>
      </c>
      <c r="BH57" s="46">
        <f t="shared" ca="1" si="13"/>
        <v>0</v>
      </c>
      <c r="BI57" s="46">
        <f t="shared" ca="1" si="13"/>
        <v>0</v>
      </c>
      <c r="BJ57" s="46">
        <f t="shared" ca="1" si="13"/>
        <v>0</v>
      </c>
      <c r="BK57" s="46">
        <f t="shared" ca="1" si="13"/>
        <v>0</v>
      </c>
      <c r="BL57" s="46">
        <f t="shared" ca="1" si="13"/>
        <v>0</v>
      </c>
    </row>
    <row r="58" spans="1:64" x14ac:dyDescent="0.35">
      <c r="A58" s="1"/>
      <c r="C58" s="2" t="s">
        <v>81</v>
      </c>
      <c r="E58" s="4">
        <f ca="1">E56-E57</f>
        <v>110.35417372909744</v>
      </c>
      <c r="F58" s="4">
        <f t="shared" ref="F58:BL58" ca="1" si="14">F56-F57</f>
        <v>112.00948629820833</v>
      </c>
      <c r="G58" s="4">
        <f t="shared" ca="1" si="14"/>
        <v>113.68962861741102</v>
      </c>
      <c r="H58" s="4">
        <f t="shared" ca="1" si="14"/>
        <v>115.39497306521935</v>
      </c>
      <c r="I58" s="4">
        <f t="shared" ca="1" si="14"/>
        <v>117.12589763539286</v>
      </c>
      <c r="J58" s="4">
        <f t="shared" ca="1" si="14"/>
        <v>118.8827861278789</v>
      </c>
      <c r="K58" s="4">
        <f t="shared" ca="1" si="14"/>
        <v>120.07161398324411</v>
      </c>
      <c r="L58" s="4">
        <f t="shared" ca="1" si="14"/>
        <v>121.27233010318538</v>
      </c>
      <c r="M58" s="4">
        <f t="shared" ca="1" si="14"/>
        <v>122.48505342572122</v>
      </c>
      <c r="N58" s="4">
        <f t="shared" ca="1" si="14"/>
        <v>123.70990396481683</v>
      </c>
      <c r="O58" s="4">
        <f t="shared" ca="1" si="14"/>
        <v>125.56555251971947</v>
      </c>
      <c r="P58" s="4">
        <f t="shared" ca="1" si="14"/>
        <v>127.44903580590245</v>
      </c>
      <c r="Q58" s="4">
        <f t="shared" ca="1" si="14"/>
        <v>129.36077128923105</v>
      </c>
      <c r="R58" s="4">
        <f t="shared" ca="1" si="14"/>
        <v>131.30118288518068</v>
      </c>
      <c r="S58" s="4">
        <f t="shared" ca="1" si="14"/>
        <v>133.27070062227597</v>
      </c>
      <c r="T58" s="4">
        <f t="shared" ca="1" si="14"/>
        <v>135.26976116709164</v>
      </c>
      <c r="U58" s="4">
        <f t="shared" ca="1" si="14"/>
        <v>137.29880754427808</v>
      </c>
      <c r="V58" s="4">
        <f t="shared" ca="1" si="14"/>
        <v>139.35828971819092</v>
      </c>
      <c r="W58" s="4">
        <f t="shared" ca="1" si="14"/>
        <v>141.44866399326949</v>
      </c>
      <c r="X58" s="4">
        <f t="shared" ca="1" si="14"/>
        <v>143.57039397494128</v>
      </c>
      <c r="Y58" s="4">
        <f t="shared" ca="1" si="14"/>
        <v>145.72394991924054</v>
      </c>
      <c r="Z58" s="4">
        <f t="shared" ca="1" si="14"/>
        <v>147.90980915915875</v>
      </c>
      <c r="AA58" s="4">
        <f t="shared" ca="1" si="14"/>
        <v>150.12845626375255</v>
      </c>
      <c r="AB58" s="4">
        <f t="shared" ca="1" si="14"/>
        <v>152.38038314507199</v>
      </c>
      <c r="AC58" s="4">
        <f t="shared" ca="1" si="14"/>
        <v>154.66608889789282</v>
      </c>
      <c r="AD58" s="4">
        <f t="shared" ca="1" si="14"/>
        <v>156.98608023243639</v>
      </c>
      <c r="AE58" s="4">
        <f t="shared" ca="1" si="14"/>
        <v>159.34087142490213</v>
      </c>
      <c r="AF58" s="4">
        <f t="shared" ca="1" si="14"/>
        <v>161.7309845384772</v>
      </c>
      <c r="AG58" s="4">
        <f t="shared" ca="1" si="14"/>
        <v>164.15694926972881</v>
      </c>
      <c r="AH58" s="4">
        <f t="shared" ca="1" si="14"/>
        <v>166.61930344184361</v>
      </c>
      <c r="AI58" s="4">
        <f t="shared" ca="1" si="14"/>
        <v>169.11859306954153</v>
      </c>
      <c r="AJ58" s="4">
        <f t="shared" ca="1" si="14"/>
        <v>171.65537194193027</v>
      </c>
      <c r="AK58" s="4">
        <f t="shared" ca="1" si="14"/>
        <v>174.23020249740483</v>
      </c>
      <c r="AL58" s="4">
        <f t="shared" ca="1" si="14"/>
        <v>176.84365557142263</v>
      </c>
      <c r="AM58" s="4">
        <f t="shared" ca="1" si="14"/>
        <v>179.49631041493956</v>
      </c>
      <c r="AN58" s="4">
        <f t="shared" ca="1" si="14"/>
        <v>182.1887550372949</v>
      </c>
      <c r="AO58" s="4">
        <f t="shared" ca="1" si="14"/>
        <v>184.92158638973424</v>
      </c>
      <c r="AP58" s="4">
        <f t="shared" ca="1" si="14"/>
        <v>187.69541017455947</v>
      </c>
      <c r="AQ58" s="4">
        <f t="shared" ca="1" si="14"/>
        <v>190.51084130137306</v>
      </c>
      <c r="AR58" s="4">
        <f t="shared" ca="1" si="14"/>
        <v>193.36850391524888</v>
      </c>
      <c r="AS58" s="4">
        <f t="shared" ca="1" si="14"/>
        <v>0</v>
      </c>
      <c r="AT58" s="4">
        <f t="shared" ca="1" si="14"/>
        <v>0</v>
      </c>
      <c r="AU58" s="4">
        <f t="shared" ca="1" si="14"/>
        <v>0</v>
      </c>
      <c r="AV58" s="4">
        <f t="shared" ca="1" si="14"/>
        <v>0</v>
      </c>
      <c r="AW58" s="4">
        <f t="shared" ca="1" si="14"/>
        <v>0</v>
      </c>
      <c r="AX58" s="4">
        <f t="shared" ca="1" si="14"/>
        <v>0</v>
      </c>
      <c r="AY58" s="4">
        <f t="shared" ca="1" si="14"/>
        <v>0</v>
      </c>
      <c r="AZ58" s="4">
        <f t="shared" ca="1" si="14"/>
        <v>0</v>
      </c>
      <c r="BA58" s="4">
        <f t="shared" ca="1" si="14"/>
        <v>0</v>
      </c>
      <c r="BB58" s="4">
        <f t="shared" ca="1" si="14"/>
        <v>0</v>
      </c>
      <c r="BC58" s="4">
        <f t="shared" ca="1" si="14"/>
        <v>0</v>
      </c>
      <c r="BD58" s="4">
        <f t="shared" ca="1" si="14"/>
        <v>0</v>
      </c>
      <c r="BE58" s="4">
        <f t="shared" ca="1" si="14"/>
        <v>0</v>
      </c>
      <c r="BF58" s="4">
        <f t="shared" ca="1" si="14"/>
        <v>0</v>
      </c>
      <c r="BG58" s="4">
        <f t="shared" ca="1" si="14"/>
        <v>0</v>
      </c>
      <c r="BH58" s="4">
        <f t="shared" ca="1" si="14"/>
        <v>0</v>
      </c>
      <c r="BI58" s="4">
        <f t="shared" ca="1" si="14"/>
        <v>0</v>
      </c>
      <c r="BJ58" s="4">
        <f t="shared" ca="1" si="14"/>
        <v>0</v>
      </c>
      <c r="BK58" s="4">
        <f t="shared" ca="1" si="14"/>
        <v>0</v>
      </c>
      <c r="BL58" s="4">
        <f t="shared" ca="1" si="14"/>
        <v>0</v>
      </c>
    </row>
    <row r="59" spans="1:64" x14ac:dyDescent="0.35">
      <c r="A59" s="1"/>
      <c r="C59" s="2" t="s">
        <v>328</v>
      </c>
      <c r="D59" s="4">
        <f>SUMPRODUCT(E83:BL83/E43:BL43)</f>
        <v>0</v>
      </c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</row>
    <row r="60" spans="1:64" x14ac:dyDescent="0.35">
      <c r="A60" s="1"/>
      <c r="C60" s="2" t="s">
        <v>90</v>
      </c>
      <c r="D60" s="4">
        <f>SUMPRODUCT(E56:BL56/E43:BL43)</f>
        <v>3904.8364631652821</v>
      </c>
    </row>
    <row r="61" spans="1:64" x14ac:dyDescent="0.35">
      <c r="A61" s="1"/>
      <c r="C61" s="34" t="s">
        <v>125</v>
      </c>
      <c r="D61" s="47">
        <f>D60-D59</f>
        <v>3904.8364631652821</v>
      </c>
    </row>
    <row r="62" spans="1:64" x14ac:dyDescent="0.35">
      <c r="A62" s="1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</row>
    <row r="63" spans="1:64" x14ac:dyDescent="0.35">
      <c r="A63" s="1"/>
      <c r="C63" s="2" t="s">
        <v>91</v>
      </c>
      <c r="E63" s="4">
        <f t="shared" ref="E63:BL63" si="15">D65</f>
        <v>3904.8364631652821</v>
      </c>
      <c r="F63" s="4">
        <f t="shared" ca="1" si="15"/>
        <v>3853.0548363836638</v>
      </c>
      <c r="G63" s="4">
        <f t="shared" ca="1" si="15"/>
        <v>3798.8411726312106</v>
      </c>
      <c r="H63" s="4">
        <f t="shared" ca="1" si="15"/>
        <v>3742.1341616032678</v>
      </c>
      <c r="I63" s="4">
        <f t="shared" ca="1" si="15"/>
        <v>3682.8712009620976</v>
      </c>
      <c r="J63" s="4">
        <f t="shared" ca="1" si="15"/>
        <v>3620.9883713411364</v>
      </c>
      <c r="K63" s="4">
        <f t="shared" ca="1" si="15"/>
        <v>3556.4204107833743</v>
      </c>
      <c r="L63" s="4">
        <f t="shared" ca="1" si="15"/>
        <v>3489.6951029618808</v>
      </c>
      <c r="M63" s="4">
        <f t="shared" ca="1" si="15"/>
        <v>3420.7681994031236</v>
      </c>
      <c r="N63" s="4">
        <f t="shared" ca="1" si="15"/>
        <v>3366.6985099654648</v>
      </c>
      <c r="O63" s="4">
        <f t="shared" ca="1" si="15"/>
        <v>3310.3225761999574</v>
      </c>
      <c r="P63" s="4">
        <f t="shared" ca="1" si="15"/>
        <v>3250.9634752042371</v>
      </c>
      <c r="Q63" s="4">
        <f t="shared" ca="1" si="15"/>
        <v>3188.5337089024192</v>
      </c>
      <c r="R63" s="4">
        <f t="shared" ca="1" si="15"/>
        <v>3122.9436117912364</v>
      </c>
      <c r="S63" s="4">
        <f t="shared" ca="1" si="15"/>
        <v>3054.1013011418804</v>
      </c>
      <c r="T63" s="4">
        <f t="shared" ca="1" si="15"/>
        <v>2981.912626542442</v>
      </c>
      <c r="U63" s="4">
        <f t="shared" ca="1" si="15"/>
        <v>2906.2811179061991</v>
      </c>
      <c r="V63" s="4">
        <f t="shared" ca="1" si="15"/>
        <v>2827.107932720045</v>
      </c>
      <c r="W63" s="4">
        <f t="shared" ca="1" si="15"/>
        <v>2744.2918016562548</v>
      </c>
      <c r="X63" s="4">
        <f t="shared" ca="1" si="15"/>
        <v>2671.4504327043919</v>
      </c>
      <c r="Y63" s="4">
        <f t="shared" ca="1" si="15"/>
        <v>2594.6662995470606</v>
      </c>
      <c r="Z63" s="4">
        <f t="shared" ca="1" si="15"/>
        <v>2513.8090071164966</v>
      </c>
      <c r="AA63" s="4">
        <f t="shared" ca="1" si="15"/>
        <v>2428.7444231352501</v>
      </c>
      <c r="AB63" s="4">
        <f t="shared" ca="1" si="15"/>
        <v>2339.3345774498789</v>
      </c>
      <c r="AC63" s="4">
        <f t="shared" ca="1" si="15"/>
        <v>2245.4375587410541</v>
      </c>
      <c r="AD63" s="4">
        <f t="shared" ca="1" si="15"/>
        <v>2146.9074088116877</v>
      </c>
      <c r="AE63" s="4">
        <f t="shared" ca="1" si="15"/>
        <v>2043.5940137995435</v>
      </c>
      <c r="AF63" s="4">
        <f t="shared" ca="1" si="15"/>
        <v>1935.34299271963</v>
      </c>
      <c r="AG63" s="4">
        <f t="shared" ca="1" si="15"/>
        <v>1821.9955829991436</v>
      </c>
      <c r="AH63" s="4">
        <f t="shared" ca="1" si="15"/>
        <v>1703.3885233043934</v>
      </c>
      <c r="AI63" s="4">
        <f t="shared" ca="1" si="15"/>
        <v>1579.3539329451596</v>
      </c>
      <c r="AJ63" s="4">
        <f t="shared" ca="1" si="15"/>
        <v>1449.7191881992471</v>
      </c>
      <c r="AK63" s="4">
        <f t="shared" ca="1" si="15"/>
        <v>1314.3067959622981</v>
      </c>
      <c r="AL63" s="4">
        <f t="shared" ca="1" si="15"/>
        <v>1172.9342633639508</v>
      </c>
      <c r="AM63" s="4">
        <f t="shared" ca="1" si="15"/>
        <v>1025.4139643766268</v>
      </c>
      <c r="AN63" s="4">
        <f t="shared" ca="1" si="15"/>
        <v>871.55300307110292</v>
      </c>
      <c r="AO63" s="4">
        <f t="shared" ca="1" si="15"/>
        <v>711.15307311058564</v>
      </c>
      <c r="AP63" s="4">
        <f t="shared" ca="1" si="15"/>
        <v>544.01031354861607</v>
      </c>
      <c r="AQ63" s="4">
        <f t="shared" ca="1" si="15"/>
        <v>369.91516121277198</v>
      </c>
      <c r="AR63" s="4">
        <f t="shared" ca="1" si="15"/>
        <v>188.65219894171821</v>
      </c>
      <c r="AS63" s="4">
        <f t="shared" ca="1" si="15"/>
        <v>1.2278178473934531E-11</v>
      </c>
      <c r="AT63" s="4">
        <f t="shared" ca="1" si="15"/>
        <v>1.2585132935782895E-11</v>
      </c>
      <c r="AU63" s="4">
        <f t="shared" ca="1" si="15"/>
        <v>1.2899761259177467E-11</v>
      </c>
      <c r="AV63" s="4">
        <f t="shared" ca="1" si="15"/>
        <v>1.3222255290656903E-11</v>
      </c>
      <c r="AW63" s="4">
        <f t="shared" ca="1" si="15"/>
        <v>1.3552811672923326E-11</v>
      </c>
      <c r="AX63" s="4">
        <f t="shared" ca="1" si="15"/>
        <v>1.3891631964746409E-11</v>
      </c>
      <c r="AY63" s="4">
        <f t="shared" ca="1" si="15"/>
        <v>1.423892276386507E-11</v>
      </c>
      <c r="AZ63" s="4">
        <f t="shared" ca="1" si="15"/>
        <v>1.4594895832961697E-11</v>
      </c>
      <c r="BA63" s="4">
        <f t="shared" ca="1" si="15"/>
        <v>1.4959768228785738E-11</v>
      </c>
      <c r="BB63" s="4">
        <f t="shared" ca="1" si="15"/>
        <v>1.5333762434505381E-11</v>
      </c>
      <c r="BC63" s="4">
        <f t="shared" ca="1" si="15"/>
        <v>1.5717106495368017E-11</v>
      </c>
      <c r="BD63" s="4">
        <f t="shared" ca="1" si="15"/>
        <v>1.6110034157752216E-11</v>
      </c>
      <c r="BE63" s="4">
        <f t="shared" ca="1" si="15"/>
        <v>1.6512785011696022E-11</v>
      </c>
      <c r="BF63" s="4">
        <f t="shared" ca="1" si="15"/>
        <v>1.6925604636988424E-11</v>
      </c>
      <c r="BG63" s="4">
        <f t="shared" ca="1" si="15"/>
        <v>1.7348744752913134E-11</v>
      </c>
      <c r="BH63" s="4">
        <f t="shared" ca="1" si="15"/>
        <v>1.7782463371735962E-11</v>
      </c>
      <c r="BI63" s="4">
        <f t="shared" ca="1" si="15"/>
        <v>1.822702495602936E-11</v>
      </c>
      <c r="BJ63" s="4">
        <f t="shared" ca="1" si="15"/>
        <v>1.8682700579930093E-11</v>
      </c>
      <c r="BK63" s="4">
        <f t="shared" ca="1" si="15"/>
        <v>1.9149768094428346E-11</v>
      </c>
      <c r="BL63" s="4">
        <f t="shared" ca="1" si="15"/>
        <v>1.9628512296789055E-11</v>
      </c>
    </row>
    <row r="64" spans="1:64" x14ac:dyDescent="0.35">
      <c r="A64" s="1"/>
      <c r="C64" s="2" t="s">
        <v>74</v>
      </c>
      <c r="E64" s="4">
        <f ca="1">E56-E66-E57</f>
        <v>51.781626781618208</v>
      </c>
      <c r="F64" s="4">
        <f t="shared" ref="F64:BL64" ca="1" si="16">F56-F66-F57</f>
        <v>54.213663752453378</v>
      </c>
      <c r="G64" s="4">
        <f t="shared" ca="1" si="16"/>
        <v>56.707011027942862</v>
      </c>
      <c r="H64" s="4">
        <f t="shared" ca="1" si="16"/>
        <v>59.262960641170331</v>
      </c>
      <c r="I64" s="4">
        <f t="shared" ca="1" si="16"/>
        <v>61.882829620961395</v>
      </c>
      <c r="J64" s="4">
        <f t="shared" ca="1" si="16"/>
        <v>64.567960557761864</v>
      </c>
      <c r="K64" s="4">
        <f t="shared" ca="1" si="16"/>
        <v>66.725307821493487</v>
      </c>
      <c r="L64" s="4">
        <f t="shared" ca="1" si="16"/>
        <v>68.926903558757175</v>
      </c>
      <c r="M64" s="4">
        <f t="shared" ca="1" si="16"/>
        <v>54.069689437658752</v>
      </c>
      <c r="N64" s="4">
        <f t="shared" ca="1" si="16"/>
        <v>56.37593376550754</v>
      </c>
      <c r="O64" s="4">
        <f t="shared" ca="1" si="16"/>
        <v>59.359100995720325</v>
      </c>
      <c r="P64" s="4">
        <f t="shared" ca="1" si="16"/>
        <v>62.429766301817708</v>
      </c>
      <c r="Q64" s="4">
        <f t="shared" ca="1" si="16"/>
        <v>65.590097111182672</v>
      </c>
      <c r="R64" s="4">
        <f t="shared" ca="1" si="16"/>
        <v>68.842310649355952</v>
      </c>
      <c r="S64" s="4">
        <f t="shared" ca="1" si="16"/>
        <v>72.188674599438357</v>
      </c>
      <c r="T64" s="4">
        <f t="shared" ca="1" si="16"/>
        <v>75.631508636242813</v>
      </c>
      <c r="U64" s="4">
        <f t="shared" ca="1" si="16"/>
        <v>79.173185186154086</v>
      </c>
      <c r="V64" s="4">
        <f t="shared" ca="1" si="16"/>
        <v>82.81613106379001</v>
      </c>
      <c r="W64" s="4">
        <f t="shared" ca="1" si="16"/>
        <v>72.841368951863117</v>
      </c>
      <c r="X64" s="4">
        <f t="shared" ca="1" si="16"/>
        <v>76.784133157331482</v>
      </c>
      <c r="Y64" s="4">
        <f t="shared" ca="1" si="16"/>
        <v>80.857292430564016</v>
      </c>
      <c r="Z64" s="4">
        <f t="shared" ca="1" si="16"/>
        <v>85.064583981246329</v>
      </c>
      <c r="AA64" s="4">
        <f t="shared" ca="1" si="16"/>
        <v>89.409845685371295</v>
      </c>
      <c r="AB64" s="4">
        <f t="shared" ca="1" si="16"/>
        <v>93.897018708825016</v>
      </c>
      <c r="AC64" s="4">
        <f t="shared" ca="1" si="16"/>
        <v>98.530149929366473</v>
      </c>
      <c r="AD64" s="4">
        <f t="shared" ca="1" si="16"/>
        <v>103.3133950121442</v>
      </c>
      <c r="AE64" s="4">
        <f t="shared" ca="1" si="16"/>
        <v>108.25102107991354</v>
      </c>
      <c r="AF64" s="4">
        <f t="shared" ca="1" si="16"/>
        <v>113.34740972048644</v>
      </c>
      <c r="AG64" s="4">
        <f t="shared" ca="1" si="16"/>
        <v>118.60705969475022</v>
      </c>
      <c r="AH64" s="4">
        <f t="shared" ca="1" si="16"/>
        <v>124.03459035923377</v>
      </c>
      <c r="AI64" s="4">
        <f t="shared" ca="1" si="16"/>
        <v>129.63474474591254</v>
      </c>
      <c r="AJ64" s="4">
        <f t="shared" ca="1" si="16"/>
        <v>135.41239223694907</v>
      </c>
      <c r="AK64" s="4">
        <f t="shared" ca="1" si="16"/>
        <v>141.37253259834739</v>
      </c>
      <c r="AL64" s="4">
        <f t="shared" ca="1" si="16"/>
        <v>147.52029898732386</v>
      </c>
      <c r="AM64" s="4">
        <f t="shared" ca="1" si="16"/>
        <v>153.86096130552389</v>
      </c>
      <c r="AN64" s="4">
        <f t="shared" ca="1" si="16"/>
        <v>160.39992996051731</v>
      </c>
      <c r="AO64" s="4">
        <f t="shared" ca="1" si="16"/>
        <v>167.1427595619696</v>
      </c>
      <c r="AP64" s="4">
        <f t="shared" ca="1" si="16"/>
        <v>174.09515233584406</v>
      </c>
      <c r="AQ64" s="4">
        <f t="shared" ca="1" si="16"/>
        <v>181.26296227105377</v>
      </c>
      <c r="AR64" s="4">
        <f t="shared" ca="1" si="16"/>
        <v>188.65219894170593</v>
      </c>
      <c r="AS64" s="4">
        <f t="shared" ca="1" si="16"/>
        <v>-3.069544618483633E-13</v>
      </c>
      <c r="AT64" s="4">
        <f t="shared" ca="1" si="16"/>
        <v>-3.1462832339457237E-13</v>
      </c>
      <c r="AU64" s="4">
        <f t="shared" ca="1" si="16"/>
        <v>-3.2249403147943667E-13</v>
      </c>
      <c r="AV64" s="4">
        <f t="shared" ca="1" si="16"/>
        <v>-3.305563822664226E-13</v>
      </c>
      <c r="AW64" s="4">
        <f t="shared" ca="1" si="16"/>
        <v>-3.3882029182308315E-13</v>
      </c>
      <c r="AX64" s="4">
        <f t="shared" ca="1" si="16"/>
        <v>-3.4729079911866025E-13</v>
      </c>
      <c r="AY64" s="4">
        <f t="shared" ca="1" si="16"/>
        <v>-3.5597306909662675E-13</v>
      </c>
      <c r="AZ64" s="4">
        <f t="shared" ca="1" si="16"/>
        <v>-3.6487239582404245E-13</v>
      </c>
      <c r="BA64" s="4">
        <f t="shared" ca="1" si="16"/>
        <v>-3.7399420571964345E-13</v>
      </c>
      <c r="BB64" s="4">
        <f t="shared" ca="1" si="16"/>
        <v>-3.8334406086263453E-13</v>
      </c>
      <c r="BC64" s="4">
        <f t="shared" ca="1" si="16"/>
        <v>-3.9292766238420046E-13</v>
      </c>
      <c r="BD64" s="4">
        <f t="shared" ca="1" si="16"/>
        <v>-4.0275085394380542E-13</v>
      </c>
      <c r="BE64" s="4">
        <f t="shared" ca="1" si="16"/>
        <v>-4.1281962529240056E-13</v>
      </c>
      <c r="BF64" s="4">
        <f t="shared" ca="1" si="16"/>
        <v>-4.2314011592471062E-13</v>
      </c>
      <c r="BG64" s="4">
        <f t="shared" ca="1" si="16"/>
        <v>-4.3371861882282835E-13</v>
      </c>
      <c r="BH64" s="4">
        <f t="shared" ca="1" si="16"/>
        <v>-4.4456158429339905E-13</v>
      </c>
      <c r="BI64" s="4">
        <f t="shared" ca="1" si="16"/>
        <v>-4.5567562390073405E-13</v>
      </c>
      <c r="BJ64" s="4">
        <f t="shared" ca="1" si="16"/>
        <v>-4.670675144982523E-13</v>
      </c>
      <c r="BK64" s="4">
        <f t="shared" ca="1" si="16"/>
        <v>-4.7874420236070868E-13</v>
      </c>
      <c r="BL64" s="4">
        <f t="shared" ca="1" si="16"/>
        <v>-4.9071280741972642E-13</v>
      </c>
    </row>
    <row r="65" spans="1:64" x14ac:dyDescent="0.35">
      <c r="A65" s="1"/>
      <c r="C65" s="2" t="s">
        <v>92</v>
      </c>
      <c r="D65" s="4">
        <f>D61</f>
        <v>3904.8364631652821</v>
      </c>
      <c r="E65" s="4">
        <f t="shared" ref="E65:BL65" ca="1" si="17">E63-E64</f>
        <v>3853.0548363836638</v>
      </c>
      <c r="F65" s="4">
        <f t="shared" ca="1" si="17"/>
        <v>3798.8411726312106</v>
      </c>
      <c r="G65" s="4">
        <f t="shared" ca="1" si="17"/>
        <v>3742.1341616032678</v>
      </c>
      <c r="H65" s="4">
        <f t="shared" ca="1" si="17"/>
        <v>3682.8712009620976</v>
      </c>
      <c r="I65" s="4">
        <f t="shared" ca="1" si="17"/>
        <v>3620.9883713411364</v>
      </c>
      <c r="J65" s="4">
        <f t="shared" ca="1" si="17"/>
        <v>3556.4204107833743</v>
      </c>
      <c r="K65" s="4">
        <f t="shared" ca="1" si="17"/>
        <v>3489.6951029618808</v>
      </c>
      <c r="L65" s="4">
        <f t="shared" ca="1" si="17"/>
        <v>3420.7681994031236</v>
      </c>
      <c r="M65" s="4">
        <f t="shared" ca="1" si="17"/>
        <v>3366.6985099654648</v>
      </c>
      <c r="N65" s="4">
        <f t="shared" ca="1" si="17"/>
        <v>3310.3225761999574</v>
      </c>
      <c r="O65" s="4">
        <f t="shared" ca="1" si="17"/>
        <v>3250.9634752042371</v>
      </c>
      <c r="P65" s="4">
        <f t="shared" ca="1" si="17"/>
        <v>3188.5337089024192</v>
      </c>
      <c r="Q65" s="4">
        <f t="shared" ca="1" si="17"/>
        <v>3122.9436117912364</v>
      </c>
      <c r="R65" s="4">
        <f t="shared" ca="1" si="17"/>
        <v>3054.1013011418804</v>
      </c>
      <c r="S65" s="4">
        <f t="shared" ca="1" si="17"/>
        <v>2981.912626542442</v>
      </c>
      <c r="T65" s="4">
        <f t="shared" ca="1" si="17"/>
        <v>2906.2811179061991</v>
      </c>
      <c r="U65" s="4">
        <f t="shared" ca="1" si="17"/>
        <v>2827.107932720045</v>
      </c>
      <c r="V65" s="4">
        <f t="shared" ca="1" si="17"/>
        <v>2744.2918016562548</v>
      </c>
      <c r="W65" s="4">
        <f t="shared" ca="1" si="17"/>
        <v>2671.4504327043919</v>
      </c>
      <c r="X65" s="4">
        <f t="shared" ca="1" si="17"/>
        <v>2594.6662995470606</v>
      </c>
      <c r="Y65" s="4">
        <f t="shared" ca="1" si="17"/>
        <v>2513.8090071164966</v>
      </c>
      <c r="Z65" s="4">
        <f t="shared" ca="1" si="17"/>
        <v>2428.7444231352501</v>
      </c>
      <c r="AA65" s="4">
        <f t="shared" ca="1" si="17"/>
        <v>2339.3345774498789</v>
      </c>
      <c r="AB65" s="4">
        <f t="shared" ca="1" si="17"/>
        <v>2245.4375587410541</v>
      </c>
      <c r="AC65" s="4">
        <f t="shared" ca="1" si="17"/>
        <v>2146.9074088116877</v>
      </c>
      <c r="AD65" s="4">
        <f t="shared" ca="1" si="17"/>
        <v>2043.5940137995435</v>
      </c>
      <c r="AE65" s="4">
        <f t="shared" ca="1" si="17"/>
        <v>1935.34299271963</v>
      </c>
      <c r="AF65" s="4">
        <f t="shared" ca="1" si="17"/>
        <v>1821.9955829991436</v>
      </c>
      <c r="AG65" s="4">
        <f t="shared" ca="1" si="17"/>
        <v>1703.3885233043934</v>
      </c>
      <c r="AH65" s="4">
        <f t="shared" ca="1" si="17"/>
        <v>1579.3539329451596</v>
      </c>
      <c r="AI65" s="4">
        <f t="shared" ca="1" si="17"/>
        <v>1449.7191881992471</v>
      </c>
      <c r="AJ65" s="4">
        <f t="shared" ca="1" si="17"/>
        <v>1314.3067959622981</v>
      </c>
      <c r="AK65" s="4">
        <f t="shared" ca="1" si="17"/>
        <v>1172.9342633639508</v>
      </c>
      <c r="AL65" s="4">
        <f t="shared" ca="1" si="17"/>
        <v>1025.4139643766268</v>
      </c>
      <c r="AM65" s="4">
        <f t="shared" ca="1" si="17"/>
        <v>871.55300307110292</v>
      </c>
      <c r="AN65" s="4">
        <f t="shared" ca="1" si="17"/>
        <v>711.15307311058564</v>
      </c>
      <c r="AO65" s="4">
        <f t="shared" ca="1" si="17"/>
        <v>544.01031354861607</v>
      </c>
      <c r="AP65" s="4">
        <f t="shared" ca="1" si="17"/>
        <v>369.91516121277198</v>
      </c>
      <c r="AQ65" s="4">
        <f t="shared" ca="1" si="17"/>
        <v>188.65219894171821</v>
      </c>
      <c r="AR65" s="4">
        <f t="shared" ca="1" si="17"/>
        <v>1.2278178473934531E-11</v>
      </c>
      <c r="AS65" s="4">
        <f t="shared" ca="1" si="17"/>
        <v>1.2585132935782895E-11</v>
      </c>
      <c r="AT65" s="4">
        <f t="shared" ca="1" si="17"/>
        <v>1.2899761259177467E-11</v>
      </c>
      <c r="AU65" s="4">
        <f t="shared" ca="1" si="17"/>
        <v>1.3222255290656903E-11</v>
      </c>
      <c r="AV65" s="4">
        <f t="shared" ca="1" si="17"/>
        <v>1.3552811672923326E-11</v>
      </c>
      <c r="AW65" s="4">
        <f t="shared" ca="1" si="17"/>
        <v>1.3891631964746409E-11</v>
      </c>
      <c r="AX65" s="4">
        <f t="shared" ca="1" si="17"/>
        <v>1.423892276386507E-11</v>
      </c>
      <c r="AY65" s="4">
        <f t="shared" ca="1" si="17"/>
        <v>1.4594895832961697E-11</v>
      </c>
      <c r="AZ65" s="4">
        <f t="shared" ca="1" si="17"/>
        <v>1.4959768228785738E-11</v>
      </c>
      <c r="BA65" s="4">
        <f t="shared" ca="1" si="17"/>
        <v>1.5333762434505381E-11</v>
      </c>
      <c r="BB65" s="4">
        <f t="shared" ca="1" si="17"/>
        <v>1.5717106495368017E-11</v>
      </c>
      <c r="BC65" s="4">
        <f t="shared" ca="1" si="17"/>
        <v>1.6110034157752216E-11</v>
      </c>
      <c r="BD65" s="4">
        <f t="shared" ca="1" si="17"/>
        <v>1.6512785011696022E-11</v>
      </c>
      <c r="BE65" s="4">
        <f t="shared" ca="1" si="17"/>
        <v>1.6925604636988424E-11</v>
      </c>
      <c r="BF65" s="4">
        <f t="shared" ca="1" si="17"/>
        <v>1.7348744752913134E-11</v>
      </c>
      <c r="BG65" s="4">
        <f t="shared" ca="1" si="17"/>
        <v>1.7782463371735962E-11</v>
      </c>
      <c r="BH65" s="4">
        <f t="shared" ca="1" si="17"/>
        <v>1.822702495602936E-11</v>
      </c>
      <c r="BI65" s="4">
        <f t="shared" ca="1" si="17"/>
        <v>1.8682700579930093E-11</v>
      </c>
      <c r="BJ65" s="4">
        <f t="shared" ca="1" si="17"/>
        <v>1.9149768094428346E-11</v>
      </c>
      <c r="BK65" s="4">
        <f t="shared" ca="1" si="17"/>
        <v>1.9628512296789055E-11</v>
      </c>
      <c r="BL65" s="4">
        <f t="shared" ca="1" si="17"/>
        <v>2.0119225104208781E-11</v>
      </c>
    </row>
    <row r="66" spans="1:64" x14ac:dyDescent="0.35">
      <c r="A66" s="1"/>
      <c r="C66" s="2" t="s">
        <v>310</v>
      </c>
      <c r="E66" s="4">
        <f t="shared" ref="E66:AJ66" si="18">E63*E42</f>
        <v>58.572546947479232</v>
      </c>
      <c r="F66" s="4">
        <f t="shared" ca="1" si="18"/>
        <v>57.795822545754952</v>
      </c>
      <c r="G66" s="4">
        <f t="shared" ca="1" si="18"/>
        <v>56.982617589468155</v>
      </c>
      <c r="H66" s="4">
        <f t="shared" ca="1" si="18"/>
        <v>56.132012424049016</v>
      </c>
      <c r="I66" s="4">
        <f t="shared" ca="1" si="18"/>
        <v>55.243068014431465</v>
      </c>
      <c r="J66" s="4">
        <f t="shared" ca="1" si="18"/>
        <v>54.314825570117044</v>
      </c>
      <c r="K66" s="4">
        <f t="shared" ca="1" si="18"/>
        <v>53.346306161750611</v>
      </c>
      <c r="L66" s="4">
        <f t="shared" ca="1" si="18"/>
        <v>52.345426544428207</v>
      </c>
      <c r="M66" s="4">
        <f t="shared" ca="1" si="18"/>
        <v>68.415363988062467</v>
      </c>
      <c r="N66" s="4">
        <f t="shared" ca="1" si="18"/>
        <v>67.333970199309292</v>
      </c>
      <c r="O66" s="4">
        <f t="shared" ca="1" si="18"/>
        <v>66.206451523999149</v>
      </c>
      <c r="P66" s="4">
        <f t="shared" ca="1" si="18"/>
        <v>65.019269504084747</v>
      </c>
      <c r="Q66" s="4">
        <f t="shared" ca="1" si="18"/>
        <v>63.770674178048388</v>
      </c>
      <c r="R66" s="4">
        <f t="shared" ca="1" si="18"/>
        <v>62.458872235824728</v>
      </c>
      <c r="S66" s="4">
        <f t="shared" ca="1" si="18"/>
        <v>61.08202602283761</v>
      </c>
      <c r="T66" s="4">
        <f t="shared" ca="1" si="18"/>
        <v>59.638252530848838</v>
      </c>
      <c r="U66" s="4">
        <f t="shared" ca="1" si="18"/>
        <v>58.125622358123984</v>
      </c>
      <c r="V66" s="4">
        <f t="shared" ca="1" si="18"/>
        <v>56.5421586544009</v>
      </c>
      <c r="W66" s="4">
        <f t="shared" ca="1" si="18"/>
        <v>68.607295041406374</v>
      </c>
      <c r="X66" s="4">
        <f t="shared" ca="1" si="18"/>
        <v>66.786260817609801</v>
      </c>
      <c r="Y66" s="4">
        <f t="shared" ca="1" si="18"/>
        <v>64.866657488676523</v>
      </c>
      <c r="Z66" s="4">
        <f t="shared" ca="1" si="18"/>
        <v>62.845225177912418</v>
      </c>
      <c r="AA66" s="4">
        <f t="shared" ca="1" si="18"/>
        <v>60.718610578381259</v>
      </c>
      <c r="AB66" s="4">
        <f t="shared" ca="1" si="18"/>
        <v>58.483364436246973</v>
      </c>
      <c r="AC66" s="4">
        <f t="shared" ca="1" si="18"/>
        <v>56.135938968526354</v>
      </c>
      <c r="AD66" s="4">
        <f t="shared" ca="1" si="18"/>
        <v>53.672685220292195</v>
      </c>
      <c r="AE66" s="4">
        <f t="shared" ca="1" si="18"/>
        <v>51.089850344988591</v>
      </c>
      <c r="AF66" s="4">
        <f t="shared" ca="1" si="18"/>
        <v>48.383574817990755</v>
      </c>
      <c r="AG66" s="4">
        <f t="shared" ca="1" si="18"/>
        <v>45.549889574978593</v>
      </c>
      <c r="AH66" s="4">
        <f t="shared" ca="1" si="18"/>
        <v>42.584713082609838</v>
      </c>
      <c r="AI66" s="4">
        <f t="shared" ca="1" si="18"/>
        <v>39.48384832362899</v>
      </c>
      <c r="AJ66" s="4">
        <f t="shared" ca="1" si="18"/>
        <v>36.242979704981181</v>
      </c>
      <c r="AK66" s="4">
        <f t="shared" ref="AK66:BL66" ca="1" si="19">AK63*AK42</f>
        <v>32.857669899057456</v>
      </c>
      <c r="AL66" s="4">
        <f t="shared" ca="1" si="19"/>
        <v>29.323356584098772</v>
      </c>
      <c r="AM66" s="4">
        <f t="shared" ca="1" si="19"/>
        <v>25.635349109415671</v>
      </c>
      <c r="AN66" s="4">
        <f t="shared" ca="1" si="19"/>
        <v>21.788825076777574</v>
      </c>
      <c r="AO66" s="4">
        <f t="shared" ca="1" si="19"/>
        <v>17.778826827764643</v>
      </c>
      <c r="AP66" s="4">
        <f t="shared" ca="1" si="19"/>
        <v>13.600257838715402</v>
      </c>
      <c r="AQ66" s="4">
        <f t="shared" ca="1" si="19"/>
        <v>9.2478790303193001</v>
      </c>
      <c r="AR66" s="4">
        <f t="shared" ca="1" si="19"/>
        <v>4.7163049735429556</v>
      </c>
      <c r="AS66" s="4">
        <f t="shared" ca="1" si="19"/>
        <v>3.069544618483633E-13</v>
      </c>
      <c r="AT66" s="4">
        <f t="shared" ca="1" si="19"/>
        <v>3.1462832339457237E-13</v>
      </c>
      <c r="AU66" s="4">
        <f t="shared" ca="1" si="19"/>
        <v>3.2249403147943667E-13</v>
      </c>
      <c r="AV66" s="4">
        <f t="shared" ca="1" si="19"/>
        <v>3.305563822664226E-13</v>
      </c>
      <c r="AW66" s="4">
        <f t="shared" ca="1" si="19"/>
        <v>3.3882029182308315E-13</v>
      </c>
      <c r="AX66" s="4">
        <f t="shared" ca="1" si="19"/>
        <v>3.4729079911866025E-13</v>
      </c>
      <c r="AY66" s="4">
        <f t="shared" ca="1" si="19"/>
        <v>3.5597306909662675E-13</v>
      </c>
      <c r="AZ66" s="4">
        <f t="shared" ca="1" si="19"/>
        <v>3.6487239582404245E-13</v>
      </c>
      <c r="BA66" s="4">
        <f t="shared" ca="1" si="19"/>
        <v>3.7399420571964345E-13</v>
      </c>
      <c r="BB66" s="4">
        <f t="shared" ca="1" si="19"/>
        <v>3.8334406086263453E-13</v>
      </c>
      <c r="BC66" s="4">
        <f t="shared" ca="1" si="19"/>
        <v>3.9292766238420046E-13</v>
      </c>
      <c r="BD66" s="4">
        <f t="shared" ca="1" si="19"/>
        <v>4.0275085394380542E-13</v>
      </c>
      <c r="BE66" s="4">
        <f t="shared" ca="1" si="19"/>
        <v>4.1281962529240056E-13</v>
      </c>
      <c r="BF66" s="4">
        <f t="shared" ca="1" si="19"/>
        <v>4.2314011592471062E-13</v>
      </c>
      <c r="BG66" s="4">
        <f t="shared" ca="1" si="19"/>
        <v>4.3371861882282835E-13</v>
      </c>
      <c r="BH66" s="4">
        <f t="shared" ca="1" si="19"/>
        <v>4.4456158429339905E-13</v>
      </c>
      <c r="BI66" s="4">
        <f t="shared" ca="1" si="19"/>
        <v>4.5567562390073405E-13</v>
      </c>
      <c r="BJ66" s="4">
        <f t="shared" ca="1" si="19"/>
        <v>4.670675144982523E-13</v>
      </c>
      <c r="BK66" s="4">
        <f t="shared" ca="1" si="19"/>
        <v>4.7874420236070868E-13</v>
      </c>
      <c r="BL66" s="4">
        <f t="shared" ca="1" si="19"/>
        <v>4.9071280741972642E-13</v>
      </c>
    </row>
    <row r="67" spans="1:64" x14ac:dyDescent="0.35">
      <c r="A67" s="1"/>
      <c r="E67" s="26"/>
      <c r="F67" s="26"/>
      <c r="G67" s="26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</row>
    <row r="68" spans="1:64" x14ac:dyDescent="0.35">
      <c r="A68" s="1"/>
      <c r="B68" s="1"/>
      <c r="C68" s="2" t="s">
        <v>116</v>
      </c>
      <c r="D68" s="45">
        <f t="shared" ref="D68:AI68" ca="1" si="20">IF($D$16&gt;0,SUM(OFFSET(D56,0,1,1,$D$16)))*1</f>
        <v>110.35417372909744</v>
      </c>
      <c r="E68" s="4">
        <f t="shared" ca="1" si="20"/>
        <v>112.00948629820833</v>
      </c>
      <c r="F68" s="4">
        <f t="shared" ca="1" si="20"/>
        <v>113.68962861741102</v>
      </c>
      <c r="G68" s="4">
        <f t="shared" ca="1" si="20"/>
        <v>115.39497306521935</v>
      </c>
      <c r="H68" s="4">
        <f t="shared" ca="1" si="20"/>
        <v>117.12589763539286</v>
      </c>
      <c r="I68" s="4">
        <f t="shared" ca="1" si="20"/>
        <v>118.8827861278789</v>
      </c>
      <c r="J68" s="4">
        <f t="shared" ca="1" si="20"/>
        <v>120.07161398324411</v>
      </c>
      <c r="K68" s="4">
        <f t="shared" ca="1" si="20"/>
        <v>121.27233010318538</v>
      </c>
      <c r="L68" s="4">
        <f t="shared" ca="1" si="20"/>
        <v>122.48505342572122</v>
      </c>
      <c r="M68" s="4">
        <f t="shared" ca="1" si="20"/>
        <v>123.70990396481683</v>
      </c>
      <c r="N68" s="4">
        <f t="shared" ca="1" si="20"/>
        <v>125.56555251971947</v>
      </c>
      <c r="O68" s="4">
        <f t="shared" ca="1" si="20"/>
        <v>127.44903580590245</v>
      </c>
      <c r="P68" s="4">
        <f t="shared" ca="1" si="20"/>
        <v>129.36077128923105</v>
      </c>
      <c r="Q68" s="4">
        <f t="shared" ca="1" si="20"/>
        <v>131.30118288518068</v>
      </c>
      <c r="R68" s="4">
        <f t="shared" ca="1" si="20"/>
        <v>133.27070062227597</v>
      </c>
      <c r="S68" s="4">
        <f t="shared" ca="1" si="20"/>
        <v>135.26976116709164</v>
      </c>
      <c r="T68" s="4">
        <f t="shared" ca="1" si="20"/>
        <v>137.29880754427808</v>
      </c>
      <c r="U68" s="4">
        <f t="shared" ca="1" si="20"/>
        <v>139.35828971819092</v>
      </c>
      <c r="V68" s="4">
        <f t="shared" ca="1" si="20"/>
        <v>141.44866399326949</v>
      </c>
      <c r="W68" s="4">
        <f t="shared" ca="1" si="20"/>
        <v>143.57039397494128</v>
      </c>
      <c r="X68" s="4">
        <f t="shared" ca="1" si="20"/>
        <v>145.72394991924054</v>
      </c>
      <c r="Y68" s="4">
        <f t="shared" ca="1" si="20"/>
        <v>147.90980915915875</v>
      </c>
      <c r="Z68" s="4">
        <f t="shared" ca="1" si="20"/>
        <v>150.12845626375255</v>
      </c>
      <c r="AA68" s="4">
        <f t="shared" ca="1" si="20"/>
        <v>152.38038314507199</v>
      </c>
      <c r="AB68" s="4">
        <f t="shared" ca="1" si="20"/>
        <v>154.66608889789282</v>
      </c>
      <c r="AC68" s="4">
        <f t="shared" ca="1" si="20"/>
        <v>156.98608023243639</v>
      </c>
      <c r="AD68" s="4">
        <f t="shared" ca="1" si="20"/>
        <v>159.34087142490213</v>
      </c>
      <c r="AE68" s="4">
        <f t="shared" ca="1" si="20"/>
        <v>161.7309845384772</v>
      </c>
      <c r="AF68" s="4">
        <f t="shared" ca="1" si="20"/>
        <v>164.15694926972881</v>
      </c>
      <c r="AG68" s="4">
        <f t="shared" ca="1" si="20"/>
        <v>166.61930344184361</v>
      </c>
      <c r="AH68" s="4">
        <f t="shared" ca="1" si="20"/>
        <v>169.11859306954153</v>
      </c>
      <c r="AI68" s="4">
        <f t="shared" ca="1" si="20"/>
        <v>171.65537194193027</v>
      </c>
      <c r="AJ68" s="4">
        <f t="shared" ref="AJ68:BL68" ca="1" si="21">IF($D$16&gt;0,SUM(OFFSET(AJ56,0,1,1,$D$16)))*1</f>
        <v>174.23020249740483</v>
      </c>
      <c r="AK68" s="4">
        <f t="shared" ca="1" si="21"/>
        <v>176.84365557142263</v>
      </c>
      <c r="AL68" s="4">
        <f t="shared" ca="1" si="21"/>
        <v>179.49631041493956</v>
      </c>
      <c r="AM68" s="4">
        <f t="shared" ca="1" si="21"/>
        <v>182.1887550372949</v>
      </c>
      <c r="AN68" s="4">
        <f t="shared" ca="1" si="21"/>
        <v>184.92158638973424</v>
      </c>
      <c r="AO68" s="4">
        <f t="shared" ca="1" si="21"/>
        <v>187.69541017455947</v>
      </c>
      <c r="AP68" s="4">
        <f t="shared" ca="1" si="21"/>
        <v>190.51084130137306</v>
      </c>
      <c r="AQ68" s="4">
        <f t="shared" ca="1" si="21"/>
        <v>193.36850391524888</v>
      </c>
      <c r="AR68" s="4">
        <f t="shared" ca="1" si="21"/>
        <v>0</v>
      </c>
      <c r="AS68" s="4">
        <f t="shared" ca="1" si="21"/>
        <v>0</v>
      </c>
      <c r="AT68" s="4">
        <f t="shared" ca="1" si="21"/>
        <v>0</v>
      </c>
      <c r="AU68" s="4">
        <f t="shared" ca="1" si="21"/>
        <v>0</v>
      </c>
      <c r="AV68" s="4">
        <f t="shared" ca="1" si="21"/>
        <v>0</v>
      </c>
      <c r="AW68" s="4">
        <f t="shared" ca="1" si="21"/>
        <v>0</v>
      </c>
      <c r="AX68" s="4">
        <f t="shared" ca="1" si="21"/>
        <v>0</v>
      </c>
      <c r="AY68" s="4">
        <f t="shared" ca="1" si="21"/>
        <v>0</v>
      </c>
      <c r="AZ68" s="4">
        <f t="shared" ca="1" si="21"/>
        <v>0</v>
      </c>
      <c r="BA68" s="4">
        <f t="shared" ca="1" si="21"/>
        <v>0</v>
      </c>
      <c r="BB68" s="4">
        <f t="shared" ca="1" si="21"/>
        <v>0</v>
      </c>
      <c r="BC68" s="4">
        <f t="shared" ca="1" si="21"/>
        <v>0</v>
      </c>
      <c r="BD68" s="4">
        <f t="shared" ca="1" si="21"/>
        <v>0</v>
      </c>
      <c r="BE68" s="4">
        <f t="shared" ca="1" si="21"/>
        <v>0</v>
      </c>
      <c r="BF68" s="4">
        <f t="shared" ca="1" si="21"/>
        <v>0</v>
      </c>
      <c r="BG68" s="4">
        <f t="shared" ca="1" si="21"/>
        <v>0</v>
      </c>
      <c r="BH68" s="4">
        <f t="shared" ca="1" si="21"/>
        <v>0</v>
      </c>
      <c r="BI68" s="4">
        <f t="shared" ca="1" si="21"/>
        <v>0</v>
      </c>
      <c r="BJ68" s="4">
        <f t="shared" ca="1" si="21"/>
        <v>0</v>
      </c>
      <c r="BK68" s="4">
        <f t="shared" ca="1" si="21"/>
        <v>0</v>
      </c>
      <c r="BL68" s="4">
        <f t="shared" ca="1" si="21"/>
        <v>0</v>
      </c>
    </row>
    <row r="69" spans="1:64" x14ac:dyDescent="0.35">
      <c r="A69" s="1"/>
    </row>
    <row r="70" spans="1:64" x14ac:dyDescent="0.35">
      <c r="A70" s="1"/>
      <c r="C70" s="2" t="s">
        <v>302</v>
      </c>
      <c r="D70" s="4">
        <f ca="1">SUMIF(33:33,FALSE,63:63)</f>
        <v>3.1364186521097014E-10</v>
      </c>
    </row>
    <row r="71" spans="1:64" x14ac:dyDescent="0.35">
      <c r="A71" s="1"/>
      <c r="C71" s="2" t="s">
        <v>303</v>
      </c>
      <c r="D71" s="4">
        <f ca="1">SUMIF(31:31,D10*2,65:65)</f>
        <v>1.2278178473934531E-11</v>
      </c>
    </row>
    <row r="72" spans="1:64" x14ac:dyDescent="0.35">
      <c r="A72" s="1"/>
    </row>
    <row r="73" spans="1:64" x14ac:dyDescent="0.35">
      <c r="A73" s="1"/>
      <c r="C73" s="2" t="s">
        <v>174</v>
      </c>
      <c r="D73" s="4">
        <f t="shared" ref="D73:AI73" ca="1" si="22">D68</f>
        <v>110.35417372909744</v>
      </c>
      <c r="E73" s="4">
        <f t="shared" ca="1" si="22"/>
        <v>112.00948629820833</v>
      </c>
      <c r="F73" s="4">
        <f t="shared" ca="1" si="22"/>
        <v>113.68962861741102</v>
      </c>
      <c r="G73" s="4">
        <f t="shared" ca="1" si="22"/>
        <v>115.39497306521935</v>
      </c>
      <c r="H73" s="4">
        <f t="shared" ca="1" si="22"/>
        <v>117.12589763539286</v>
      </c>
      <c r="I73" s="4">
        <f t="shared" ca="1" si="22"/>
        <v>118.8827861278789</v>
      </c>
      <c r="J73" s="4">
        <f t="shared" ca="1" si="22"/>
        <v>120.07161398324411</v>
      </c>
      <c r="K73" s="4">
        <f t="shared" ca="1" si="22"/>
        <v>121.27233010318538</v>
      </c>
      <c r="L73" s="4">
        <f t="shared" ca="1" si="22"/>
        <v>122.48505342572122</v>
      </c>
      <c r="M73" s="4">
        <f t="shared" ca="1" si="22"/>
        <v>123.70990396481683</v>
      </c>
      <c r="N73" s="4">
        <f t="shared" ca="1" si="22"/>
        <v>125.56555251971947</v>
      </c>
      <c r="O73" s="4">
        <f t="shared" ca="1" si="22"/>
        <v>127.44903580590245</v>
      </c>
      <c r="P73" s="4">
        <f t="shared" ca="1" si="22"/>
        <v>129.36077128923105</v>
      </c>
      <c r="Q73" s="4">
        <f t="shared" ca="1" si="22"/>
        <v>131.30118288518068</v>
      </c>
      <c r="R73" s="4">
        <f t="shared" ca="1" si="22"/>
        <v>133.27070062227597</v>
      </c>
      <c r="S73" s="4">
        <f t="shared" ca="1" si="22"/>
        <v>135.26976116709164</v>
      </c>
      <c r="T73" s="4">
        <f t="shared" ca="1" si="22"/>
        <v>137.29880754427808</v>
      </c>
      <c r="U73" s="4">
        <f t="shared" ca="1" si="22"/>
        <v>139.35828971819092</v>
      </c>
      <c r="V73" s="4">
        <f t="shared" ca="1" si="22"/>
        <v>141.44866399326949</v>
      </c>
      <c r="W73" s="4">
        <f t="shared" ca="1" si="22"/>
        <v>143.57039397494128</v>
      </c>
      <c r="X73" s="4">
        <f t="shared" ca="1" si="22"/>
        <v>145.72394991924054</v>
      </c>
      <c r="Y73" s="4">
        <f t="shared" ca="1" si="22"/>
        <v>147.90980915915875</v>
      </c>
      <c r="Z73" s="4">
        <f t="shared" ca="1" si="22"/>
        <v>150.12845626375255</v>
      </c>
      <c r="AA73" s="4">
        <f t="shared" ca="1" si="22"/>
        <v>152.38038314507199</v>
      </c>
      <c r="AB73" s="4">
        <f t="shared" ca="1" si="22"/>
        <v>154.66608889789282</v>
      </c>
      <c r="AC73" s="4">
        <f t="shared" ca="1" si="22"/>
        <v>156.98608023243639</v>
      </c>
      <c r="AD73" s="4">
        <f t="shared" ca="1" si="22"/>
        <v>159.34087142490213</v>
      </c>
      <c r="AE73" s="4">
        <f t="shared" ca="1" si="22"/>
        <v>161.7309845384772</v>
      </c>
      <c r="AF73" s="4">
        <f t="shared" ca="1" si="22"/>
        <v>164.15694926972881</v>
      </c>
      <c r="AG73" s="4">
        <f t="shared" ca="1" si="22"/>
        <v>166.61930344184361</v>
      </c>
      <c r="AH73" s="4">
        <f t="shared" ca="1" si="22"/>
        <v>169.11859306954153</v>
      </c>
      <c r="AI73" s="4">
        <f t="shared" ca="1" si="22"/>
        <v>171.65537194193027</v>
      </c>
      <c r="AJ73" s="4">
        <f t="shared" ref="AJ73:BL73" ca="1" si="23">AJ68</f>
        <v>174.23020249740483</v>
      </c>
      <c r="AK73" s="4">
        <f t="shared" ca="1" si="23"/>
        <v>176.84365557142263</v>
      </c>
      <c r="AL73" s="4">
        <f t="shared" ca="1" si="23"/>
        <v>179.49631041493956</v>
      </c>
      <c r="AM73" s="4">
        <f t="shared" ca="1" si="23"/>
        <v>182.1887550372949</v>
      </c>
      <c r="AN73" s="4">
        <f t="shared" ca="1" si="23"/>
        <v>184.92158638973424</v>
      </c>
      <c r="AO73" s="4">
        <f t="shared" ca="1" si="23"/>
        <v>187.69541017455947</v>
      </c>
      <c r="AP73" s="4">
        <f t="shared" ca="1" si="23"/>
        <v>190.51084130137306</v>
      </c>
      <c r="AQ73" s="4">
        <f t="shared" ca="1" si="23"/>
        <v>193.36850391524888</v>
      </c>
      <c r="AR73" s="4">
        <f t="shared" ca="1" si="23"/>
        <v>0</v>
      </c>
      <c r="AS73" s="4">
        <f t="shared" ca="1" si="23"/>
        <v>0</v>
      </c>
      <c r="AT73" s="4">
        <f t="shared" ca="1" si="23"/>
        <v>0</v>
      </c>
      <c r="AU73" s="4">
        <f t="shared" ca="1" si="23"/>
        <v>0</v>
      </c>
      <c r="AV73" s="4">
        <f t="shared" ca="1" si="23"/>
        <v>0</v>
      </c>
      <c r="AW73" s="4">
        <f t="shared" ca="1" si="23"/>
        <v>0</v>
      </c>
      <c r="AX73" s="4">
        <f t="shared" ca="1" si="23"/>
        <v>0</v>
      </c>
      <c r="AY73" s="4">
        <f t="shared" ca="1" si="23"/>
        <v>0</v>
      </c>
      <c r="AZ73" s="4">
        <f t="shared" ca="1" si="23"/>
        <v>0</v>
      </c>
      <c r="BA73" s="4">
        <f t="shared" ca="1" si="23"/>
        <v>0</v>
      </c>
      <c r="BB73" s="4">
        <f t="shared" ca="1" si="23"/>
        <v>0</v>
      </c>
      <c r="BC73" s="4">
        <f t="shared" ca="1" si="23"/>
        <v>0</v>
      </c>
      <c r="BD73" s="4">
        <f t="shared" ca="1" si="23"/>
        <v>0</v>
      </c>
      <c r="BE73" s="4">
        <f t="shared" ca="1" si="23"/>
        <v>0</v>
      </c>
      <c r="BF73" s="4">
        <f t="shared" ca="1" si="23"/>
        <v>0</v>
      </c>
      <c r="BG73" s="4">
        <f t="shared" ca="1" si="23"/>
        <v>0</v>
      </c>
      <c r="BH73" s="4">
        <f t="shared" ca="1" si="23"/>
        <v>0</v>
      </c>
      <c r="BI73" s="4">
        <f t="shared" ca="1" si="23"/>
        <v>0</v>
      </c>
      <c r="BJ73" s="4">
        <f t="shared" ca="1" si="23"/>
        <v>0</v>
      </c>
      <c r="BK73" s="4">
        <f t="shared" ca="1" si="23"/>
        <v>0</v>
      </c>
      <c r="BL73" s="4">
        <f t="shared" ca="1" si="23"/>
        <v>0</v>
      </c>
    </row>
    <row r="74" spans="1:64" x14ac:dyDescent="0.35">
      <c r="A74" s="1"/>
      <c r="C74" s="2" t="s">
        <v>171</v>
      </c>
      <c r="E74" s="4">
        <f ca="1">D73*$D$18</f>
        <v>0.27588543432274359</v>
      </c>
      <c r="F74" s="4">
        <f t="shared" ref="F74:BL74" ca="1" si="24">E73*$D$18</f>
        <v>0.28002371574552082</v>
      </c>
      <c r="G74" s="4">
        <f t="shared" ca="1" si="24"/>
        <v>0.28422407154352752</v>
      </c>
      <c r="H74" s="4">
        <f t="shared" ca="1" si="24"/>
        <v>0.28848743266304838</v>
      </c>
      <c r="I74" s="4">
        <f t="shared" ca="1" si="24"/>
        <v>0.29281474408848218</v>
      </c>
      <c r="J74" s="4">
        <f t="shared" ca="1" si="24"/>
        <v>0.29720696531969726</v>
      </c>
      <c r="K74" s="4">
        <f t="shared" ca="1" si="24"/>
        <v>0.30017903495811027</v>
      </c>
      <c r="L74" s="4">
        <f t="shared" ca="1" si="24"/>
        <v>0.30318082525796347</v>
      </c>
      <c r="M74" s="4">
        <f t="shared" ca="1" si="24"/>
        <v>0.30621263356430306</v>
      </c>
      <c r="N74" s="4">
        <f t="shared" ca="1" si="24"/>
        <v>0.30927475991204206</v>
      </c>
      <c r="O74" s="4">
        <f t="shared" ca="1" si="24"/>
        <v>0.3139138812992987</v>
      </c>
      <c r="P74" s="4">
        <f t="shared" ca="1" si="24"/>
        <v>0.31862258951475614</v>
      </c>
      <c r="Q74" s="4">
        <f t="shared" ca="1" si="24"/>
        <v>0.32340192822307762</v>
      </c>
      <c r="R74" s="4">
        <f t="shared" ca="1" si="24"/>
        <v>0.32825295721295172</v>
      </c>
      <c r="S74" s="4">
        <f t="shared" ca="1" si="24"/>
        <v>0.33317675155568993</v>
      </c>
      <c r="T74" s="4">
        <f t="shared" ca="1" si="24"/>
        <v>0.3381744029177291</v>
      </c>
      <c r="U74" s="4">
        <f t="shared" ca="1" si="24"/>
        <v>0.3432470188606952</v>
      </c>
      <c r="V74" s="4">
        <f t="shared" ca="1" si="24"/>
        <v>0.34839572429547733</v>
      </c>
      <c r="W74" s="4">
        <f t="shared" ca="1" si="24"/>
        <v>0.35362165998317374</v>
      </c>
      <c r="X74" s="4">
        <f t="shared" ca="1" si="24"/>
        <v>0.35892598493735323</v>
      </c>
      <c r="Y74" s="4">
        <f t="shared" ca="1" si="24"/>
        <v>0.36430987479810134</v>
      </c>
      <c r="Z74" s="4">
        <f t="shared" ca="1" si="24"/>
        <v>0.36977452289789692</v>
      </c>
      <c r="AA74" s="4">
        <f t="shared" ca="1" si="24"/>
        <v>0.37532114065938138</v>
      </c>
      <c r="AB74" s="4">
        <f t="shared" ca="1" si="24"/>
        <v>0.38095095786267996</v>
      </c>
      <c r="AC74" s="4">
        <f t="shared" ca="1" si="24"/>
        <v>0.38666522224473204</v>
      </c>
      <c r="AD74" s="4">
        <f t="shared" ca="1" si="24"/>
        <v>0.39246520058109097</v>
      </c>
      <c r="AE74" s="4">
        <f t="shared" ca="1" si="24"/>
        <v>0.39835217856225535</v>
      </c>
      <c r="AF74" s="4">
        <f t="shared" ca="1" si="24"/>
        <v>0.40432746134619302</v>
      </c>
      <c r="AG74" s="4">
        <f t="shared" ca="1" si="24"/>
        <v>0.41039237317432203</v>
      </c>
      <c r="AH74" s="4">
        <f t="shared" ca="1" si="24"/>
        <v>0.41654825860460903</v>
      </c>
      <c r="AI74" s="4">
        <f t="shared" ca="1" si="24"/>
        <v>0.42279648267385384</v>
      </c>
      <c r="AJ74" s="4">
        <f t="shared" ca="1" si="24"/>
        <v>0.4291384298548257</v>
      </c>
      <c r="AK74" s="4">
        <f t="shared" ca="1" si="24"/>
        <v>0.4355755062435121</v>
      </c>
      <c r="AL74" s="4">
        <f t="shared" ca="1" si="24"/>
        <v>0.44210913892855658</v>
      </c>
      <c r="AM74" s="4">
        <f t="shared" ca="1" si="24"/>
        <v>0.44874077603734891</v>
      </c>
      <c r="AN74" s="4">
        <f t="shared" ca="1" si="24"/>
        <v>0.45547188759323726</v>
      </c>
      <c r="AO74" s="4">
        <f t="shared" ca="1" si="24"/>
        <v>0.4623039659743356</v>
      </c>
      <c r="AP74" s="4">
        <f t="shared" ca="1" si="24"/>
        <v>0.46923852543639866</v>
      </c>
      <c r="AQ74" s="4">
        <f t="shared" ca="1" si="24"/>
        <v>0.47627710325343264</v>
      </c>
      <c r="AR74" s="4">
        <f t="shared" ca="1" si="24"/>
        <v>0.48342125978812223</v>
      </c>
      <c r="AS74" s="4">
        <f t="shared" ca="1" si="24"/>
        <v>0</v>
      </c>
      <c r="AT74" s="4">
        <f t="shared" ca="1" si="24"/>
        <v>0</v>
      </c>
      <c r="AU74" s="4">
        <f t="shared" ca="1" si="24"/>
        <v>0</v>
      </c>
      <c r="AV74" s="4">
        <f t="shared" ca="1" si="24"/>
        <v>0</v>
      </c>
      <c r="AW74" s="4">
        <f t="shared" ca="1" si="24"/>
        <v>0</v>
      </c>
      <c r="AX74" s="4">
        <f t="shared" ca="1" si="24"/>
        <v>0</v>
      </c>
      <c r="AY74" s="4">
        <f t="shared" ca="1" si="24"/>
        <v>0</v>
      </c>
      <c r="AZ74" s="4">
        <f t="shared" ca="1" si="24"/>
        <v>0</v>
      </c>
      <c r="BA74" s="4">
        <f t="shared" ca="1" si="24"/>
        <v>0</v>
      </c>
      <c r="BB74" s="4">
        <f t="shared" ca="1" si="24"/>
        <v>0</v>
      </c>
      <c r="BC74" s="4">
        <f t="shared" ca="1" si="24"/>
        <v>0</v>
      </c>
      <c r="BD74" s="4">
        <f t="shared" ca="1" si="24"/>
        <v>0</v>
      </c>
      <c r="BE74" s="4">
        <f t="shared" ca="1" si="24"/>
        <v>0</v>
      </c>
      <c r="BF74" s="4">
        <f t="shared" ca="1" si="24"/>
        <v>0</v>
      </c>
      <c r="BG74" s="4">
        <f t="shared" ca="1" si="24"/>
        <v>0</v>
      </c>
      <c r="BH74" s="4">
        <f t="shared" ca="1" si="24"/>
        <v>0</v>
      </c>
      <c r="BI74" s="4">
        <f t="shared" ca="1" si="24"/>
        <v>0</v>
      </c>
      <c r="BJ74" s="4">
        <f t="shared" ca="1" si="24"/>
        <v>0</v>
      </c>
      <c r="BK74" s="4">
        <f t="shared" ca="1" si="24"/>
        <v>0</v>
      </c>
      <c r="BL74" s="4">
        <f t="shared" ca="1" si="24"/>
        <v>0</v>
      </c>
    </row>
    <row r="75" spans="1:64" x14ac:dyDescent="0.35">
      <c r="A75" s="1"/>
    </row>
    <row r="76" spans="1:64" x14ac:dyDescent="0.35">
      <c r="A76" s="1"/>
      <c r="C76" s="2" t="s">
        <v>106</v>
      </c>
      <c r="E76" s="12">
        <f t="shared" ref="E76:AJ76" si="25">$D$17/2</f>
        <v>5.0000000000000001E-3</v>
      </c>
      <c r="F76" s="12">
        <f t="shared" si="25"/>
        <v>5.0000000000000001E-3</v>
      </c>
      <c r="G76" s="12">
        <f t="shared" si="25"/>
        <v>5.0000000000000001E-3</v>
      </c>
      <c r="H76" s="12">
        <f t="shared" si="25"/>
        <v>5.0000000000000001E-3</v>
      </c>
      <c r="I76" s="12">
        <f t="shared" si="25"/>
        <v>5.0000000000000001E-3</v>
      </c>
      <c r="J76" s="12">
        <f t="shared" si="25"/>
        <v>5.0000000000000001E-3</v>
      </c>
      <c r="K76" s="12">
        <f t="shared" si="25"/>
        <v>5.0000000000000001E-3</v>
      </c>
      <c r="L76" s="12">
        <f t="shared" si="25"/>
        <v>5.0000000000000001E-3</v>
      </c>
      <c r="M76" s="12">
        <f t="shared" si="25"/>
        <v>5.0000000000000001E-3</v>
      </c>
      <c r="N76" s="12">
        <f t="shared" si="25"/>
        <v>5.0000000000000001E-3</v>
      </c>
      <c r="O76" s="12">
        <f t="shared" si="25"/>
        <v>5.0000000000000001E-3</v>
      </c>
      <c r="P76" s="12">
        <f t="shared" si="25"/>
        <v>5.0000000000000001E-3</v>
      </c>
      <c r="Q76" s="12">
        <f t="shared" si="25"/>
        <v>5.0000000000000001E-3</v>
      </c>
      <c r="R76" s="12">
        <f t="shared" si="25"/>
        <v>5.0000000000000001E-3</v>
      </c>
      <c r="S76" s="12">
        <f t="shared" si="25"/>
        <v>5.0000000000000001E-3</v>
      </c>
      <c r="T76" s="12">
        <f t="shared" si="25"/>
        <v>5.0000000000000001E-3</v>
      </c>
      <c r="U76" s="12">
        <f t="shared" si="25"/>
        <v>5.0000000000000001E-3</v>
      </c>
      <c r="V76" s="12">
        <f t="shared" si="25"/>
        <v>5.0000000000000001E-3</v>
      </c>
      <c r="W76" s="12">
        <f t="shared" si="25"/>
        <v>5.0000000000000001E-3</v>
      </c>
      <c r="X76" s="12">
        <f t="shared" si="25"/>
        <v>5.0000000000000001E-3</v>
      </c>
      <c r="Y76" s="12">
        <f t="shared" si="25"/>
        <v>5.0000000000000001E-3</v>
      </c>
      <c r="Z76" s="12">
        <f t="shared" si="25"/>
        <v>5.0000000000000001E-3</v>
      </c>
      <c r="AA76" s="12">
        <f t="shared" si="25"/>
        <v>5.0000000000000001E-3</v>
      </c>
      <c r="AB76" s="12">
        <f t="shared" si="25"/>
        <v>5.0000000000000001E-3</v>
      </c>
      <c r="AC76" s="12">
        <f t="shared" si="25"/>
        <v>5.0000000000000001E-3</v>
      </c>
      <c r="AD76" s="12">
        <f t="shared" si="25"/>
        <v>5.0000000000000001E-3</v>
      </c>
      <c r="AE76" s="12">
        <f t="shared" si="25"/>
        <v>5.0000000000000001E-3</v>
      </c>
      <c r="AF76" s="12">
        <f t="shared" si="25"/>
        <v>5.0000000000000001E-3</v>
      </c>
      <c r="AG76" s="12">
        <f t="shared" si="25"/>
        <v>5.0000000000000001E-3</v>
      </c>
      <c r="AH76" s="12">
        <f t="shared" si="25"/>
        <v>5.0000000000000001E-3</v>
      </c>
      <c r="AI76" s="12">
        <f t="shared" si="25"/>
        <v>5.0000000000000001E-3</v>
      </c>
      <c r="AJ76" s="12">
        <f t="shared" si="25"/>
        <v>5.0000000000000001E-3</v>
      </c>
      <c r="AK76" s="12">
        <f t="shared" ref="AK76:BL76" si="26">$D$17/2</f>
        <v>5.0000000000000001E-3</v>
      </c>
      <c r="AL76" s="12">
        <f t="shared" si="26"/>
        <v>5.0000000000000001E-3</v>
      </c>
      <c r="AM76" s="12">
        <f t="shared" si="26"/>
        <v>5.0000000000000001E-3</v>
      </c>
      <c r="AN76" s="12">
        <f t="shared" si="26"/>
        <v>5.0000000000000001E-3</v>
      </c>
      <c r="AO76" s="12">
        <f t="shared" si="26"/>
        <v>5.0000000000000001E-3</v>
      </c>
      <c r="AP76" s="12">
        <f t="shared" si="26"/>
        <v>5.0000000000000001E-3</v>
      </c>
      <c r="AQ76" s="12">
        <f t="shared" si="26"/>
        <v>5.0000000000000001E-3</v>
      </c>
      <c r="AR76" s="12">
        <f t="shared" si="26"/>
        <v>5.0000000000000001E-3</v>
      </c>
      <c r="AS76" s="12">
        <f t="shared" si="26"/>
        <v>5.0000000000000001E-3</v>
      </c>
      <c r="AT76" s="12">
        <f t="shared" si="26"/>
        <v>5.0000000000000001E-3</v>
      </c>
      <c r="AU76" s="12">
        <f t="shared" si="26"/>
        <v>5.0000000000000001E-3</v>
      </c>
      <c r="AV76" s="12">
        <f t="shared" si="26"/>
        <v>5.0000000000000001E-3</v>
      </c>
      <c r="AW76" s="12">
        <f t="shared" si="26"/>
        <v>5.0000000000000001E-3</v>
      </c>
      <c r="AX76" s="12">
        <f t="shared" si="26"/>
        <v>5.0000000000000001E-3</v>
      </c>
      <c r="AY76" s="12">
        <f t="shared" si="26"/>
        <v>5.0000000000000001E-3</v>
      </c>
      <c r="AZ76" s="12">
        <f t="shared" si="26"/>
        <v>5.0000000000000001E-3</v>
      </c>
      <c r="BA76" s="12">
        <f t="shared" si="26"/>
        <v>5.0000000000000001E-3</v>
      </c>
      <c r="BB76" s="12">
        <f t="shared" si="26"/>
        <v>5.0000000000000001E-3</v>
      </c>
      <c r="BC76" s="12">
        <f t="shared" si="26"/>
        <v>5.0000000000000001E-3</v>
      </c>
      <c r="BD76" s="12">
        <f t="shared" si="26"/>
        <v>5.0000000000000001E-3</v>
      </c>
      <c r="BE76" s="12">
        <f t="shared" si="26"/>
        <v>5.0000000000000001E-3</v>
      </c>
      <c r="BF76" s="12">
        <f t="shared" si="26"/>
        <v>5.0000000000000001E-3</v>
      </c>
      <c r="BG76" s="12">
        <f t="shared" si="26"/>
        <v>5.0000000000000001E-3</v>
      </c>
      <c r="BH76" s="12">
        <f t="shared" si="26"/>
        <v>5.0000000000000001E-3</v>
      </c>
      <c r="BI76" s="12">
        <f t="shared" si="26"/>
        <v>5.0000000000000001E-3</v>
      </c>
      <c r="BJ76" s="12">
        <f t="shared" si="26"/>
        <v>5.0000000000000001E-3</v>
      </c>
      <c r="BK76" s="12">
        <f t="shared" si="26"/>
        <v>5.0000000000000001E-3</v>
      </c>
      <c r="BL76" s="12">
        <f t="shared" si="26"/>
        <v>5.0000000000000001E-3</v>
      </c>
    </row>
    <row r="77" spans="1:64" x14ac:dyDescent="0.35">
      <c r="A77" s="1"/>
      <c r="C77" s="2" t="s">
        <v>107</v>
      </c>
      <c r="E77" s="4">
        <f t="shared" ref="E77:AJ77" ca="1" si="27">D68*E76</f>
        <v>0.55177086864548719</v>
      </c>
      <c r="F77" s="4">
        <f t="shared" ca="1" si="27"/>
        <v>0.56004743149104164</v>
      </c>
      <c r="G77" s="4">
        <f t="shared" ca="1" si="27"/>
        <v>0.56844814308705505</v>
      </c>
      <c r="H77" s="4">
        <f t="shared" ca="1" si="27"/>
        <v>0.57697486532609676</v>
      </c>
      <c r="I77" s="4">
        <f t="shared" ca="1" si="27"/>
        <v>0.58562948817696436</v>
      </c>
      <c r="J77" s="4">
        <f t="shared" ca="1" si="27"/>
        <v>0.59441393063939452</v>
      </c>
      <c r="K77" s="4">
        <f t="shared" ca="1" si="27"/>
        <v>0.60035806991622054</v>
      </c>
      <c r="L77" s="4">
        <f t="shared" ca="1" si="27"/>
        <v>0.60636165051592694</v>
      </c>
      <c r="M77" s="4">
        <f t="shared" ca="1" si="27"/>
        <v>0.61242526712860612</v>
      </c>
      <c r="N77" s="4">
        <f t="shared" ca="1" si="27"/>
        <v>0.61854951982408413</v>
      </c>
      <c r="O77" s="4">
        <f t="shared" ca="1" si="27"/>
        <v>0.62782776259859741</v>
      </c>
      <c r="P77" s="4">
        <f t="shared" ca="1" si="27"/>
        <v>0.63724517902951228</v>
      </c>
      <c r="Q77" s="4">
        <f t="shared" ca="1" si="27"/>
        <v>0.64680385644615523</v>
      </c>
      <c r="R77" s="4">
        <f t="shared" ca="1" si="27"/>
        <v>0.65650591442590345</v>
      </c>
      <c r="S77" s="4">
        <f t="shared" ca="1" si="27"/>
        <v>0.66635350311137986</v>
      </c>
      <c r="T77" s="4">
        <f t="shared" ca="1" si="27"/>
        <v>0.6763488058354582</v>
      </c>
      <c r="U77" s="4">
        <f t="shared" ca="1" si="27"/>
        <v>0.68649403772139039</v>
      </c>
      <c r="V77" s="4">
        <f t="shared" ca="1" si="27"/>
        <v>0.69679144859095465</v>
      </c>
      <c r="W77" s="4">
        <f t="shared" ca="1" si="27"/>
        <v>0.70724331996634748</v>
      </c>
      <c r="X77" s="4">
        <f t="shared" ca="1" si="27"/>
        <v>0.71785196987470645</v>
      </c>
      <c r="Y77" s="4">
        <f t="shared" ca="1" si="27"/>
        <v>0.72861974959620268</v>
      </c>
      <c r="Z77" s="4">
        <f t="shared" ca="1" si="27"/>
        <v>0.73954904579579384</v>
      </c>
      <c r="AA77" s="4">
        <f t="shared" ca="1" si="27"/>
        <v>0.75064228131876276</v>
      </c>
      <c r="AB77" s="4">
        <f t="shared" ca="1" si="27"/>
        <v>0.76190191572535992</v>
      </c>
      <c r="AC77" s="4">
        <f t="shared" ca="1" si="27"/>
        <v>0.77333044448946409</v>
      </c>
      <c r="AD77" s="4">
        <f t="shared" ca="1" si="27"/>
        <v>0.78493040116218193</v>
      </c>
      <c r="AE77" s="4">
        <f t="shared" ca="1" si="27"/>
        <v>0.79670435712451071</v>
      </c>
      <c r="AF77" s="4">
        <f t="shared" ca="1" si="27"/>
        <v>0.80865492269238604</v>
      </c>
      <c r="AG77" s="4">
        <f t="shared" ca="1" si="27"/>
        <v>0.82078474634864407</v>
      </c>
      <c r="AH77" s="4">
        <f t="shared" ca="1" si="27"/>
        <v>0.83309651720921807</v>
      </c>
      <c r="AI77" s="4">
        <f t="shared" ca="1" si="27"/>
        <v>0.84559296534770767</v>
      </c>
      <c r="AJ77" s="4">
        <f t="shared" ca="1" si="27"/>
        <v>0.8582768597096514</v>
      </c>
      <c r="AK77" s="4">
        <f t="shared" ref="AK77:BL77" ca="1" si="28">AJ68*AK76</f>
        <v>0.8711510124870242</v>
      </c>
      <c r="AL77" s="4">
        <f t="shared" ca="1" si="28"/>
        <v>0.88421827785711316</v>
      </c>
      <c r="AM77" s="4">
        <f t="shared" ca="1" si="28"/>
        <v>0.89748155207469782</v>
      </c>
      <c r="AN77" s="4">
        <f t="shared" ca="1" si="28"/>
        <v>0.91094377518647451</v>
      </c>
      <c r="AO77" s="4">
        <f t="shared" ca="1" si="28"/>
        <v>0.92460793194867119</v>
      </c>
      <c r="AP77" s="4">
        <f t="shared" ca="1" si="28"/>
        <v>0.93847705087279731</v>
      </c>
      <c r="AQ77" s="4">
        <f t="shared" ca="1" si="28"/>
        <v>0.95255420650686529</v>
      </c>
      <c r="AR77" s="4">
        <f t="shared" ca="1" si="28"/>
        <v>0.96684251957624445</v>
      </c>
      <c r="AS77" s="4">
        <f t="shared" ca="1" si="28"/>
        <v>0</v>
      </c>
      <c r="AT77" s="4">
        <f t="shared" ca="1" si="28"/>
        <v>0</v>
      </c>
      <c r="AU77" s="4">
        <f t="shared" ca="1" si="28"/>
        <v>0</v>
      </c>
      <c r="AV77" s="4">
        <f t="shared" ca="1" si="28"/>
        <v>0</v>
      </c>
      <c r="AW77" s="4">
        <f t="shared" ca="1" si="28"/>
        <v>0</v>
      </c>
      <c r="AX77" s="4">
        <f t="shared" ca="1" si="28"/>
        <v>0</v>
      </c>
      <c r="AY77" s="4">
        <f t="shared" ca="1" si="28"/>
        <v>0</v>
      </c>
      <c r="AZ77" s="4">
        <f t="shared" ca="1" si="28"/>
        <v>0</v>
      </c>
      <c r="BA77" s="4">
        <f t="shared" ca="1" si="28"/>
        <v>0</v>
      </c>
      <c r="BB77" s="4">
        <f t="shared" ca="1" si="28"/>
        <v>0</v>
      </c>
      <c r="BC77" s="4">
        <f t="shared" ca="1" si="28"/>
        <v>0</v>
      </c>
      <c r="BD77" s="4">
        <f t="shared" ca="1" si="28"/>
        <v>0</v>
      </c>
      <c r="BE77" s="4">
        <f t="shared" ca="1" si="28"/>
        <v>0</v>
      </c>
      <c r="BF77" s="4">
        <f t="shared" ca="1" si="28"/>
        <v>0</v>
      </c>
      <c r="BG77" s="4">
        <f t="shared" ca="1" si="28"/>
        <v>0</v>
      </c>
      <c r="BH77" s="4">
        <f t="shared" ca="1" si="28"/>
        <v>0</v>
      </c>
      <c r="BI77" s="4">
        <f t="shared" ca="1" si="28"/>
        <v>0</v>
      </c>
      <c r="BJ77" s="4">
        <f t="shared" ca="1" si="28"/>
        <v>0</v>
      </c>
      <c r="BK77" s="4">
        <f t="shared" ca="1" si="28"/>
        <v>0</v>
      </c>
      <c r="BL77" s="4">
        <f t="shared" ca="1" si="28"/>
        <v>0</v>
      </c>
    </row>
    <row r="78" spans="1:64" x14ac:dyDescent="0.35">
      <c r="A78" s="1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</row>
    <row r="79" spans="1:64" x14ac:dyDescent="0.35">
      <c r="A79" s="1"/>
      <c r="B79" s="2" t="s">
        <v>209</v>
      </c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</row>
    <row r="80" spans="1:64" x14ac:dyDescent="0.35">
      <c r="A80" s="1"/>
      <c r="C80" s="2" t="s">
        <v>83</v>
      </c>
      <c r="E80" s="61">
        <f t="array" ref="E80:BL85">sculpt_function(33:33,37:37,D16,D8,D25,42:42,D27,76:76,D12,D18)</f>
        <v>110.35417175292969</v>
      </c>
      <c r="F80" s="61">
        <v>110.35417175292969</v>
      </c>
      <c r="G80" s="61">
        <v>110.35417175292969</v>
      </c>
      <c r="H80" s="61">
        <v>110.35417175292969</v>
      </c>
      <c r="I80" s="61">
        <v>110.35417175292969</v>
      </c>
      <c r="J80" s="61">
        <v>110.35417175292969</v>
      </c>
      <c r="K80" s="61">
        <v>110.35417175292969</v>
      </c>
      <c r="L80" s="61">
        <v>110.35417175292969</v>
      </c>
      <c r="M80" s="61">
        <v>110.35417175292969</v>
      </c>
      <c r="N80" s="61">
        <v>110.35417175292969</v>
      </c>
      <c r="O80" s="61">
        <v>110.35417175292969</v>
      </c>
      <c r="P80" s="61">
        <v>110.35417175292969</v>
      </c>
      <c r="Q80" s="61">
        <v>110.35417175292969</v>
      </c>
      <c r="R80" s="61">
        <v>110.35417175292969</v>
      </c>
      <c r="S80" s="61">
        <v>110.35417175292969</v>
      </c>
      <c r="T80" s="61">
        <v>110.35417175292969</v>
      </c>
      <c r="U80" s="61">
        <v>110.35417175292969</v>
      </c>
      <c r="V80" s="61">
        <v>110.35417175292969</v>
      </c>
      <c r="W80" s="61">
        <v>110.35417175292969</v>
      </c>
      <c r="X80" s="61">
        <v>110.35417175292969</v>
      </c>
      <c r="Y80" s="61">
        <v>110.35417175292969</v>
      </c>
      <c r="Z80" s="61">
        <v>110.35417175292969</v>
      </c>
      <c r="AA80" s="61">
        <v>110.35417175292969</v>
      </c>
      <c r="AB80" s="61">
        <v>110.35417175292969</v>
      </c>
      <c r="AC80" s="61">
        <v>110.35417175292969</v>
      </c>
      <c r="AD80" s="61">
        <v>110.35417175292969</v>
      </c>
      <c r="AE80" s="61">
        <v>110.35417175292969</v>
      </c>
      <c r="AF80" s="61">
        <v>110.35417175292969</v>
      </c>
      <c r="AG80" s="61">
        <v>110.35417175292969</v>
      </c>
      <c r="AH80" s="61">
        <v>110.35417175292969</v>
      </c>
      <c r="AI80" s="61">
        <v>110.35417175292969</v>
      </c>
      <c r="AJ80" s="61">
        <v>110.35417175292969</v>
      </c>
      <c r="AK80" s="61">
        <v>110.35417175292969</v>
      </c>
      <c r="AL80" s="61">
        <v>110.35417175292969</v>
      </c>
      <c r="AM80" s="61">
        <v>110.35417175292969</v>
      </c>
      <c r="AN80" s="61">
        <v>110.35417175292969</v>
      </c>
      <c r="AO80" s="61">
        <v>110.35417175292969</v>
      </c>
      <c r="AP80" s="61">
        <v>110.35417175292969</v>
      </c>
      <c r="AQ80" s="61">
        <v>110.35417175292969</v>
      </c>
      <c r="AR80" s="61">
        <v>110.35417175292969</v>
      </c>
      <c r="AS80" s="61">
        <v>0</v>
      </c>
      <c r="AT80" s="61">
        <v>0</v>
      </c>
      <c r="AU80" s="61">
        <v>0</v>
      </c>
      <c r="AV80" s="61">
        <v>0</v>
      </c>
      <c r="AW80" s="61">
        <v>0</v>
      </c>
      <c r="AX80" s="61">
        <v>0</v>
      </c>
      <c r="AY80" s="61">
        <v>0</v>
      </c>
      <c r="AZ80" s="61">
        <v>0</v>
      </c>
      <c r="BA80" s="61">
        <v>0</v>
      </c>
      <c r="BB80" s="61">
        <v>0</v>
      </c>
      <c r="BC80" s="61">
        <v>0</v>
      </c>
      <c r="BD80" s="61">
        <v>0</v>
      </c>
      <c r="BE80" s="61">
        <v>0</v>
      </c>
      <c r="BF80" s="61">
        <v>0</v>
      </c>
      <c r="BG80" s="61">
        <v>0</v>
      </c>
      <c r="BH80" s="61">
        <v>0</v>
      </c>
      <c r="BI80" s="61">
        <v>0</v>
      </c>
      <c r="BJ80" s="61">
        <v>0</v>
      </c>
      <c r="BK80" s="61">
        <v>0</v>
      </c>
      <c r="BL80" s="61">
        <v>0</v>
      </c>
    </row>
    <row r="81" spans="1:64" x14ac:dyDescent="0.35">
      <c r="A81" s="1"/>
      <c r="C81" s="2" t="s">
        <v>148</v>
      </c>
      <c r="E81" s="61">
        <v>0.55177086591720581</v>
      </c>
      <c r="F81" s="61">
        <v>0.56004738807678223</v>
      </c>
      <c r="G81" s="61">
        <v>0.56844812631607056</v>
      </c>
      <c r="H81" s="61">
        <v>0.57697486877441406</v>
      </c>
      <c r="I81" s="61">
        <v>0.58562946319580078</v>
      </c>
      <c r="J81" s="61">
        <v>0.59441393613815308</v>
      </c>
      <c r="K81" s="61">
        <v>0.60035806894302368</v>
      </c>
      <c r="L81" s="61">
        <v>0.60636162757873535</v>
      </c>
      <c r="M81" s="61">
        <v>0.61242526769638062</v>
      </c>
      <c r="N81" s="61">
        <v>0.61854952573776245</v>
      </c>
      <c r="O81" s="61">
        <v>0.62782776355743408</v>
      </c>
      <c r="P81" s="61">
        <v>0.63724517822265625</v>
      </c>
      <c r="Q81" s="61">
        <v>0.64680379629135132</v>
      </c>
      <c r="R81" s="61">
        <v>0.65650588274002075</v>
      </c>
      <c r="S81" s="61">
        <v>0.66635346412658691</v>
      </c>
      <c r="T81" s="61">
        <v>0.67634880542755127</v>
      </c>
      <c r="U81" s="61">
        <v>0.68649399280548096</v>
      </c>
      <c r="V81" s="61">
        <v>0.69679147005081177</v>
      </c>
      <c r="W81" s="61">
        <v>0.70724326372146606</v>
      </c>
      <c r="X81" s="61">
        <v>0.71785193681716919</v>
      </c>
      <c r="Y81" s="61">
        <v>0.72861975431442261</v>
      </c>
      <c r="Z81" s="61">
        <v>0.73954904079437256</v>
      </c>
      <c r="AA81" s="61">
        <v>0.75064224004745483</v>
      </c>
      <c r="AB81" s="61">
        <v>0.76190191507339478</v>
      </c>
      <c r="AC81" s="61">
        <v>0.7733304500579834</v>
      </c>
      <c r="AD81" s="61">
        <v>0.78493040800094604</v>
      </c>
      <c r="AE81" s="61">
        <v>0.79670435190200806</v>
      </c>
      <c r="AF81" s="61">
        <v>0.80865496397018433</v>
      </c>
      <c r="AG81" s="61">
        <v>0.82078474760055542</v>
      </c>
      <c r="AH81" s="61">
        <v>0.83309644460678101</v>
      </c>
      <c r="AI81" s="61">
        <v>0.84559297561645508</v>
      </c>
      <c r="AJ81" s="61">
        <v>0.8582768440246582</v>
      </c>
      <c r="AK81" s="61">
        <v>0.87115097045898438</v>
      </c>
      <c r="AL81" s="61">
        <v>0.88421827554702759</v>
      </c>
      <c r="AM81" s="61">
        <v>0.89748156070709229</v>
      </c>
      <c r="AN81" s="61">
        <v>0.91094374656677246</v>
      </c>
      <c r="AO81" s="61">
        <v>0.92460793256759644</v>
      </c>
      <c r="AP81" s="61">
        <v>0.9384770393371582</v>
      </c>
      <c r="AQ81" s="61">
        <v>0.95255416631698608</v>
      </c>
      <c r="AR81" s="61">
        <v>0.96684247255325317</v>
      </c>
      <c r="AS81" s="61">
        <v>0</v>
      </c>
      <c r="AT81" s="61">
        <v>0</v>
      </c>
      <c r="AU81" s="61">
        <v>0</v>
      </c>
      <c r="AV81" s="61">
        <v>0</v>
      </c>
      <c r="AW81" s="61">
        <v>0</v>
      </c>
      <c r="AX81" s="61">
        <v>0</v>
      </c>
      <c r="AY81" s="61">
        <v>0</v>
      </c>
      <c r="AZ81" s="61">
        <v>0</v>
      </c>
      <c r="BA81" s="61">
        <v>0</v>
      </c>
      <c r="BB81" s="61">
        <v>0</v>
      </c>
      <c r="BC81" s="61">
        <v>0</v>
      </c>
      <c r="BD81" s="61">
        <v>0</v>
      </c>
      <c r="BE81" s="61">
        <v>0</v>
      </c>
      <c r="BF81" s="61">
        <v>0</v>
      </c>
      <c r="BG81" s="61">
        <v>0</v>
      </c>
      <c r="BH81" s="61">
        <v>0</v>
      </c>
      <c r="BI81" s="61">
        <v>0</v>
      </c>
      <c r="BJ81" s="61">
        <v>0</v>
      </c>
      <c r="BK81" s="61">
        <v>0</v>
      </c>
      <c r="BL81" s="61">
        <v>0</v>
      </c>
    </row>
    <row r="82" spans="1:64" x14ac:dyDescent="0.35">
      <c r="C82" s="2" t="s">
        <v>19</v>
      </c>
      <c r="E82" s="61">
        <v>110.35417175292969</v>
      </c>
      <c r="F82" s="61">
        <v>112.00948333740234</v>
      </c>
      <c r="G82" s="61">
        <v>113.68962860107422</v>
      </c>
      <c r="H82" s="61">
        <v>115.39497375488281</v>
      </c>
      <c r="I82" s="61">
        <v>117.12589263916016</v>
      </c>
      <c r="J82" s="61">
        <v>118.88278198242188</v>
      </c>
      <c r="K82" s="61">
        <v>120.07160949707031</v>
      </c>
      <c r="L82" s="61">
        <v>121.27232360839844</v>
      </c>
      <c r="M82" s="61">
        <v>122.48505401611328</v>
      </c>
      <c r="N82" s="61">
        <v>123.70989990234375</v>
      </c>
      <c r="O82" s="61">
        <v>125.5655517578125</v>
      </c>
      <c r="P82" s="61">
        <v>127.44903564453125</v>
      </c>
      <c r="Q82" s="61">
        <v>129.36076354980469</v>
      </c>
      <c r="R82" s="61">
        <v>131.30117797851563</v>
      </c>
      <c r="S82" s="61">
        <v>133.27069091796875</v>
      </c>
      <c r="T82" s="61">
        <v>135.26976013183594</v>
      </c>
      <c r="U82" s="61">
        <v>137.29879760742188</v>
      </c>
      <c r="V82" s="61">
        <v>139.35829162597656</v>
      </c>
      <c r="W82" s="61">
        <v>141.44865417480469</v>
      </c>
      <c r="X82" s="61">
        <v>143.57038879394531</v>
      </c>
      <c r="Y82" s="61">
        <v>145.72395324707031</v>
      </c>
      <c r="Z82" s="61">
        <v>147.90980529785156</v>
      </c>
      <c r="AA82" s="61">
        <v>150.12844848632813</v>
      </c>
      <c r="AB82" s="61">
        <v>152.38038635253906</v>
      </c>
      <c r="AC82" s="61">
        <v>154.66609191894531</v>
      </c>
      <c r="AD82" s="61">
        <v>156.986083984375</v>
      </c>
      <c r="AE82" s="61">
        <v>159.34086608886719</v>
      </c>
      <c r="AF82" s="61">
        <v>161.73098754882813</v>
      </c>
      <c r="AG82" s="61">
        <v>164.15695190429688</v>
      </c>
      <c r="AH82" s="61">
        <v>166.61929321289063</v>
      </c>
      <c r="AI82" s="61">
        <v>169.11859130859375</v>
      </c>
      <c r="AJ82" s="61">
        <v>171.65536499023438</v>
      </c>
      <c r="AK82" s="61">
        <v>174.23019409179688</v>
      </c>
      <c r="AL82" s="61">
        <v>176.84365844726563</v>
      </c>
      <c r="AM82" s="61">
        <v>179.49630737304688</v>
      </c>
      <c r="AN82" s="61">
        <v>182.18875122070313</v>
      </c>
      <c r="AO82" s="61">
        <v>184.92158508300781</v>
      </c>
      <c r="AP82" s="61">
        <v>187.69540405273438</v>
      </c>
      <c r="AQ82" s="61">
        <v>190.51083374023438</v>
      </c>
      <c r="AR82" s="61">
        <v>193.36849975585938</v>
      </c>
      <c r="AS82" s="61">
        <v>0</v>
      </c>
      <c r="AT82" s="61">
        <v>0</v>
      </c>
      <c r="AU82" s="61">
        <v>0</v>
      </c>
      <c r="AV82" s="61">
        <v>0</v>
      </c>
      <c r="AW82" s="61">
        <v>0</v>
      </c>
      <c r="AX82" s="61">
        <v>0</v>
      </c>
      <c r="AY82" s="61">
        <v>0</v>
      </c>
      <c r="AZ82" s="61">
        <v>0</v>
      </c>
      <c r="BA82" s="61">
        <v>0</v>
      </c>
      <c r="BB82" s="61">
        <v>0</v>
      </c>
      <c r="BC82" s="61">
        <v>0</v>
      </c>
      <c r="BD82" s="61">
        <v>0</v>
      </c>
      <c r="BE82" s="61">
        <v>0</v>
      </c>
      <c r="BF82" s="61">
        <v>0</v>
      </c>
      <c r="BG82" s="61">
        <v>0</v>
      </c>
      <c r="BH82" s="61">
        <v>0</v>
      </c>
      <c r="BI82" s="61">
        <v>0</v>
      </c>
      <c r="BJ82" s="61">
        <v>0</v>
      </c>
      <c r="BK82" s="61">
        <v>0</v>
      </c>
      <c r="BL82" s="61">
        <v>0</v>
      </c>
    </row>
    <row r="83" spans="1:64" x14ac:dyDescent="0.35">
      <c r="C83" s="2" t="s">
        <v>171</v>
      </c>
      <c r="D83" s="4"/>
      <c r="E83" s="61">
        <v>0</v>
      </c>
      <c r="F83" s="61">
        <v>0</v>
      </c>
      <c r="G83" s="61">
        <v>0</v>
      </c>
      <c r="H83" s="61">
        <v>0</v>
      </c>
      <c r="I83" s="61">
        <v>0</v>
      </c>
      <c r="J83" s="61">
        <v>0</v>
      </c>
      <c r="K83" s="61">
        <v>0</v>
      </c>
      <c r="L83" s="61">
        <v>0</v>
      </c>
      <c r="M83" s="61">
        <v>0</v>
      </c>
      <c r="N83" s="61">
        <v>0</v>
      </c>
      <c r="O83" s="61">
        <v>0</v>
      </c>
      <c r="P83" s="61">
        <v>0</v>
      </c>
      <c r="Q83" s="61">
        <v>0</v>
      </c>
      <c r="R83" s="61">
        <v>0</v>
      </c>
      <c r="S83" s="61">
        <v>0</v>
      </c>
      <c r="T83" s="61">
        <v>0</v>
      </c>
      <c r="U83" s="61">
        <v>0</v>
      </c>
      <c r="V83" s="61">
        <v>0</v>
      </c>
      <c r="W83" s="61">
        <v>0</v>
      </c>
      <c r="X83" s="61">
        <v>0</v>
      </c>
      <c r="Y83" s="61">
        <v>0</v>
      </c>
      <c r="Z83" s="61">
        <v>0</v>
      </c>
      <c r="AA83" s="61">
        <v>0</v>
      </c>
      <c r="AB83" s="61">
        <v>0</v>
      </c>
      <c r="AC83" s="61">
        <v>0</v>
      </c>
      <c r="AD83" s="61">
        <v>0</v>
      </c>
      <c r="AE83" s="61">
        <v>0</v>
      </c>
      <c r="AF83" s="61">
        <v>0</v>
      </c>
      <c r="AG83" s="61">
        <v>0</v>
      </c>
      <c r="AH83" s="61">
        <v>0</v>
      </c>
      <c r="AI83" s="61">
        <v>0</v>
      </c>
      <c r="AJ83" s="61">
        <v>0</v>
      </c>
      <c r="AK83" s="61">
        <v>0</v>
      </c>
      <c r="AL83" s="61">
        <v>0</v>
      </c>
      <c r="AM83" s="61">
        <v>0</v>
      </c>
      <c r="AN83" s="61">
        <v>0</v>
      </c>
      <c r="AO83" s="61">
        <v>0</v>
      </c>
      <c r="AP83" s="61">
        <v>0</v>
      </c>
      <c r="AQ83" s="61">
        <v>0</v>
      </c>
      <c r="AR83" s="61">
        <v>0</v>
      </c>
      <c r="AS83" s="61">
        <v>0</v>
      </c>
      <c r="AT83" s="61">
        <v>0</v>
      </c>
      <c r="AU83" s="61">
        <v>0</v>
      </c>
      <c r="AV83" s="61">
        <v>0</v>
      </c>
      <c r="AW83" s="61">
        <v>0</v>
      </c>
      <c r="AX83" s="61">
        <v>0</v>
      </c>
      <c r="AY83" s="61">
        <v>0</v>
      </c>
      <c r="AZ83" s="61">
        <v>0</v>
      </c>
      <c r="BA83" s="61">
        <v>0</v>
      </c>
      <c r="BB83" s="61">
        <v>0</v>
      </c>
      <c r="BC83" s="61">
        <v>0</v>
      </c>
      <c r="BD83" s="61">
        <v>0</v>
      </c>
      <c r="BE83" s="61">
        <v>0</v>
      </c>
      <c r="BF83" s="61">
        <v>0</v>
      </c>
      <c r="BG83" s="61">
        <v>0</v>
      </c>
      <c r="BH83" s="61">
        <v>0</v>
      </c>
      <c r="BI83" s="61">
        <v>0</v>
      </c>
      <c r="BJ83" s="61">
        <v>0</v>
      </c>
      <c r="BK83" s="61">
        <v>0</v>
      </c>
      <c r="BL83" s="60">
        <v>0</v>
      </c>
    </row>
    <row r="84" spans="1:64" x14ac:dyDescent="0.35">
      <c r="C84" s="2" t="s">
        <v>350</v>
      </c>
      <c r="D84" s="4"/>
      <c r="E84" s="61">
        <v>0</v>
      </c>
      <c r="F84" s="61">
        <v>0</v>
      </c>
      <c r="G84" s="61">
        <v>0</v>
      </c>
      <c r="H84" s="61">
        <v>0</v>
      </c>
      <c r="I84" s="61">
        <v>0</v>
      </c>
      <c r="J84" s="61">
        <v>0</v>
      </c>
      <c r="K84" s="61">
        <v>0</v>
      </c>
      <c r="L84" s="61">
        <v>0</v>
      </c>
      <c r="M84" s="61">
        <v>0</v>
      </c>
      <c r="N84" s="61">
        <v>0</v>
      </c>
      <c r="O84" s="61">
        <v>0</v>
      </c>
      <c r="P84" s="61">
        <v>0</v>
      </c>
      <c r="Q84" s="61">
        <v>0</v>
      </c>
      <c r="R84" s="61">
        <v>0</v>
      </c>
      <c r="S84" s="61">
        <v>0</v>
      </c>
      <c r="T84" s="61">
        <v>0</v>
      </c>
      <c r="U84" s="61">
        <v>0</v>
      </c>
      <c r="V84" s="61">
        <v>0</v>
      </c>
      <c r="W84" s="61">
        <v>0</v>
      </c>
      <c r="X84" s="61">
        <v>0</v>
      </c>
      <c r="Y84" s="61">
        <v>0</v>
      </c>
      <c r="Z84" s="61">
        <v>0</v>
      </c>
      <c r="AA84" s="61">
        <v>0</v>
      </c>
      <c r="AB84" s="61">
        <v>0</v>
      </c>
      <c r="AC84" s="61">
        <v>0</v>
      </c>
      <c r="AD84" s="61">
        <v>0</v>
      </c>
      <c r="AE84" s="61">
        <v>0</v>
      </c>
      <c r="AF84" s="61">
        <v>0</v>
      </c>
      <c r="AG84" s="61">
        <v>0</v>
      </c>
      <c r="AH84" s="61">
        <v>0</v>
      </c>
      <c r="AI84" s="61">
        <v>0</v>
      </c>
      <c r="AJ84" s="61">
        <v>0</v>
      </c>
      <c r="AK84" s="61">
        <v>0</v>
      </c>
      <c r="AL84" s="61">
        <v>0</v>
      </c>
      <c r="AM84" s="61">
        <v>0</v>
      </c>
      <c r="AN84" s="61">
        <v>0</v>
      </c>
      <c r="AO84" s="61">
        <v>0</v>
      </c>
      <c r="AP84" s="61">
        <v>0</v>
      </c>
      <c r="AQ84" s="61">
        <v>0</v>
      </c>
      <c r="AR84" s="61">
        <v>0</v>
      </c>
      <c r="AS84" s="61">
        <v>0</v>
      </c>
      <c r="AT84" s="61">
        <v>0</v>
      </c>
      <c r="AU84" s="61">
        <v>0</v>
      </c>
      <c r="AV84" s="61">
        <v>0</v>
      </c>
      <c r="AW84" s="61">
        <v>0</v>
      </c>
      <c r="AX84" s="61">
        <v>0</v>
      </c>
      <c r="AY84" s="61">
        <v>0</v>
      </c>
      <c r="AZ84" s="61">
        <v>0</v>
      </c>
      <c r="BA84" s="61">
        <v>0</v>
      </c>
      <c r="BB84" s="61">
        <v>0</v>
      </c>
      <c r="BC84" s="61">
        <v>0</v>
      </c>
      <c r="BD84" s="61">
        <v>0</v>
      </c>
      <c r="BE84" s="61">
        <v>0</v>
      </c>
      <c r="BF84" s="61">
        <v>0</v>
      </c>
      <c r="BG84" s="61">
        <v>0</v>
      </c>
      <c r="BH84" s="61">
        <v>0</v>
      </c>
      <c r="BI84" s="61">
        <v>0</v>
      </c>
      <c r="BJ84" s="61">
        <v>0</v>
      </c>
      <c r="BK84" s="61">
        <v>0</v>
      </c>
      <c r="BL84" s="60">
        <v>0</v>
      </c>
    </row>
    <row r="85" spans="1:64" x14ac:dyDescent="0.35">
      <c r="C85" s="2" t="s">
        <v>349</v>
      </c>
      <c r="D85" s="4"/>
      <c r="E85" s="61">
        <v>1.1087190403699103</v>
      </c>
      <c r="F85" s="61">
        <v>1.1087190403699103</v>
      </c>
      <c r="G85" s="61">
        <v>1.1087190403699103</v>
      </c>
      <c r="H85" s="61">
        <v>1.1087190403699103</v>
      </c>
      <c r="I85" s="61">
        <v>1.1087190403699103</v>
      </c>
      <c r="J85" s="61">
        <v>1.1087190403699103</v>
      </c>
      <c r="K85" s="61">
        <v>1.1087190403699103</v>
      </c>
      <c r="L85" s="61">
        <v>1.1087190403699103</v>
      </c>
      <c r="M85" s="61">
        <v>1.1087190403699103</v>
      </c>
      <c r="N85" s="61">
        <v>1.1087190403699103</v>
      </c>
      <c r="O85" s="61">
        <v>1.1087190403699103</v>
      </c>
      <c r="P85" s="61">
        <v>1.1087190403699103</v>
      </c>
      <c r="Q85" s="61">
        <v>1.1087190403699103</v>
      </c>
      <c r="R85" s="61">
        <v>1.1087190403699103</v>
      </c>
      <c r="S85" s="61">
        <v>1.1087190403699103</v>
      </c>
      <c r="T85" s="61">
        <v>1.1087190403699103</v>
      </c>
      <c r="U85" s="61">
        <v>1.1087190403699103</v>
      </c>
      <c r="V85" s="61">
        <v>1.1087190403699103</v>
      </c>
      <c r="W85" s="61">
        <v>1.1087190403699103</v>
      </c>
      <c r="X85" s="61">
        <v>1.1087190403699103</v>
      </c>
      <c r="Y85" s="61">
        <v>1.1087190403699103</v>
      </c>
      <c r="Z85" s="61">
        <v>1.1087190403699103</v>
      </c>
      <c r="AA85" s="61">
        <v>1.1087190403699103</v>
      </c>
      <c r="AB85" s="61">
        <v>1.1087190403699103</v>
      </c>
      <c r="AC85" s="61">
        <v>1.1087190403699103</v>
      </c>
      <c r="AD85" s="61">
        <v>1.1087190403699103</v>
      </c>
      <c r="AE85" s="61">
        <v>1.1087190403699103</v>
      </c>
      <c r="AF85" s="61">
        <v>1.1087190403699103</v>
      </c>
      <c r="AG85" s="61">
        <v>1.1087190403699103</v>
      </c>
      <c r="AH85" s="61">
        <v>1.1087190403699103</v>
      </c>
      <c r="AI85" s="61">
        <v>1.1087190403699103</v>
      </c>
      <c r="AJ85" s="61">
        <v>1.1087190403699103</v>
      </c>
      <c r="AK85" s="61">
        <v>1.1087190403699103</v>
      </c>
      <c r="AL85" s="61">
        <v>1.1087190403699103</v>
      </c>
      <c r="AM85" s="61">
        <v>1.1087190403699103</v>
      </c>
      <c r="AN85" s="61">
        <v>1.1087190403699103</v>
      </c>
      <c r="AO85" s="61">
        <v>1.1087190403699103</v>
      </c>
      <c r="AP85" s="61">
        <v>1.1087190403699103</v>
      </c>
      <c r="AQ85" s="61">
        <v>1.1087190403699103</v>
      </c>
      <c r="AR85" s="61">
        <v>1.1087190403699103</v>
      </c>
      <c r="AS85" s="61">
        <v>0</v>
      </c>
      <c r="AT85" s="61">
        <v>0</v>
      </c>
      <c r="AU85" s="61">
        <v>0</v>
      </c>
      <c r="AV85" s="61">
        <v>0</v>
      </c>
      <c r="AW85" s="61">
        <v>0</v>
      </c>
      <c r="AX85" s="61">
        <v>0</v>
      </c>
      <c r="AY85" s="61">
        <v>0</v>
      </c>
      <c r="AZ85" s="61">
        <v>0</v>
      </c>
      <c r="BA85" s="61">
        <v>0</v>
      </c>
      <c r="BB85" s="61">
        <v>0</v>
      </c>
      <c r="BC85" s="61">
        <v>0</v>
      </c>
      <c r="BD85" s="61">
        <v>0</v>
      </c>
      <c r="BE85" s="61">
        <v>0</v>
      </c>
      <c r="BF85" s="61">
        <v>0</v>
      </c>
      <c r="BG85" s="61">
        <v>0</v>
      </c>
      <c r="BH85" s="61">
        <v>0</v>
      </c>
      <c r="BI85" s="61">
        <v>0</v>
      </c>
      <c r="BJ85" s="61">
        <v>0</v>
      </c>
      <c r="BK85" s="61">
        <v>0</v>
      </c>
      <c r="BL85" s="60">
        <v>0</v>
      </c>
    </row>
    <row r="86" spans="1:64" ht="15" thickBot="1" x14ac:dyDescent="0.4">
      <c r="A86" s="1"/>
    </row>
    <row r="87" spans="1:64" ht="15" thickBot="1" x14ac:dyDescent="0.4">
      <c r="A87" s="1"/>
      <c r="C87" s="2" t="s">
        <v>94</v>
      </c>
      <c r="D87" s="33">
        <f>I26</f>
        <v>0</v>
      </c>
      <c r="E87" s="4">
        <f t="shared" ref="E87:AJ87" si="29">E33*E39</f>
        <v>122.35177086591719</v>
      </c>
      <c r="F87" s="4">
        <f t="shared" si="29"/>
        <v>124.18704738807675</v>
      </c>
      <c r="G87" s="4">
        <f t="shared" si="29"/>
        <v>126.04985312631602</v>
      </c>
      <c r="H87" s="4">
        <f t="shared" si="29"/>
        <v>127.94060094377436</v>
      </c>
      <c r="I87" s="4">
        <f t="shared" si="29"/>
        <v>129.85970992932073</v>
      </c>
      <c r="J87" s="4">
        <f t="shared" si="29"/>
        <v>131.80760560925495</v>
      </c>
      <c r="K87" s="4">
        <f t="shared" si="29"/>
        <v>133.125681658791</v>
      </c>
      <c r="L87" s="4">
        <f t="shared" si="29"/>
        <v>134.45693845332519</v>
      </c>
      <c r="M87" s="4">
        <f t="shared" si="29"/>
        <v>135.80150786170032</v>
      </c>
      <c r="N87" s="4">
        <f t="shared" si="29"/>
        <v>137.15952294568174</v>
      </c>
      <c r="O87" s="4">
        <f t="shared" si="29"/>
        <v>139.21691578480056</v>
      </c>
      <c r="P87" s="4">
        <f t="shared" si="29"/>
        <v>141.30516951978441</v>
      </c>
      <c r="Q87" s="4">
        <f t="shared" si="29"/>
        <v>143.42474700297652</v>
      </c>
      <c r="R87" s="4">
        <f t="shared" si="29"/>
        <v>145.57611823752546</v>
      </c>
      <c r="S87" s="4">
        <f t="shared" si="29"/>
        <v>147.75976000423378</v>
      </c>
      <c r="T87" s="4">
        <f t="shared" si="29"/>
        <v>149.97615644363634</v>
      </c>
      <c r="U87" s="4">
        <f t="shared" si="29"/>
        <v>152.22579874558738</v>
      </c>
      <c r="V87" s="4">
        <f t="shared" si="29"/>
        <v>154.50918579412442</v>
      </c>
      <c r="W87" s="4">
        <f t="shared" si="29"/>
        <v>156.82682350265617</v>
      </c>
      <c r="X87" s="4">
        <f t="shared" si="29"/>
        <v>159.17922587933589</v>
      </c>
      <c r="Y87" s="4">
        <f t="shared" si="29"/>
        <v>161.5669143059709</v>
      </c>
      <c r="Z87" s="4">
        <f t="shared" si="29"/>
        <v>163.99041801072568</v>
      </c>
      <c r="AA87" s="4">
        <f t="shared" si="29"/>
        <v>166.45027424452772</v>
      </c>
      <c r="AB87" s="4">
        <f t="shared" si="29"/>
        <v>168.94702839962085</v>
      </c>
      <c r="AC87" s="4">
        <f t="shared" si="29"/>
        <v>171.48123383187362</v>
      </c>
      <c r="AD87" s="4">
        <f t="shared" si="29"/>
        <v>174.0534523405438</v>
      </c>
      <c r="AE87" s="4">
        <f t="shared" si="29"/>
        <v>176.66425411343297</v>
      </c>
      <c r="AF87" s="4">
        <f t="shared" si="29"/>
        <v>179.31421797192411</v>
      </c>
      <c r="AG87" s="4">
        <f t="shared" si="29"/>
        <v>182.00393120067378</v>
      </c>
      <c r="AH87" s="4">
        <f t="shared" si="29"/>
        <v>184.73399009447607</v>
      </c>
      <c r="AI87" s="4">
        <f t="shared" si="29"/>
        <v>187.50500003023376</v>
      </c>
      <c r="AJ87" s="4">
        <f t="shared" si="29"/>
        <v>190.31757500446119</v>
      </c>
      <c r="AK87" s="4">
        <f t="shared" ref="AK87:BL87" si="30">AK33*AK39</f>
        <v>193.17233860330205</v>
      </c>
      <c r="AL87" s="4">
        <f t="shared" si="30"/>
        <v>196.06992372288272</v>
      </c>
      <c r="AM87" s="4">
        <f t="shared" si="30"/>
        <v>199.01097258975281</v>
      </c>
      <c r="AN87" s="4">
        <f t="shared" si="30"/>
        <v>201.99613714104817</v>
      </c>
      <c r="AO87" s="4">
        <f t="shared" si="30"/>
        <v>205.02607922796619</v>
      </c>
      <c r="AP87" s="4">
        <f t="shared" si="30"/>
        <v>208.10147040416672</v>
      </c>
      <c r="AQ87" s="4">
        <f t="shared" si="30"/>
        <v>211.22299243161896</v>
      </c>
      <c r="AR87" s="4">
        <f t="shared" si="30"/>
        <v>214.39133731183475</v>
      </c>
      <c r="AS87" s="4">
        <f t="shared" si="30"/>
        <v>0</v>
      </c>
      <c r="AT87" s="4">
        <f t="shared" si="30"/>
        <v>0</v>
      </c>
      <c r="AU87" s="4">
        <f t="shared" si="30"/>
        <v>0</v>
      </c>
      <c r="AV87" s="4">
        <f t="shared" si="30"/>
        <v>0</v>
      </c>
      <c r="AW87" s="4">
        <f t="shared" si="30"/>
        <v>0</v>
      </c>
      <c r="AX87" s="4">
        <f t="shared" si="30"/>
        <v>0</v>
      </c>
      <c r="AY87" s="4">
        <f t="shared" si="30"/>
        <v>0</v>
      </c>
      <c r="AZ87" s="4">
        <f t="shared" si="30"/>
        <v>0</v>
      </c>
      <c r="BA87" s="4">
        <f t="shared" si="30"/>
        <v>0</v>
      </c>
      <c r="BB87" s="4">
        <f t="shared" si="30"/>
        <v>0</v>
      </c>
      <c r="BC87" s="4">
        <f t="shared" si="30"/>
        <v>0</v>
      </c>
      <c r="BD87" s="4">
        <f t="shared" si="30"/>
        <v>0</v>
      </c>
      <c r="BE87" s="4">
        <f t="shared" si="30"/>
        <v>0</v>
      </c>
      <c r="BF87" s="4">
        <f t="shared" si="30"/>
        <v>0</v>
      </c>
      <c r="BG87" s="4">
        <f t="shared" si="30"/>
        <v>0</v>
      </c>
      <c r="BH87" s="4">
        <f t="shared" si="30"/>
        <v>0</v>
      </c>
      <c r="BI87" s="4">
        <f t="shared" si="30"/>
        <v>0</v>
      </c>
      <c r="BJ87" s="4">
        <f t="shared" si="30"/>
        <v>0</v>
      </c>
      <c r="BK87" s="4">
        <f t="shared" si="30"/>
        <v>0</v>
      </c>
      <c r="BL87" s="4">
        <f t="shared" si="30"/>
        <v>0</v>
      </c>
    </row>
    <row r="88" spans="1:64" x14ac:dyDescent="0.35">
      <c r="A88" s="1"/>
      <c r="D88" s="12"/>
    </row>
    <row r="89" spans="1:64" x14ac:dyDescent="0.35">
      <c r="A89" s="1"/>
      <c r="C89" s="2" t="s">
        <v>104</v>
      </c>
      <c r="D89" s="12"/>
      <c r="E89" s="4">
        <f t="shared" ref="E89:AJ89" si="31">E37</f>
        <v>121.79999999999998</v>
      </c>
      <c r="F89" s="4">
        <f t="shared" si="31"/>
        <v>123.62699999999997</v>
      </c>
      <c r="G89" s="4">
        <f t="shared" si="31"/>
        <v>125.48140499999995</v>
      </c>
      <c r="H89" s="4">
        <f t="shared" si="31"/>
        <v>127.36362607499994</v>
      </c>
      <c r="I89" s="4">
        <f t="shared" si="31"/>
        <v>129.27408046612493</v>
      </c>
      <c r="J89" s="4">
        <f t="shared" si="31"/>
        <v>131.2131916731168</v>
      </c>
      <c r="K89" s="4">
        <f t="shared" si="31"/>
        <v>132.52532358984797</v>
      </c>
      <c r="L89" s="4">
        <f t="shared" si="31"/>
        <v>133.85057682574646</v>
      </c>
      <c r="M89" s="4">
        <f t="shared" si="31"/>
        <v>135.18908259400393</v>
      </c>
      <c r="N89" s="4">
        <f t="shared" si="31"/>
        <v>136.54097341994398</v>
      </c>
      <c r="O89" s="4">
        <f t="shared" si="31"/>
        <v>138.58908802124313</v>
      </c>
      <c r="P89" s="4">
        <f t="shared" si="31"/>
        <v>140.66792434156176</v>
      </c>
      <c r="Q89" s="4">
        <f t="shared" si="31"/>
        <v>142.77794320668517</v>
      </c>
      <c r="R89" s="4">
        <f t="shared" si="31"/>
        <v>144.91961235478544</v>
      </c>
      <c r="S89" s="4">
        <f t="shared" si="31"/>
        <v>147.0934065401072</v>
      </c>
      <c r="T89" s="4">
        <f t="shared" si="31"/>
        <v>149.29980763820879</v>
      </c>
      <c r="U89" s="4">
        <f t="shared" si="31"/>
        <v>151.5393047527819</v>
      </c>
      <c r="V89" s="4">
        <f t="shared" si="31"/>
        <v>153.81239432407361</v>
      </c>
      <c r="W89" s="4">
        <f t="shared" si="31"/>
        <v>156.1195802389347</v>
      </c>
      <c r="X89" s="4">
        <f t="shared" si="31"/>
        <v>158.46137394251872</v>
      </c>
      <c r="Y89" s="4">
        <f t="shared" si="31"/>
        <v>160.83829455165647</v>
      </c>
      <c r="Z89" s="4">
        <f t="shared" si="31"/>
        <v>163.2508689699313</v>
      </c>
      <c r="AA89" s="4">
        <f t="shared" si="31"/>
        <v>165.69963200448026</v>
      </c>
      <c r="AB89" s="4">
        <f t="shared" si="31"/>
        <v>168.18512648454745</v>
      </c>
      <c r="AC89" s="4">
        <f t="shared" si="31"/>
        <v>170.70790338181564</v>
      </c>
      <c r="AD89" s="4">
        <f t="shared" si="31"/>
        <v>173.26852193254285</v>
      </c>
      <c r="AE89" s="4">
        <f t="shared" si="31"/>
        <v>175.86754976153097</v>
      </c>
      <c r="AF89" s="4">
        <f t="shared" si="31"/>
        <v>178.50556300795392</v>
      </c>
      <c r="AG89" s="4">
        <f t="shared" si="31"/>
        <v>181.18314645307322</v>
      </c>
      <c r="AH89" s="4">
        <f t="shared" si="31"/>
        <v>183.90089364986929</v>
      </c>
      <c r="AI89" s="4">
        <f t="shared" si="31"/>
        <v>186.6594070546173</v>
      </c>
      <c r="AJ89" s="4">
        <f t="shared" si="31"/>
        <v>189.45929816043653</v>
      </c>
      <c r="AK89" s="4">
        <f t="shared" ref="AK89:BL89" si="32">AK37</f>
        <v>192.30118763284307</v>
      </c>
      <c r="AL89" s="4">
        <f t="shared" si="32"/>
        <v>195.18570544733569</v>
      </c>
      <c r="AM89" s="4">
        <f t="shared" si="32"/>
        <v>198.11349102904572</v>
      </c>
      <c r="AN89" s="4">
        <f t="shared" si="32"/>
        <v>201.08519339448139</v>
      </c>
      <c r="AO89" s="4">
        <f t="shared" si="32"/>
        <v>204.1014712953986</v>
      </c>
      <c r="AP89" s="4">
        <f t="shared" si="32"/>
        <v>207.16299336482956</v>
      </c>
      <c r="AQ89" s="4">
        <f t="shared" si="32"/>
        <v>210.27043826530198</v>
      </c>
      <c r="AR89" s="4">
        <f t="shared" si="32"/>
        <v>213.42449483928149</v>
      </c>
      <c r="AS89" s="4">
        <f t="shared" si="32"/>
        <v>216.62586226187071</v>
      </c>
      <c r="AT89" s="4">
        <f t="shared" si="32"/>
        <v>219.87525019579874</v>
      </c>
      <c r="AU89" s="4">
        <f t="shared" si="32"/>
        <v>223.17337894873569</v>
      </c>
      <c r="AV89" s="4">
        <f t="shared" si="32"/>
        <v>226.52097963296671</v>
      </c>
      <c r="AW89" s="4">
        <f t="shared" si="32"/>
        <v>229.9187943274612</v>
      </c>
      <c r="AX89" s="4">
        <f t="shared" si="32"/>
        <v>233.3675762423731</v>
      </c>
      <c r="AY89" s="4">
        <f t="shared" si="32"/>
        <v>236.86808988600868</v>
      </c>
      <c r="AZ89" s="4">
        <f t="shared" si="32"/>
        <v>240.42111123429879</v>
      </c>
      <c r="BA89" s="4">
        <f t="shared" si="32"/>
        <v>244.02742790281326</v>
      </c>
      <c r="BB89" s="4">
        <f t="shared" si="32"/>
        <v>247.68783932135543</v>
      </c>
      <c r="BC89" s="4">
        <f t="shared" si="32"/>
        <v>251.40315691117573</v>
      </c>
      <c r="BD89" s="4">
        <f t="shared" si="32"/>
        <v>255.17420426484333</v>
      </c>
      <c r="BE89" s="4">
        <f t="shared" si="32"/>
        <v>259.00181732881595</v>
      </c>
      <c r="BF89" s="4">
        <f t="shared" si="32"/>
        <v>262.88684458874815</v>
      </c>
      <c r="BG89" s="4">
        <f t="shared" si="32"/>
        <v>266.83014725757937</v>
      </c>
      <c r="BH89" s="4">
        <f t="shared" si="32"/>
        <v>270.83259946644301</v>
      </c>
      <c r="BI89" s="4">
        <f t="shared" si="32"/>
        <v>274.89508845843966</v>
      </c>
      <c r="BJ89" s="4">
        <f t="shared" si="32"/>
        <v>279.0185147853162</v>
      </c>
      <c r="BK89" s="4">
        <f t="shared" si="32"/>
        <v>283.2037925070959</v>
      </c>
      <c r="BL89" s="4">
        <f t="shared" si="32"/>
        <v>287.45184939470232</v>
      </c>
    </row>
    <row r="90" spans="1:64" x14ac:dyDescent="0.35">
      <c r="A90" s="1"/>
      <c r="C90" s="2" t="s">
        <v>28</v>
      </c>
      <c r="D90" s="12"/>
      <c r="E90" s="4">
        <f t="shared" ref="E90:AJ90" ca="1" si="33">E64</f>
        <v>51.781626781618208</v>
      </c>
      <c r="F90" s="4">
        <f t="shared" ca="1" si="33"/>
        <v>54.213663752453378</v>
      </c>
      <c r="G90" s="4">
        <f t="shared" ca="1" si="33"/>
        <v>56.707011027942862</v>
      </c>
      <c r="H90" s="4">
        <f t="shared" ca="1" si="33"/>
        <v>59.262960641170331</v>
      </c>
      <c r="I90" s="4">
        <f t="shared" ca="1" si="33"/>
        <v>61.882829620961395</v>
      </c>
      <c r="J90" s="4">
        <f t="shared" ca="1" si="33"/>
        <v>64.567960557761864</v>
      </c>
      <c r="K90" s="4">
        <f t="shared" ca="1" si="33"/>
        <v>66.725307821493487</v>
      </c>
      <c r="L90" s="4">
        <f t="shared" ca="1" si="33"/>
        <v>68.926903558757175</v>
      </c>
      <c r="M90" s="4">
        <f t="shared" ca="1" si="33"/>
        <v>54.069689437658752</v>
      </c>
      <c r="N90" s="4">
        <f t="shared" ca="1" si="33"/>
        <v>56.37593376550754</v>
      </c>
      <c r="O90" s="4">
        <f t="shared" ca="1" si="33"/>
        <v>59.359100995720325</v>
      </c>
      <c r="P90" s="4">
        <f t="shared" ca="1" si="33"/>
        <v>62.429766301817708</v>
      </c>
      <c r="Q90" s="4">
        <f t="shared" ca="1" si="33"/>
        <v>65.590097111182672</v>
      </c>
      <c r="R90" s="4">
        <f t="shared" ca="1" si="33"/>
        <v>68.842310649355952</v>
      </c>
      <c r="S90" s="4">
        <f t="shared" ca="1" si="33"/>
        <v>72.188674599438357</v>
      </c>
      <c r="T90" s="4">
        <f t="shared" ca="1" si="33"/>
        <v>75.631508636242813</v>
      </c>
      <c r="U90" s="4">
        <f t="shared" ca="1" si="33"/>
        <v>79.173185186154086</v>
      </c>
      <c r="V90" s="4">
        <f t="shared" ca="1" si="33"/>
        <v>82.81613106379001</v>
      </c>
      <c r="W90" s="4">
        <f t="shared" ca="1" si="33"/>
        <v>72.841368951863117</v>
      </c>
      <c r="X90" s="4">
        <f t="shared" ca="1" si="33"/>
        <v>76.784133157331482</v>
      </c>
      <c r="Y90" s="4">
        <f t="shared" ca="1" si="33"/>
        <v>80.857292430564016</v>
      </c>
      <c r="Z90" s="4">
        <f t="shared" ca="1" si="33"/>
        <v>85.064583981246329</v>
      </c>
      <c r="AA90" s="4">
        <f t="shared" ca="1" si="33"/>
        <v>89.409845685371295</v>
      </c>
      <c r="AB90" s="4">
        <f t="shared" ca="1" si="33"/>
        <v>93.897018708825016</v>
      </c>
      <c r="AC90" s="4">
        <f t="shared" ca="1" si="33"/>
        <v>98.530149929366473</v>
      </c>
      <c r="AD90" s="4">
        <f t="shared" ca="1" si="33"/>
        <v>103.3133950121442</v>
      </c>
      <c r="AE90" s="4">
        <f t="shared" ca="1" si="33"/>
        <v>108.25102107991354</v>
      </c>
      <c r="AF90" s="4">
        <f t="shared" ca="1" si="33"/>
        <v>113.34740972048644</v>
      </c>
      <c r="AG90" s="4">
        <f t="shared" ca="1" si="33"/>
        <v>118.60705969475022</v>
      </c>
      <c r="AH90" s="4">
        <f t="shared" ca="1" si="33"/>
        <v>124.03459035923377</v>
      </c>
      <c r="AI90" s="4">
        <f t="shared" ca="1" si="33"/>
        <v>129.63474474591254</v>
      </c>
      <c r="AJ90" s="4">
        <f t="shared" ca="1" si="33"/>
        <v>135.41239223694907</v>
      </c>
      <c r="AK90" s="4">
        <f t="shared" ref="AK90:BL90" ca="1" si="34">AK64</f>
        <v>141.37253259834739</v>
      </c>
      <c r="AL90" s="4">
        <f t="shared" ca="1" si="34"/>
        <v>147.52029898732386</v>
      </c>
      <c r="AM90" s="4">
        <f t="shared" ca="1" si="34"/>
        <v>153.86096130552389</v>
      </c>
      <c r="AN90" s="4">
        <f t="shared" ca="1" si="34"/>
        <v>160.39992996051731</v>
      </c>
      <c r="AO90" s="4">
        <f t="shared" ca="1" si="34"/>
        <v>167.1427595619696</v>
      </c>
      <c r="AP90" s="4">
        <f t="shared" ca="1" si="34"/>
        <v>174.09515233584406</v>
      </c>
      <c r="AQ90" s="4">
        <f t="shared" ca="1" si="34"/>
        <v>181.26296227105377</v>
      </c>
      <c r="AR90" s="4">
        <f t="shared" ca="1" si="34"/>
        <v>188.65219894170593</v>
      </c>
      <c r="AS90" s="4">
        <f t="shared" ca="1" si="34"/>
        <v>-3.069544618483633E-13</v>
      </c>
      <c r="AT90" s="4">
        <f t="shared" ca="1" si="34"/>
        <v>-3.1462832339457237E-13</v>
      </c>
      <c r="AU90" s="4">
        <f t="shared" ca="1" si="34"/>
        <v>-3.2249403147943667E-13</v>
      </c>
      <c r="AV90" s="4">
        <f t="shared" ca="1" si="34"/>
        <v>-3.305563822664226E-13</v>
      </c>
      <c r="AW90" s="4">
        <f t="shared" ca="1" si="34"/>
        <v>-3.3882029182308315E-13</v>
      </c>
      <c r="AX90" s="4">
        <f t="shared" ca="1" si="34"/>
        <v>-3.4729079911866025E-13</v>
      </c>
      <c r="AY90" s="4">
        <f t="shared" ca="1" si="34"/>
        <v>-3.5597306909662675E-13</v>
      </c>
      <c r="AZ90" s="4">
        <f t="shared" ca="1" si="34"/>
        <v>-3.6487239582404245E-13</v>
      </c>
      <c r="BA90" s="4">
        <f t="shared" ca="1" si="34"/>
        <v>-3.7399420571964345E-13</v>
      </c>
      <c r="BB90" s="4">
        <f t="shared" ca="1" si="34"/>
        <v>-3.8334406086263453E-13</v>
      </c>
      <c r="BC90" s="4">
        <f t="shared" ca="1" si="34"/>
        <v>-3.9292766238420046E-13</v>
      </c>
      <c r="BD90" s="4">
        <f t="shared" ca="1" si="34"/>
        <v>-4.0275085394380542E-13</v>
      </c>
      <c r="BE90" s="4">
        <f t="shared" ca="1" si="34"/>
        <v>-4.1281962529240056E-13</v>
      </c>
      <c r="BF90" s="4">
        <f t="shared" ca="1" si="34"/>
        <v>-4.2314011592471062E-13</v>
      </c>
      <c r="BG90" s="4">
        <f t="shared" ca="1" si="34"/>
        <v>-4.3371861882282835E-13</v>
      </c>
      <c r="BH90" s="4">
        <f t="shared" ca="1" si="34"/>
        <v>-4.4456158429339905E-13</v>
      </c>
      <c r="BI90" s="4">
        <f t="shared" ca="1" si="34"/>
        <v>-4.5567562390073405E-13</v>
      </c>
      <c r="BJ90" s="4">
        <f t="shared" ca="1" si="34"/>
        <v>-4.670675144982523E-13</v>
      </c>
      <c r="BK90" s="4">
        <f t="shared" ca="1" si="34"/>
        <v>-4.7874420236070868E-13</v>
      </c>
      <c r="BL90" s="4">
        <f t="shared" ca="1" si="34"/>
        <v>-4.9071280741972642E-13</v>
      </c>
    </row>
    <row r="91" spans="1:64" x14ac:dyDescent="0.35">
      <c r="A91" s="1"/>
      <c r="C91" s="2" t="s">
        <v>310</v>
      </c>
      <c r="D91" s="12"/>
      <c r="E91" s="4">
        <f t="shared" ref="E91:AJ91" si="35">E66</f>
        <v>58.572546947479232</v>
      </c>
      <c r="F91" s="4">
        <f t="shared" ca="1" si="35"/>
        <v>57.795822545754952</v>
      </c>
      <c r="G91" s="4">
        <f t="shared" ca="1" si="35"/>
        <v>56.982617589468155</v>
      </c>
      <c r="H91" s="4">
        <f t="shared" ca="1" si="35"/>
        <v>56.132012424049016</v>
      </c>
      <c r="I91" s="4">
        <f t="shared" ca="1" si="35"/>
        <v>55.243068014431465</v>
      </c>
      <c r="J91" s="4">
        <f t="shared" ca="1" si="35"/>
        <v>54.314825570117044</v>
      </c>
      <c r="K91" s="4">
        <f t="shared" ca="1" si="35"/>
        <v>53.346306161750611</v>
      </c>
      <c r="L91" s="4">
        <f t="shared" ca="1" si="35"/>
        <v>52.345426544428207</v>
      </c>
      <c r="M91" s="4">
        <f t="shared" ca="1" si="35"/>
        <v>68.415363988062467</v>
      </c>
      <c r="N91" s="4">
        <f t="shared" ca="1" si="35"/>
        <v>67.333970199309292</v>
      </c>
      <c r="O91" s="4">
        <f t="shared" ca="1" si="35"/>
        <v>66.206451523999149</v>
      </c>
      <c r="P91" s="4">
        <f t="shared" ca="1" si="35"/>
        <v>65.019269504084747</v>
      </c>
      <c r="Q91" s="4">
        <f t="shared" ca="1" si="35"/>
        <v>63.770674178048388</v>
      </c>
      <c r="R91" s="4">
        <f t="shared" ca="1" si="35"/>
        <v>62.458872235824728</v>
      </c>
      <c r="S91" s="4">
        <f t="shared" ca="1" si="35"/>
        <v>61.08202602283761</v>
      </c>
      <c r="T91" s="4">
        <f t="shared" ca="1" si="35"/>
        <v>59.638252530848838</v>
      </c>
      <c r="U91" s="4">
        <f t="shared" ca="1" si="35"/>
        <v>58.125622358123984</v>
      </c>
      <c r="V91" s="4">
        <f t="shared" ca="1" si="35"/>
        <v>56.5421586544009</v>
      </c>
      <c r="W91" s="4">
        <f t="shared" ca="1" si="35"/>
        <v>68.607295041406374</v>
      </c>
      <c r="X91" s="4">
        <f t="shared" ca="1" si="35"/>
        <v>66.786260817609801</v>
      </c>
      <c r="Y91" s="4">
        <f t="shared" ca="1" si="35"/>
        <v>64.866657488676523</v>
      </c>
      <c r="Z91" s="4">
        <f t="shared" ca="1" si="35"/>
        <v>62.845225177912418</v>
      </c>
      <c r="AA91" s="4">
        <f t="shared" ca="1" si="35"/>
        <v>60.718610578381259</v>
      </c>
      <c r="AB91" s="4">
        <f t="shared" ca="1" si="35"/>
        <v>58.483364436246973</v>
      </c>
      <c r="AC91" s="4">
        <f t="shared" ca="1" si="35"/>
        <v>56.135938968526354</v>
      </c>
      <c r="AD91" s="4">
        <f t="shared" ca="1" si="35"/>
        <v>53.672685220292195</v>
      </c>
      <c r="AE91" s="4">
        <f t="shared" ca="1" si="35"/>
        <v>51.089850344988591</v>
      </c>
      <c r="AF91" s="4">
        <f t="shared" ca="1" si="35"/>
        <v>48.383574817990755</v>
      </c>
      <c r="AG91" s="4">
        <f t="shared" ca="1" si="35"/>
        <v>45.549889574978593</v>
      </c>
      <c r="AH91" s="4">
        <f t="shared" ca="1" si="35"/>
        <v>42.584713082609838</v>
      </c>
      <c r="AI91" s="4">
        <f t="shared" ca="1" si="35"/>
        <v>39.48384832362899</v>
      </c>
      <c r="AJ91" s="4">
        <f t="shared" ca="1" si="35"/>
        <v>36.242979704981181</v>
      </c>
      <c r="AK91" s="4">
        <f t="shared" ref="AK91:BL91" ca="1" si="36">AK66</f>
        <v>32.857669899057456</v>
      </c>
      <c r="AL91" s="4">
        <f t="shared" ca="1" si="36"/>
        <v>29.323356584098772</v>
      </c>
      <c r="AM91" s="4">
        <f t="shared" ca="1" si="36"/>
        <v>25.635349109415671</v>
      </c>
      <c r="AN91" s="4">
        <f t="shared" ca="1" si="36"/>
        <v>21.788825076777574</v>
      </c>
      <c r="AO91" s="4">
        <f t="shared" ca="1" si="36"/>
        <v>17.778826827764643</v>
      </c>
      <c r="AP91" s="4">
        <f t="shared" ca="1" si="36"/>
        <v>13.600257838715402</v>
      </c>
      <c r="AQ91" s="4">
        <f t="shared" ca="1" si="36"/>
        <v>9.2478790303193001</v>
      </c>
      <c r="AR91" s="4">
        <f t="shared" ca="1" si="36"/>
        <v>4.7163049735429556</v>
      </c>
      <c r="AS91" s="4">
        <f t="shared" ca="1" si="36"/>
        <v>3.069544618483633E-13</v>
      </c>
      <c r="AT91" s="4">
        <f t="shared" ca="1" si="36"/>
        <v>3.1462832339457237E-13</v>
      </c>
      <c r="AU91" s="4">
        <f t="shared" ca="1" si="36"/>
        <v>3.2249403147943667E-13</v>
      </c>
      <c r="AV91" s="4">
        <f t="shared" ca="1" si="36"/>
        <v>3.305563822664226E-13</v>
      </c>
      <c r="AW91" s="4">
        <f t="shared" ca="1" si="36"/>
        <v>3.3882029182308315E-13</v>
      </c>
      <c r="AX91" s="4">
        <f t="shared" ca="1" si="36"/>
        <v>3.4729079911866025E-13</v>
      </c>
      <c r="AY91" s="4">
        <f t="shared" ca="1" si="36"/>
        <v>3.5597306909662675E-13</v>
      </c>
      <c r="AZ91" s="4">
        <f t="shared" ca="1" si="36"/>
        <v>3.6487239582404245E-13</v>
      </c>
      <c r="BA91" s="4">
        <f t="shared" ca="1" si="36"/>
        <v>3.7399420571964345E-13</v>
      </c>
      <c r="BB91" s="4">
        <f t="shared" ca="1" si="36"/>
        <v>3.8334406086263453E-13</v>
      </c>
      <c r="BC91" s="4">
        <f t="shared" ca="1" si="36"/>
        <v>3.9292766238420046E-13</v>
      </c>
      <c r="BD91" s="4">
        <f t="shared" ca="1" si="36"/>
        <v>4.0275085394380542E-13</v>
      </c>
      <c r="BE91" s="4">
        <f t="shared" ca="1" si="36"/>
        <v>4.1281962529240056E-13</v>
      </c>
      <c r="BF91" s="4">
        <f t="shared" ca="1" si="36"/>
        <v>4.2314011592471062E-13</v>
      </c>
      <c r="BG91" s="4">
        <f t="shared" ca="1" si="36"/>
        <v>4.3371861882282835E-13</v>
      </c>
      <c r="BH91" s="4">
        <f t="shared" ca="1" si="36"/>
        <v>4.4456158429339905E-13</v>
      </c>
      <c r="BI91" s="4">
        <f t="shared" ca="1" si="36"/>
        <v>4.5567562390073405E-13</v>
      </c>
      <c r="BJ91" s="4">
        <f t="shared" ca="1" si="36"/>
        <v>4.670675144982523E-13</v>
      </c>
      <c r="BK91" s="4">
        <f t="shared" ca="1" si="36"/>
        <v>4.7874420236070868E-13</v>
      </c>
      <c r="BL91" s="4">
        <f t="shared" ca="1" si="36"/>
        <v>4.9071280741972642E-13</v>
      </c>
    </row>
    <row r="92" spans="1:64" x14ac:dyDescent="0.35">
      <c r="A92" s="1"/>
      <c r="C92" s="2" t="s">
        <v>148</v>
      </c>
      <c r="D92" s="12"/>
      <c r="E92" s="4">
        <f t="shared" ref="E92:AJ92" ca="1" si="37">E77</f>
        <v>0.55177086864548719</v>
      </c>
      <c r="F92" s="4">
        <f t="shared" ca="1" si="37"/>
        <v>0.56004743149104164</v>
      </c>
      <c r="G92" s="4">
        <f t="shared" ca="1" si="37"/>
        <v>0.56844814308705505</v>
      </c>
      <c r="H92" s="4">
        <f t="shared" ca="1" si="37"/>
        <v>0.57697486532609676</v>
      </c>
      <c r="I92" s="4">
        <f t="shared" ca="1" si="37"/>
        <v>0.58562948817696436</v>
      </c>
      <c r="J92" s="4">
        <f t="shared" ca="1" si="37"/>
        <v>0.59441393063939452</v>
      </c>
      <c r="K92" s="4">
        <f t="shared" ca="1" si="37"/>
        <v>0.60035806991622054</v>
      </c>
      <c r="L92" s="4">
        <f t="shared" ca="1" si="37"/>
        <v>0.60636165051592694</v>
      </c>
      <c r="M92" s="4">
        <f t="shared" ca="1" si="37"/>
        <v>0.61242526712860612</v>
      </c>
      <c r="N92" s="4">
        <f t="shared" ca="1" si="37"/>
        <v>0.61854951982408413</v>
      </c>
      <c r="O92" s="4">
        <f t="shared" ca="1" si="37"/>
        <v>0.62782776259859741</v>
      </c>
      <c r="P92" s="4">
        <f t="shared" ca="1" si="37"/>
        <v>0.63724517902951228</v>
      </c>
      <c r="Q92" s="4">
        <f t="shared" ca="1" si="37"/>
        <v>0.64680385644615523</v>
      </c>
      <c r="R92" s="4">
        <f t="shared" ca="1" si="37"/>
        <v>0.65650591442590345</v>
      </c>
      <c r="S92" s="4">
        <f t="shared" ca="1" si="37"/>
        <v>0.66635350311137986</v>
      </c>
      <c r="T92" s="4">
        <f t="shared" ca="1" si="37"/>
        <v>0.6763488058354582</v>
      </c>
      <c r="U92" s="4">
        <f t="shared" ca="1" si="37"/>
        <v>0.68649403772139039</v>
      </c>
      <c r="V92" s="4">
        <f t="shared" ca="1" si="37"/>
        <v>0.69679144859095465</v>
      </c>
      <c r="W92" s="4">
        <f t="shared" ca="1" si="37"/>
        <v>0.70724331996634748</v>
      </c>
      <c r="X92" s="4">
        <f t="shared" ca="1" si="37"/>
        <v>0.71785196987470645</v>
      </c>
      <c r="Y92" s="4">
        <f t="shared" ca="1" si="37"/>
        <v>0.72861974959620268</v>
      </c>
      <c r="Z92" s="4">
        <f t="shared" ca="1" si="37"/>
        <v>0.73954904579579384</v>
      </c>
      <c r="AA92" s="4">
        <f t="shared" ca="1" si="37"/>
        <v>0.75064228131876276</v>
      </c>
      <c r="AB92" s="4">
        <f t="shared" ca="1" si="37"/>
        <v>0.76190191572535992</v>
      </c>
      <c r="AC92" s="4">
        <f t="shared" ca="1" si="37"/>
        <v>0.77333044448946409</v>
      </c>
      <c r="AD92" s="4">
        <f t="shared" ca="1" si="37"/>
        <v>0.78493040116218193</v>
      </c>
      <c r="AE92" s="4">
        <f t="shared" ca="1" si="37"/>
        <v>0.79670435712451071</v>
      </c>
      <c r="AF92" s="4">
        <f t="shared" ca="1" si="37"/>
        <v>0.80865492269238604</v>
      </c>
      <c r="AG92" s="4">
        <f t="shared" ca="1" si="37"/>
        <v>0.82078474634864407</v>
      </c>
      <c r="AH92" s="4">
        <f t="shared" ca="1" si="37"/>
        <v>0.83309651720921807</v>
      </c>
      <c r="AI92" s="4">
        <f t="shared" ca="1" si="37"/>
        <v>0.84559296534770767</v>
      </c>
      <c r="AJ92" s="4">
        <f t="shared" ca="1" si="37"/>
        <v>0.8582768597096514</v>
      </c>
      <c r="AK92" s="4">
        <f t="shared" ref="AK92:BL92" ca="1" si="38">AK77</f>
        <v>0.8711510124870242</v>
      </c>
      <c r="AL92" s="4">
        <f t="shared" ca="1" si="38"/>
        <v>0.88421827785711316</v>
      </c>
      <c r="AM92" s="4">
        <f t="shared" ca="1" si="38"/>
        <v>0.89748155207469782</v>
      </c>
      <c r="AN92" s="4">
        <f t="shared" ca="1" si="38"/>
        <v>0.91094377518647451</v>
      </c>
      <c r="AO92" s="4">
        <f t="shared" ca="1" si="38"/>
        <v>0.92460793194867119</v>
      </c>
      <c r="AP92" s="4">
        <f t="shared" ca="1" si="38"/>
        <v>0.93847705087279731</v>
      </c>
      <c r="AQ92" s="4">
        <f t="shared" ca="1" si="38"/>
        <v>0.95255420650686529</v>
      </c>
      <c r="AR92" s="4">
        <f t="shared" ca="1" si="38"/>
        <v>0.96684251957624445</v>
      </c>
      <c r="AS92" s="4">
        <f t="shared" ca="1" si="38"/>
        <v>0</v>
      </c>
      <c r="AT92" s="4">
        <f t="shared" ca="1" si="38"/>
        <v>0</v>
      </c>
      <c r="AU92" s="4">
        <f t="shared" ca="1" si="38"/>
        <v>0</v>
      </c>
      <c r="AV92" s="4">
        <f t="shared" ca="1" si="38"/>
        <v>0</v>
      </c>
      <c r="AW92" s="4">
        <f t="shared" ca="1" si="38"/>
        <v>0</v>
      </c>
      <c r="AX92" s="4">
        <f t="shared" ca="1" si="38"/>
        <v>0</v>
      </c>
      <c r="AY92" s="4">
        <f t="shared" ca="1" si="38"/>
        <v>0</v>
      </c>
      <c r="AZ92" s="4">
        <f t="shared" ca="1" si="38"/>
        <v>0</v>
      </c>
      <c r="BA92" s="4">
        <f t="shared" ca="1" si="38"/>
        <v>0</v>
      </c>
      <c r="BB92" s="4">
        <f t="shared" ca="1" si="38"/>
        <v>0</v>
      </c>
      <c r="BC92" s="4">
        <f t="shared" ca="1" si="38"/>
        <v>0</v>
      </c>
      <c r="BD92" s="4">
        <f t="shared" ca="1" si="38"/>
        <v>0</v>
      </c>
      <c r="BE92" s="4">
        <f t="shared" ca="1" si="38"/>
        <v>0</v>
      </c>
      <c r="BF92" s="4">
        <f t="shared" ca="1" si="38"/>
        <v>0</v>
      </c>
      <c r="BG92" s="4">
        <f t="shared" ca="1" si="38"/>
        <v>0</v>
      </c>
      <c r="BH92" s="4">
        <f t="shared" ca="1" si="38"/>
        <v>0</v>
      </c>
      <c r="BI92" s="4">
        <f t="shared" ca="1" si="38"/>
        <v>0</v>
      </c>
      <c r="BJ92" s="4">
        <f t="shared" ca="1" si="38"/>
        <v>0</v>
      </c>
      <c r="BK92" s="4">
        <f t="shared" ca="1" si="38"/>
        <v>0</v>
      </c>
      <c r="BL92" s="4">
        <f t="shared" ca="1" si="38"/>
        <v>0</v>
      </c>
    </row>
    <row r="93" spans="1:64" x14ac:dyDescent="0.35">
      <c r="A93" s="1"/>
      <c r="C93" s="2" t="s">
        <v>103</v>
      </c>
      <c r="D93" s="12"/>
      <c r="E93" s="4">
        <f t="shared" ref="E93:AJ93" ca="1" si="39">E68-D68</f>
        <v>1.6553125691108903</v>
      </c>
      <c r="F93" s="4">
        <f t="shared" ca="1" si="39"/>
        <v>1.6801423192026874</v>
      </c>
      <c r="G93" s="4">
        <f t="shared" ca="1" si="39"/>
        <v>1.7053444478083293</v>
      </c>
      <c r="H93" s="4">
        <f t="shared" ca="1" si="39"/>
        <v>1.7309245701735136</v>
      </c>
      <c r="I93" s="4">
        <f t="shared" ca="1" si="39"/>
        <v>1.7568884924860413</v>
      </c>
      <c r="J93" s="4">
        <f t="shared" ca="1" si="39"/>
        <v>1.1888278553652043</v>
      </c>
      <c r="K93" s="4">
        <f t="shared" ca="1" si="39"/>
        <v>1.2007161199412764</v>
      </c>
      <c r="L93" s="4">
        <f t="shared" ca="1" si="39"/>
        <v>1.2127233225358367</v>
      </c>
      <c r="M93" s="4">
        <f t="shared" ca="1" si="39"/>
        <v>1.2248505390956126</v>
      </c>
      <c r="N93" s="4">
        <f t="shared" ca="1" si="39"/>
        <v>1.8556485549026434</v>
      </c>
      <c r="O93" s="4">
        <f t="shared" ca="1" si="39"/>
        <v>1.8834832861829796</v>
      </c>
      <c r="P93" s="4">
        <f t="shared" ca="1" si="39"/>
        <v>1.9117354833285987</v>
      </c>
      <c r="Q93" s="4">
        <f t="shared" ca="1" si="39"/>
        <v>1.9404115959496266</v>
      </c>
      <c r="R93" s="4">
        <f t="shared" ca="1" si="39"/>
        <v>1.9695177370952877</v>
      </c>
      <c r="S93" s="4">
        <f t="shared" ca="1" si="39"/>
        <v>1.9990605448156771</v>
      </c>
      <c r="T93" s="4">
        <f t="shared" ca="1" si="39"/>
        <v>2.0290463771864324</v>
      </c>
      <c r="U93" s="4">
        <f t="shared" ca="1" si="39"/>
        <v>2.0594821739128406</v>
      </c>
      <c r="V93" s="4">
        <f t="shared" ca="1" si="39"/>
        <v>2.0903742750785739</v>
      </c>
      <c r="W93" s="4">
        <f t="shared" ca="1" si="39"/>
        <v>2.1217299816717912</v>
      </c>
      <c r="X93" s="4">
        <f t="shared" ca="1" si="39"/>
        <v>2.1535559442992565</v>
      </c>
      <c r="Y93" s="4">
        <f t="shared" ca="1" si="39"/>
        <v>2.1858592399182157</v>
      </c>
      <c r="Z93" s="4">
        <f t="shared" ca="1" si="39"/>
        <v>2.2186471045937992</v>
      </c>
      <c r="AA93" s="4">
        <f t="shared" ca="1" si="39"/>
        <v>2.2519268813194344</v>
      </c>
      <c r="AB93" s="4">
        <f t="shared" ca="1" si="39"/>
        <v>2.2857057528208315</v>
      </c>
      <c r="AC93" s="4">
        <f t="shared" ca="1" si="39"/>
        <v>2.3199913345435732</v>
      </c>
      <c r="AD93" s="4">
        <f t="shared" ca="1" si="39"/>
        <v>2.3547911924657399</v>
      </c>
      <c r="AE93" s="4">
        <f t="shared" ca="1" si="39"/>
        <v>2.3901131135750688</v>
      </c>
      <c r="AF93" s="4">
        <f t="shared" ca="1" si="39"/>
        <v>2.4259647312516108</v>
      </c>
      <c r="AG93" s="4">
        <f t="shared" ca="1" si="39"/>
        <v>2.4623541721148001</v>
      </c>
      <c r="AH93" s="4">
        <f t="shared" ca="1" si="39"/>
        <v>2.4992896276979195</v>
      </c>
      <c r="AI93" s="4">
        <f t="shared" ca="1" si="39"/>
        <v>2.5367788723887372</v>
      </c>
      <c r="AJ93" s="4">
        <f t="shared" ca="1" si="39"/>
        <v>2.5748305554745627</v>
      </c>
      <c r="AK93" s="4">
        <f t="shared" ref="AK93:BL93" ca="1" si="40">AK68-AJ68</f>
        <v>2.6134530740177979</v>
      </c>
      <c r="AL93" s="4">
        <f t="shared" ca="1" si="40"/>
        <v>2.6526548435169275</v>
      </c>
      <c r="AM93" s="4">
        <f t="shared" ca="1" si="40"/>
        <v>2.6924446223553389</v>
      </c>
      <c r="AN93" s="4">
        <f t="shared" ca="1" si="40"/>
        <v>2.7328313524393479</v>
      </c>
      <c r="AO93" s="4">
        <f t="shared" ca="1" si="40"/>
        <v>2.7738237848252254</v>
      </c>
      <c r="AP93" s="4">
        <f t="shared" ca="1" si="40"/>
        <v>2.8154311268135928</v>
      </c>
      <c r="AQ93" s="4">
        <f t="shared" ca="1" si="40"/>
        <v>2.8576626138758172</v>
      </c>
      <c r="AR93" s="4">
        <f t="shared" ca="1" si="40"/>
        <v>-193.36850391524888</v>
      </c>
      <c r="AS93" s="4">
        <f t="shared" ca="1" si="40"/>
        <v>0</v>
      </c>
      <c r="AT93" s="4">
        <f t="shared" ca="1" si="40"/>
        <v>0</v>
      </c>
      <c r="AU93" s="4">
        <f t="shared" ca="1" si="40"/>
        <v>0</v>
      </c>
      <c r="AV93" s="4">
        <f t="shared" ca="1" si="40"/>
        <v>0</v>
      </c>
      <c r="AW93" s="4">
        <f t="shared" ca="1" si="40"/>
        <v>0</v>
      </c>
      <c r="AX93" s="4">
        <f t="shared" ca="1" si="40"/>
        <v>0</v>
      </c>
      <c r="AY93" s="4">
        <f t="shared" ca="1" si="40"/>
        <v>0</v>
      </c>
      <c r="AZ93" s="4">
        <f t="shared" ca="1" si="40"/>
        <v>0</v>
      </c>
      <c r="BA93" s="4">
        <f t="shared" ca="1" si="40"/>
        <v>0</v>
      </c>
      <c r="BB93" s="4">
        <f t="shared" ca="1" si="40"/>
        <v>0</v>
      </c>
      <c r="BC93" s="4">
        <f t="shared" ca="1" si="40"/>
        <v>0</v>
      </c>
      <c r="BD93" s="4">
        <f t="shared" ca="1" si="40"/>
        <v>0</v>
      </c>
      <c r="BE93" s="4">
        <f t="shared" ca="1" si="40"/>
        <v>0</v>
      </c>
      <c r="BF93" s="4">
        <f t="shared" ca="1" si="40"/>
        <v>0</v>
      </c>
      <c r="BG93" s="4">
        <f t="shared" ca="1" si="40"/>
        <v>0</v>
      </c>
      <c r="BH93" s="4">
        <f t="shared" ca="1" si="40"/>
        <v>0</v>
      </c>
      <c r="BI93" s="4">
        <f t="shared" ca="1" si="40"/>
        <v>0</v>
      </c>
      <c r="BJ93" s="4">
        <f t="shared" ca="1" si="40"/>
        <v>0</v>
      </c>
      <c r="BK93" s="4">
        <f t="shared" ca="1" si="40"/>
        <v>0</v>
      </c>
      <c r="BL93" s="4">
        <f t="shared" ca="1" si="40"/>
        <v>0</v>
      </c>
    </row>
    <row r="94" spans="1:64" x14ac:dyDescent="0.35">
      <c r="A94" s="1"/>
      <c r="D94" s="4"/>
      <c r="AG94" s="4"/>
      <c r="AH94" s="4"/>
    </row>
    <row r="95" spans="1:64" ht="15" thickBot="1" x14ac:dyDescent="0.4">
      <c r="A95" s="1"/>
      <c r="C95" s="24" t="s">
        <v>101</v>
      </c>
      <c r="D95" s="25">
        <f>-D25-D26+D65</f>
        <v>-205.51770858764758</v>
      </c>
      <c r="E95" s="25">
        <f ca="1">E89-E90-E91+E92-E93</f>
        <v>10.342284570437148</v>
      </c>
      <c r="F95" s="25">
        <f t="shared" ref="F95:BL95" ca="1" si="41">F89-F90-F91+F92-F93</f>
        <v>10.497418814079998</v>
      </c>
      <c r="G95" s="25">
        <f t="shared" ca="1" si="41"/>
        <v>10.654880077867654</v>
      </c>
      <c r="H95" s="25">
        <f t="shared" ca="1" si="41"/>
        <v>10.814703304933186</v>
      </c>
      <c r="I95" s="25">
        <f t="shared" ca="1" si="41"/>
        <v>10.976923826422999</v>
      </c>
      <c r="J95" s="25">
        <f t="shared" ca="1" si="41"/>
        <v>11.735991620512078</v>
      </c>
      <c r="K95" s="25">
        <f t="shared" ca="1" si="41"/>
        <v>11.853351556578817</v>
      </c>
      <c r="L95" s="25">
        <f t="shared" ca="1" si="41"/>
        <v>11.971885050541166</v>
      </c>
      <c r="M95" s="25">
        <f t="shared" ca="1" si="41"/>
        <v>12.091603896315709</v>
      </c>
      <c r="N95" s="25">
        <f t="shared" ca="1" si="41"/>
        <v>11.59397042004859</v>
      </c>
      <c r="O95" s="25">
        <f t="shared" ca="1" si="41"/>
        <v>11.767879977939272</v>
      </c>
      <c r="P95" s="25">
        <f t="shared" ca="1" si="41"/>
        <v>11.944398231360218</v>
      </c>
      <c r="Q95" s="25">
        <f t="shared" ca="1" si="41"/>
        <v>12.123564177950634</v>
      </c>
      <c r="R95" s="25">
        <f t="shared" ca="1" si="41"/>
        <v>12.305417646935378</v>
      </c>
      <c r="S95" s="25">
        <f t="shared" ca="1" si="41"/>
        <v>12.489998876126931</v>
      </c>
      <c r="T95" s="25">
        <f t="shared" ca="1" si="41"/>
        <v>12.677348899766164</v>
      </c>
      <c r="U95" s="25">
        <f t="shared" ca="1" si="41"/>
        <v>12.867509072312382</v>
      </c>
      <c r="V95" s="25">
        <f t="shared" ca="1" si="41"/>
        <v>13.060521779395078</v>
      </c>
      <c r="W95" s="25">
        <f t="shared" ca="1" si="41"/>
        <v>13.256429583959767</v>
      </c>
      <c r="X95" s="25">
        <f t="shared" ca="1" si="41"/>
        <v>13.455275993152886</v>
      </c>
      <c r="Y95" s="25">
        <f t="shared" ca="1" si="41"/>
        <v>13.657105142093922</v>
      </c>
      <c r="Z95" s="25">
        <f t="shared" ca="1" si="41"/>
        <v>13.861961751974551</v>
      </c>
      <c r="AA95" s="25">
        <f t="shared" ca="1" si="41"/>
        <v>14.069891140727037</v>
      </c>
      <c r="AB95" s="25">
        <f t="shared" ca="1" si="41"/>
        <v>14.280939502379994</v>
      </c>
      <c r="AC95" s="25">
        <f t="shared" ca="1" si="41"/>
        <v>14.495153593868704</v>
      </c>
      <c r="AD95" s="25">
        <f t="shared" ca="1" si="41"/>
        <v>14.712580908802902</v>
      </c>
      <c r="AE95" s="25">
        <f t="shared" ca="1" si="41"/>
        <v>14.933269580178276</v>
      </c>
      <c r="AF95" s="25">
        <f t="shared" ca="1" si="41"/>
        <v>15.157268660917506</v>
      </c>
      <c r="AG95" s="25">
        <f t="shared" ca="1" si="41"/>
        <v>15.384627757578251</v>
      </c>
      <c r="AH95" s="25">
        <f t="shared" ca="1" si="41"/>
        <v>15.615397097536974</v>
      </c>
      <c r="AI95" s="25">
        <f t="shared" ca="1" si="41"/>
        <v>15.849628078034744</v>
      </c>
      <c r="AJ95" s="25">
        <f t="shared" ca="1" si="41"/>
        <v>16.087372522741365</v>
      </c>
      <c r="AK95" s="25">
        <f t="shared" ca="1" si="41"/>
        <v>16.328683073907449</v>
      </c>
      <c r="AL95" s="25">
        <f t="shared" ca="1" si="41"/>
        <v>16.573613310253251</v>
      </c>
      <c r="AM95" s="25">
        <f t="shared" ca="1" si="41"/>
        <v>16.82221754382552</v>
      </c>
      <c r="AN95" s="25">
        <f t="shared" ca="1" si="41"/>
        <v>17.074550779933634</v>
      </c>
      <c r="AO95" s="25">
        <f t="shared" ca="1" si="41"/>
        <v>17.330669052787801</v>
      </c>
      <c r="AP95" s="25">
        <f t="shared" ca="1" si="41"/>
        <v>17.590629114329303</v>
      </c>
      <c r="AQ95" s="25">
        <f t="shared" ca="1" si="41"/>
        <v>17.854488556559957</v>
      </c>
      <c r="AR95" s="25">
        <f t="shared" ca="1" si="41"/>
        <v>214.39133735885773</v>
      </c>
      <c r="AS95" s="25">
        <f t="shared" ca="1" si="41"/>
        <v>216.62586226187071</v>
      </c>
      <c r="AT95" s="25">
        <f t="shared" ca="1" si="41"/>
        <v>219.87525019579874</v>
      </c>
      <c r="AU95" s="25">
        <f t="shared" ca="1" si="41"/>
        <v>223.17337894873569</v>
      </c>
      <c r="AV95" s="25">
        <f t="shared" ca="1" si="41"/>
        <v>226.52097963296671</v>
      </c>
      <c r="AW95" s="25">
        <f t="shared" ca="1" si="41"/>
        <v>229.9187943274612</v>
      </c>
      <c r="AX95" s="25">
        <f t="shared" ca="1" si="41"/>
        <v>233.3675762423731</v>
      </c>
      <c r="AY95" s="25">
        <f t="shared" ca="1" si="41"/>
        <v>236.86808988600868</v>
      </c>
      <c r="AZ95" s="25">
        <f t="shared" ca="1" si="41"/>
        <v>240.42111123429879</v>
      </c>
      <c r="BA95" s="25">
        <f t="shared" ca="1" si="41"/>
        <v>244.02742790281326</v>
      </c>
      <c r="BB95" s="25">
        <f t="shared" ca="1" si="41"/>
        <v>247.68783932135543</v>
      </c>
      <c r="BC95" s="25">
        <f t="shared" ca="1" si="41"/>
        <v>251.40315691117573</v>
      </c>
      <c r="BD95" s="25">
        <f t="shared" ca="1" si="41"/>
        <v>255.17420426484333</v>
      </c>
      <c r="BE95" s="25">
        <f t="shared" ca="1" si="41"/>
        <v>259.00181732881595</v>
      </c>
      <c r="BF95" s="25">
        <f t="shared" ca="1" si="41"/>
        <v>262.88684458874815</v>
      </c>
      <c r="BG95" s="25">
        <f t="shared" ca="1" si="41"/>
        <v>266.83014725757937</v>
      </c>
      <c r="BH95" s="25">
        <f t="shared" ca="1" si="41"/>
        <v>270.83259946644301</v>
      </c>
      <c r="BI95" s="25">
        <f t="shared" ca="1" si="41"/>
        <v>274.89508845843966</v>
      </c>
      <c r="BJ95" s="25">
        <f t="shared" ca="1" si="41"/>
        <v>279.0185147853162</v>
      </c>
      <c r="BK95" s="25">
        <f t="shared" ca="1" si="41"/>
        <v>283.2037925070959</v>
      </c>
      <c r="BL95" s="25">
        <f t="shared" ca="1" si="41"/>
        <v>287.45184939470232</v>
      </c>
    </row>
    <row r="96" spans="1:64" x14ac:dyDescent="0.35">
      <c r="A96" s="1"/>
      <c r="C96" s="2" t="s">
        <v>100</v>
      </c>
      <c r="D96" s="12">
        <f ca="1">IRR(95:95)</f>
        <v>9.0076337845623522E-2</v>
      </c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</row>
    <row r="98" spans="3:64" x14ac:dyDescent="0.35">
      <c r="C98" s="2" t="s">
        <v>306</v>
      </c>
    </row>
    <row r="99" spans="3:64" x14ac:dyDescent="0.35">
      <c r="C99" s="2" t="s">
        <v>307</v>
      </c>
      <c r="D99" s="4">
        <f>D61</f>
        <v>3904.8364631652821</v>
      </c>
    </row>
    <row r="100" spans="3:64" x14ac:dyDescent="0.35">
      <c r="C100" s="2" t="s">
        <v>308</v>
      </c>
      <c r="D100" s="4">
        <f>D25+D26</f>
        <v>4110.3541717529297</v>
      </c>
    </row>
    <row r="101" spans="3:64" x14ac:dyDescent="0.35">
      <c r="C101" s="2" t="s">
        <v>306</v>
      </c>
      <c r="D101" s="12">
        <f>D99/D100</f>
        <v>0.94999999999999973</v>
      </c>
    </row>
    <row r="103" spans="3:64" x14ac:dyDescent="0.35">
      <c r="C103" s="2" t="s">
        <v>202</v>
      </c>
    </row>
    <row r="104" spans="3:64" x14ac:dyDescent="0.35">
      <c r="C104" s="2" t="s">
        <v>311</v>
      </c>
      <c r="E104" s="4">
        <f t="shared" ref="E104:AJ104" si="42">E39</f>
        <v>122.35177086591719</v>
      </c>
      <c r="F104" s="4">
        <f t="shared" si="42"/>
        <v>124.18704738807675</v>
      </c>
      <c r="G104" s="4">
        <f t="shared" si="42"/>
        <v>126.04985312631602</v>
      </c>
      <c r="H104" s="4">
        <f t="shared" si="42"/>
        <v>127.94060094377436</v>
      </c>
      <c r="I104" s="4">
        <f t="shared" si="42"/>
        <v>129.85970992932073</v>
      </c>
      <c r="J104" s="4">
        <f t="shared" si="42"/>
        <v>131.80760560925495</v>
      </c>
      <c r="K104" s="4">
        <f t="shared" si="42"/>
        <v>133.125681658791</v>
      </c>
      <c r="L104" s="4">
        <f t="shared" si="42"/>
        <v>134.45693845332519</v>
      </c>
      <c r="M104" s="4">
        <f t="shared" si="42"/>
        <v>135.80150786170032</v>
      </c>
      <c r="N104" s="4">
        <f t="shared" si="42"/>
        <v>137.15952294568174</v>
      </c>
      <c r="O104" s="4">
        <f t="shared" si="42"/>
        <v>139.21691578480056</v>
      </c>
      <c r="P104" s="4">
        <f t="shared" si="42"/>
        <v>141.30516951978441</v>
      </c>
      <c r="Q104" s="4">
        <f t="shared" si="42"/>
        <v>143.42474700297652</v>
      </c>
      <c r="R104" s="4">
        <f t="shared" si="42"/>
        <v>145.57611823752546</v>
      </c>
      <c r="S104" s="4">
        <f t="shared" si="42"/>
        <v>147.75976000423378</v>
      </c>
      <c r="T104" s="4">
        <f t="shared" si="42"/>
        <v>149.97615644363634</v>
      </c>
      <c r="U104" s="4">
        <f t="shared" si="42"/>
        <v>152.22579874558738</v>
      </c>
      <c r="V104" s="4">
        <f t="shared" si="42"/>
        <v>154.50918579412442</v>
      </c>
      <c r="W104" s="4">
        <f t="shared" si="42"/>
        <v>156.82682350265617</v>
      </c>
      <c r="X104" s="4">
        <f t="shared" si="42"/>
        <v>159.17922587933589</v>
      </c>
      <c r="Y104" s="4">
        <f t="shared" si="42"/>
        <v>161.5669143059709</v>
      </c>
      <c r="Z104" s="4">
        <f t="shared" si="42"/>
        <v>163.99041801072568</v>
      </c>
      <c r="AA104" s="4">
        <f t="shared" si="42"/>
        <v>166.45027424452772</v>
      </c>
      <c r="AB104" s="4">
        <f t="shared" si="42"/>
        <v>168.94702839962085</v>
      </c>
      <c r="AC104" s="4">
        <f t="shared" si="42"/>
        <v>171.48123383187362</v>
      </c>
      <c r="AD104" s="4">
        <f t="shared" si="42"/>
        <v>174.0534523405438</v>
      </c>
      <c r="AE104" s="4">
        <f t="shared" si="42"/>
        <v>176.66425411343297</v>
      </c>
      <c r="AF104" s="4">
        <f t="shared" si="42"/>
        <v>179.31421797192411</v>
      </c>
      <c r="AG104" s="4">
        <f t="shared" si="42"/>
        <v>182.00393120067378</v>
      </c>
      <c r="AH104" s="4">
        <f t="shared" si="42"/>
        <v>184.73399009447607</v>
      </c>
      <c r="AI104" s="4">
        <f t="shared" si="42"/>
        <v>187.50500003023376</v>
      </c>
      <c r="AJ104" s="4">
        <f t="shared" si="42"/>
        <v>190.31757500446119</v>
      </c>
      <c r="AK104" s="4">
        <f t="shared" ref="AK104:BL104" si="43">AK39</f>
        <v>193.17233860330205</v>
      </c>
      <c r="AL104" s="4">
        <f t="shared" si="43"/>
        <v>196.06992372288272</v>
      </c>
      <c r="AM104" s="4">
        <f t="shared" si="43"/>
        <v>199.01097258975281</v>
      </c>
      <c r="AN104" s="4">
        <f t="shared" si="43"/>
        <v>201.99613714104817</v>
      </c>
      <c r="AO104" s="4">
        <f t="shared" si="43"/>
        <v>205.02607922796619</v>
      </c>
      <c r="AP104" s="4">
        <f t="shared" si="43"/>
        <v>208.10147040416672</v>
      </c>
      <c r="AQ104" s="4">
        <f t="shared" si="43"/>
        <v>211.22299243161896</v>
      </c>
      <c r="AR104" s="4">
        <f t="shared" si="43"/>
        <v>214.39133731183475</v>
      </c>
      <c r="AS104" s="4">
        <f t="shared" si="43"/>
        <v>216.62586226187071</v>
      </c>
      <c r="AT104" s="4">
        <f t="shared" si="43"/>
        <v>219.87525019579874</v>
      </c>
      <c r="AU104" s="4">
        <f t="shared" si="43"/>
        <v>223.17337894873569</v>
      </c>
      <c r="AV104" s="4">
        <f t="shared" si="43"/>
        <v>226.52097963296671</v>
      </c>
      <c r="AW104" s="4">
        <f t="shared" si="43"/>
        <v>229.9187943274612</v>
      </c>
      <c r="AX104" s="4">
        <f t="shared" si="43"/>
        <v>233.3675762423731</v>
      </c>
      <c r="AY104" s="4">
        <f t="shared" si="43"/>
        <v>236.86808988600868</v>
      </c>
      <c r="AZ104" s="4">
        <f t="shared" si="43"/>
        <v>240.42111123429879</v>
      </c>
      <c r="BA104" s="4">
        <f t="shared" si="43"/>
        <v>244.02742790281326</v>
      </c>
      <c r="BB104" s="4">
        <f t="shared" si="43"/>
        <v>247.68783932135543</v>
      </c>
      <c r="BC104" s="4">
        <f t="shared" si="43"/>
        <v>251.40315691117573</v>
      </c>
      <c r="BD104" s="4">
        <f t="shared" si="43"/>
        <v>255.17420426484333</v>
      </c>
      <c r="BE104" s="4">
        <f t="shared" si="43"/>
        <v>259.00181732881595</v>
      </c>
      <c r="BF104" s="4">
        <f t="shared" si="43"/>
        <v>262.88684458874815</v>
      </c>
      <c r="BG104" s="4">
        <f t="shared" si="43"/>
        <v>266.83014725757937</v>
      </c>
      <c r="BH104" s="4">
        <f t="shared" si="43"/>
        <v>270.83259946644301</v>
      </c>
      <c r="BI104" s="4">
        <f t="shared" si="43"/>
        <v>274.89508845843966</v>
      </c>
      <c r="BJ104" s="4">
        <f t="shared" si="43"/>
        <v>279.0185147853162</v>
      </c>
      <c r="BK104" s="4">
        <f t="shared" si="43"/>
        <v>283.2037925070959</v>
      </c>
      <c r="BL104" s="4">
        <f t="shared" si="43"/>
        <v>287.45184939470232</v>
      </c>
    </row>
    <row r="105" spans="3:64" x14ac:dyDescent="0.35">
      <c r="C105" s="2" t="s">
        <v>312</v>
      </c>
      <c r="E105" s="4">
        <f t="shared" ref="E105:AJ105" ca="1" si="44">E66+E64+E57</f>
        <v>110.35417372909744</v>
      </c>
      <c r="F105" s="4">
        <f t="shared" ca="1" si="44"/>
        <v>112.00948629820833</v>
      </c>
      <c r="G105" s="4">
        <f t="shared" ca="1" si="44"/>
        <v>113.68962861741102</v>
      </c>
      <c r="H105" s="4">
        <f t="shared" ca="1" si="44"/>
        <v>115.39497306521935</v>
      </c>
      <c r="I105" s="4">
        <f t="shared" ca="1" si="44"/>
        <v>117.12589763539286</v>
      </c>
      <c r="J105" s="4">
        <f t="shared" ca="1" si="44"/>
        <v>118.88278612787892</v>
      </c>
      <c r="K105" s="4">
        <f t="shared" ca="1" si="44"/>
        <v>120.07161398324411</v>
      </c>
      <c r="L105" s="4">
        <f t="shared" ca="1" si="44"/>
        <v>121.27233010318538</v>
      </c>
      <c r="M105" s="4">
        <f t="shared" ca="1" si="44"/>
        <v>122.48505342572122</v>
      </c>
      <c r="N105" s="4">
        <f t="shared" ca="1" si="44"/>
        <v>123.70990396481683</v>
      </c>
      <c r="O105" s="4">
        <f t="shared" ca="1" si="44"/>
        <v>125.56555251971947</v>
      </c>
      <c r="P105" s="4">
        <f t="shared" ca="1" si="44"/>
        <v>127.44903580590245</v>
      </c>
      <c r="Q105" s="4">
        <f t="shared" ca="1" si="44"/>
        <v>129.36077128923105</v>
      </c>
      <c r="R105" s="4">
        <f t="shared" ca="1" si="44"/>
        <v>131.30118288518068</v>
      </c>
      <c r="S105" s="4">
        <f t="shared" ca="1" si="44"/>
        <v>133.27070062227597</v>
      </c>
      <c r="T105" s="4">
        <f t="shared" ca="1" si="44"/>
        <v>135.26976116709164</v>
      </c>
      <c r="U105" s="4">
        <f t="shared" ca="1" si="44"/>
        <v>137.29880754427808</v>
      </c>
      <c r="V105" s="4">
        <f t="shared" ca="1" si="44"/>
        <v>139.35828971819092</v>
      </c>
      <c r="W105" s="4">
        <f t="shared" ca="1" si="44"/>
        <v>141.44866399326949</v>
      </c>
      <c r="X105" s="4">
        <f t="shared" ca="1" si="44"/>
        <v>143.57039397494128</v>
      </c>
      <c r="Y105" s="4">
        <f t="shared" ca="1" si="44"/>
        <v>145.72394991924054</v>
      </c>
      <c r="Z105" s="4">
        <f t="shared" ca="1" si="44"/>
        <v>147.90980915915875</v>
      </c>
      <c r="AA105" s="4">
        <f t="shared" ca="1" si="44"/>
        <v>150.12845626375255</v>
      </c>
      <c r="AB105" s="4">
        <f t="shared" ca="1" si="44"/>
        <v>152.38038314507199</v>
      </c>
      <c r="AC105" s="4">
        <f t="shared" ca="1" si="44"/>
        <v>154.66608889789282</v>
      </c>
      <c r="AD105" s="4">
        <f t="shared" ca="1" si="44"/>
        <v>156.98608023243639</v>
      </c>
      <c r="AE105" s="4">
        <f t="shared" ca="1" si="44"/>
        <v>159.34087142490213</v>
      </c>
      <c r="AF105" s="4">
        <f t="shared" ca="1" si="44"/>
        <v>161.7309845384772</v>
      </c>
      <c r="AG105" s="4">
        <f t="shared" ca="1" si="44"/>
        <v>164.15694926972881</v>
      </c>
      <c r="AH105" s="4">
        <f t="shared" ca="1" si="44"/>
        <v>166.61930344184361</v>
      </c>
      <c r="AI105" s="4">
        <f t="shared" ca="1" si="44"/>
        <v>169.11859306954153</v>
      </c>
      <c r="AJ105" s="4">
        <f t="shared" ca="1" si="44"/>
        <v>171.65537194193024</v>
      </c>
      <c r="AK105" s="4">
        <f t="shared" ref="AK105:BL105" ca="1" si="45">AK66+AK64+AK57</f>
        <v>174.23020249740483</v>
      </c>
      <c r="AL105" s="4">
        <f t="shared" ca="1" si="45"/>
        <v>176.84365557142263</v>
      </c>
      <c r="AM105" s="4">
        <f t="shared" ca="1" si="45"/>
        <v>179.49631041493956</v>
      </c>
      <c r="AN105" s="4">
        <f t="shared" ca="1" si="45"/>
        <v>182.1887550372949</v>
      </c>
      <c r="AO105" s="4">
        <f t="shared" ca="1" si="45"/>
        <v>184.92158638973424</v>
      </c>
      <c r="AP105" s="4">
        <f t="shared" ca="1" si="45"/>
        <v>187.69541017455947</v>
      </c>
      <c r="AQ105" s="4">
        <f t="shared" ca="1" si="45"/>
        <v>190.51084130137306</v>
      </c>
      <c r="AR105" s="4">
        <f t="shared" ca="1" si="45"/>
        <v>193.36850391524888</v>
      </c>
      <c r="AS105" s="4">
        <f t="shared" ca="1" si="45"/>
        <v>0</v>
      </c>
      <c r="AT105" s="4">
        <f t="shared" ca="1" si="45"/>
        <v>0</v>
      </c>
      <c r="AU105" s="4">
        <f t="shared" ca="1" si="45"/>
        <v>0</v>
      </c>
      <c r="AV105" s="4">
        <f t="shared" ca="1" si="45"/>
        <v>0</v>
      </c>
      <c r="AW105" s="4">
        <f t="shared" ca="1" si="45"/>
        <v>0</v>
      </c>
      <c r="AX105" s="4">
        <f t="shared" ca="1" si="45"/>
        <v>0</v>
      </c>
      <c r="AY105" s="4">
        <f t="shared" ca="1" si="45"/>
        <v>0</v>
      </c>
      <c r="AZ105" s="4">
        <f t="shared" ca="1" si="45"/>
        <v>0</v>
      </c>
      <c r="BA105" s="4">
        <f t="shared" ca="1" si="45"/>
        <v>0</v>
      </c>
      <c r="BB105" s="4">
        <f t="shared" ca="1" si="45"/>
        <v>0</v>
      </c>
      <c r="BC105" s="4">
        <f t="shared" ca="1" si="45"/>
        <v>0</v>
      </c>
      <c r="BD105" s="4">
        <f t="shared" ca="1" si="45"/>
        <v>0</v>
      </c>
      <c r="BE105" s="4">
        <f t="shared" ca="1" si="45"/>
        <v>0</v>
      </c>
      <c r="BF105" s="4">
        <f t="shared" ca="1" si="45"/>
        <v>0</v>
      </c>
      <c r="BG105" s="4">
        <f t="shared" ca="1" si="45"/>
        <v>0</v>
      </c>
      <c r="BH105" s="4">
        <f t="shared" ca="1" si="45"/>
        <v>0</v>
      </c>
      <c r="BI105" s="4">
        <f t="shared" ca="1" si="45"/>
        <v>0</v>
      </c>
      <c r="BJ105" s="4">
        <f t="shared" ca="1" si="45"/>
        <v>0</v>
      </c>
      <c r="BK105" s="4">
        <f t="shared" ca="1" si="45"/>
        <v>0</v>
      </c>
      <c r="BL105" s="4">
        <f t="shared" ca="1" si="45"/>
        <v>0</v>
      </c>
    </row>
    <row r="106" spans="3:64" x14ac:dyDescent="0.35">
      <c r="C106" s="2" t="s">
        <v>313</v>
      </c>
      <c r="E106" s="4">
        <f ca="1">IF(E105,E104/E105)</f>
        <v>1.1087190156148694</v>
      </c>
      <c r="F106" s="4">
        <f t="shared" ref="F106:BL106" ca="1" si="46">IF(F105,F104/F105)</f>
        <v>1.1087190156148694</v>
      </c>
      <c r="G106" s="4">
        <f t="shared" ca="1" si="46"/>
        <v>1.1087190156148694</v>
      </c>
      <c r="H106" s="4">
        <f t="shared" ca="1" si="46"/>
        <v>1.1087190156148694</v>
      </c>
      <c r="I106" s="4">
        <f t="shared" ca="1" si="46"/>
        <v>1.1087190156148694</v>
      </c>
      <c r="J106" s="4">
        <f t="shared" ca="1" si="46"/>
        <v>1.1087190156148692</v>
      </c>
      <c r="K106" s="4">
        <f t="shared" ca="1" si="46"/>
        <v>1.1087190156148694</v>
      </c>
      <c r="L106" s="4">
        <f t="shared" ca="1" si="46"/>
        <v>1.1087190156148694</v>
      </c>
      <c r="M106" s="4">
        <f t="shared" ca="1" si="46"/>
        <v>1.1087190156148694</v>
      </c>
      <c r="N106" s="4">
        <f t="shared" ca="1" si="46"/>
        <v>1.1087190156148694</v>
      </c>
      <c r="O106" s="4">
        <f t="shared" ca="1" si="46"/>
        <v>1.1087190156148694</v>
      </c>
      <c r="P106" s="4">
        <f t="shared" ca="1" si="46"/>
        <v>1.1087190156148694</v>
      </c>
      <c r="Q106" s="4">
        <f t="shared" ca="1" si="46"/>
        <v>1.1087190156148694</v>
      </c>
      <c r="R106" s="4">
        <f t="shared" ca="1" si="46"/>
        <v>1.1087190156148694</v>
      </c>
      <c r="S106" s="4">
        <f t="shared" ca="1" si="46"/>
        <v>1.1087190156148694</v>
      </c>
      <c r="T106" s="4">
        <f t="shared" ca="1" si="46"/>
        <v>1.1087190156148694</v>
      </c>
      <c r="U106" s="4">
        <f t="shared" ca="1" si="46"/>
        <v>1.1087190156148694</v>
      </c>
      <c r="V106" s="4">
        <f t="shared" ca="1" si="46"/>
        <v>1.1087190156148694</v>
      </c>
      <c r="W106" s="4">
        <f t="shared" ca="1" si="46"/>
        <v>1.1087190156148694</v>
      </c>
      <c r="X106" s="4">
        <f t="shared" ca="1" si="46"/>
        <v>1.1087190156148694</v>
      </c>
      <c r="Y106" s="4">
        <f t="shared" ca="1" si="46"/>
        <v>1.1087190156148694</v>
      </c>
      <c r="Z106" s="4">
        <f t="shared" ca="1" si="46"/>
        <v>1.1087190156148694</v>
      </c>
      <c r="AA106" s="4">
        <f t="shared" ca="1" si="46"/>
        <v>1.1087190156148694</v>
      </c>
      <c r="AB106" s="4">
        <f t="shared" ca="1" si="46"/>
        <v>1.1087190156148694</v>
      </c>
      <c r="AC106" s="4">
        <f t="shared" ca="1" si="46"/>
        <v>1.1087190156148694</v>
      </c>
      <c r="AD106" s="4">
        <f t="shared" ca="1" si="46"/>
        <v>1.1087190156148694</v>
      </c>
      <c r="AE106" s="4">
        <f t="shared" ca="1" si="46"/>
        <v>1.1087190156148694</v>
      </c>
      <c r="AF106" s="4">
        <f t="shared" ca="1" si="46"/>
        <v>1.1087190156148694</v>
      </c>
      <c r="AG106" s="4">
        <f t="shared" ca="1" si="46"/>
        <v>1.1087190156148694</v>
      </c>
      <c r="AH106" s="4">
        <f t="shared" ca="1" si="46"/>
        <v>1.1087190156148694</v>
      </c>
      <c r="AI106" s="4">
        <f t="shared" ca="1" si="46"/>
        <v>1.1087190156148694</v>
      </c>
      <c r="AJ106" s="4">
        <f t="shared" ca="1" si="46"/>
        <v>1.1087190156148696</v>
      </c>
      <c r="AK106" s="4">
        <f t="shared" ca="1" si="46"/>
        <v>1.1087190156148694</v>
      </c>
      <c r="AL106" s="4">
        <f t="shared" ca="1" si="46"/>
        <v>1.1087190156148694</v>
      </c>
      <c r="AM106" s="4">
        <f t="shared" ca="1" si="46"/>
        <v>1.1087190156148694</v>
      </c>
      <c r="AN106" s="4">
        <f t="shared" ca="1" si="46"/>
        <v>1.1087190156148694</v>
      </c>
      <c r="AO106" s="4">
        <f t="shared" ca="1" si="46"/>
        <v>1.1087190156148694</v>
      </c>
      <c r="AP106" s="4">
        <f t="shared" ca="1" si="46"/>
        <v>1.1087190156148694</v>
      </c>
      <c r="AQ106" s="4">
        <f t="shared" ca="1" si="46"/>
        <v>1.1087190156148694</v>
      </c>
      <c r="AR106" s="4">
        <f t="shared" ca="1" si="46"/>
        <v>1.1087190156148694</v>
      </c>
      <c r="AS106" s="4" t="b">
        <f t="shared" ca="1" si="46"/>
        <v>0</v>
      </c>
      <c r="AT106" s="4" t="b">
        <f t="shared" ca="1" si="46"/>
        <v>0</v>
      </c>
      <c r="AU106" s="4" t="b">
        <f t="shared" ca="1" si="46"/>
        <v>0</v>
      </c>
      <c r="AV106" s="4" t="b">
        <f t="shared" ca="1" si="46"/>
        <v>0</v>
      </c>
      <c r="AW106" s="4" t="b">
        <f t="shared" ca="1" si="46"/>
        <v>0</v>
      </c>
      <c r="AX106" s="4" t="b">
        <f t="shared" ca="1" si="46"/>
        <v>0</v>
      </c>
      <c r="AY106" s="4" t="b">
        <f t="shared" ca="1" si="46"/>
        <v>0</v>
      </c>
      <c r="AZ106" s="4" t="b">
        <f t="shared" ca="1" si="46"/>
        <v>0</v>
      </c>
      <c r="BA106" s="4" t="b">
        <f t="shared" ca="1" si="46"/>
        <v>0</v>
      </c>
      <c r="BB106" s="4" t="b">
        <f t="shared" ca="1" si="46"/>
        <v>0</v>
      </c>
      <c r="BC106" s="4" t="b">
        <f t="shared" ca="1" si="46"/>
        <v>0</v>
      </c>
      <c r="BD106" s="4" t="b">
        <f t="shared" ca="1" si="46"/>
        <v>0</v>
      </c>
      <c r="BE106" s="4" t="b">
        <f t="shared" ca="1" si="46"/>
        <v>0</v>
      </c>
      <c r="BF106" s="4" t="b">
        <f t="shared" ca="1" si="46"/>
        <v>0</v>
      </c>
      <c r="BG106" s="4" t="b">
        <f t="shared" ca="1" si="46"/>
        <v>0</v>
      </c>
      <c r="BH106" s="4" t="b">
        <f t="shared" ca="1" si="46"/>
        <v>0</v>
      </c>
      <c r="BI106" s="4" t="b">
        <f t="shared" ca="1" si="46"/>
        <v>0</v>
      </c>
      <c r="BJ106" s="4" t="b">
        <f t="shared" ca="1" si="46"/>
        <v>0</v>
      </c>
      <c r="BK106" s="4" t="b">
        <f t="shared" ca="1" si="46"/>
        <v>0</v>
      </c>
      <c r="BL106" s="4" t="b">
        <f t="shared" ca="1" si="46"/>
        <v>0</v>
      </c>
    </row>
    <row r="107" spans="3:64" x14ac:dyDescent="0.35">
      <c r="C107" s="2" t="s">
        <v>300</v>
      </c>
      <c r="D107" s="4">
        <f ca="1">MIN(106:106)</f>
        <v>1.1087190156148692</v>
      </c>
    </row>
    <row r="108" spans="3:64" x14ac:dyDescent="0.35">
      <c r="C108" s="2" t="s">
        <v>314</v>
      </c>
      <c r="D108" s="4">
        <f ca="1">AVERAGE(106:106)</f>
        <v>1.1087190156148687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7" r:id="rId4" name="Button 3">
              <controlPr defaultSize="0" print="0" autoFill="0" autoPict="0" macro="[0]!sculpt_func">
                <anchor moveWithCells="1" sizeWithCells="1">
                  <from>
                    <xdr:col>6</xdr:col>
                    <xdr:colOff>165100</xdr:colOff>
                    <xdr:row>8</xdr:row>
                    <xdr:rowOff>88900</xdr:rowOff>
                  </from>
                  <to>
                    <xdr:col>7</xdr:col>
                    <xdr:colOff>241300</xdr:colOff>
                    <xdr:row>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9" r:id="rId5" name="Check Box 5">
              <controlPr defaultSize="0" autoFill="0" autoLine="0" autoPict="0">
                <anchor moveWithCells="1">
                  <from>
                    <xdr:col>4</xdr:col>
                    <xdr:colOff>0</xdr:colOff>
                    <xdr:row>11</xdr:row>
                    <xdr:rowOff>12700</xdr:rowOff>
                  </from>
                  <to>
                    <xdr:col>5</xdr:col>
                    <xdr:colOff>222250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0" r:id="rId6" name="Check Box 6">
              <controlPr defaultSize="0" autoFill="0" autoLine="0" autoPict="0">
                <anchor moveWithCells="1">
                  <from>
                    <xdr:col>12</xdr:col>
                    <xdr:colOff>0</xdr:colOff>
                    <xdr:row>2</xdr:row>
                    <xdr:rowOff>12700</xdr:rowOff>
                  </from>
                  <to>
                    <xdr:col>13</xdr:col>
                    <xdr:colOff>222250</xdr:colOff>
                    <xdr:row>2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16">
    <tabColor rgb="FFFFFF00"/>
  </sheetPr>
  <dimension ref="A4:A131"/>
  <sheetViews>
    <sheetView showGridLines="0" workbookViewId="0"/>
  </sheetViews>
  <sheetFormatPr defaultRowHeight="14.5" x14ac:dyDescent="0.35"/>
  <sheetData>
    <row r="4" spans="1:1" x14ac:dyDescent="0.35">
      <c r="A4" s="107" t="s">
        <v>361</v>
      </c>
    </row>
    <row r="5" spans="1:1" x14ac:dyDescent="0.35">
      <c r="A5" s="107" t="s">
        <v>362</v>
      </c>
    </row>
    <row r="6" spans="1:1" x14ac:dyDescent="0.35">
      <c r="A6" s="107"/>
    </row>
    <row r="7" spans="1:1" x14ac:dyDescent="0.35">
      <c r="A7" s="107" t="s">
        <v>363</v>
      </c>
    </row>
    <row r="8" spans="1:1" x14ac:dyDescent="0.35">
      <c r="A8" s="107" t="s">
        <v>237</v>
      </c>
    </row>
    <row r="9" spans="1:1" x14ac:dyDescent="0.35">
      <c r="A9" s="107" t="s">
        <v>238</v>
      </c>
    </row>
    <row r="10" spans="1:1" x14ac:dyDescent="0.35">
      <c r="A10" s="107" t="s">
        <v>239</v>
      </c>
    </row>
    <row r="11" spans="1:1" x14ac:dyDescent="0.35">
      <c r="A11" s="107" t="s">
        <v>242</v>
      </c>
    </row>
    <row r="12" spans="1:1" x14ac:dyDescent="0.35">
      <c r="A12" s="107" t="s">
        <v>364</v>
      </c>
    </row>
    <row r="13" spans="1:1" x14ac:dyDescent="0.35">
      <c r="A13" s="107" t="s">
        <v>242</v>
      </c>
    </row>
    <row r="14" spans="1:1" x14ac:dyDescent="0.35">
      <c r="A14" s="107" t="s">
        <v>240</v>
      </c>
    </row>
    <row r="15" spans="1:1" x14ac:dyDescent="0.35">
      <c r="A15" s="107" t="s">
        <v>241</v>
      </c>
    </row>
    <row r="16" spans="1:1" x14ac:dyDescent="0.35">
      <c r="A16" s="107" t="s">
        <v>240</v>
      </c>
    </row>
    <row r="17" spans="1:1" x14ac:dyDescent="0.35">
      <c r="A17" s="107" t="s">
        <v>243</v>
      </c>
    </row>
    <row r="18" spans="1:1" x14ac:dyDescent="0.35">
      <c r="A18" s="107" t="s">
        <v>244</v>
      </c>
    </row>
    <row r="19" spans="1:1" x14ac:dyDescent="0.35">
      <c r="A19" s="107" t="s">
        <v>245</v>
      </c>
    </row>
    <row r="20" spans="1:1" x14ac:dyDescent="0.35">
      <c r="A20" s="107" t="s">
        <v>246</v>
      </c>
    </row>
    <row r="21" spans="1:1" x14ac:dyDescent="0.35">
      <c r="A21" s="107" t="s">
        <v>247</v>
      </c>
    </row>
    <row r="22" spans="1:1" x14ac:dyDescent="0.35">
      <c r="A22" s="107" t="s">
        <v>248</v>
      </c>
    </row>
    <row r="23" spans="1:1" x14ac:dyDescent="0.35">
      <c r="A23" s="107" t="s">
        <v>249</v>
      </c>
    </row>
    <row r="24" spans="1:1" x14ac:dyDescent="0.35">
      <c r="A24" s="107" t="s">
        <v>240</v>
      </c>
    </row>
    <row r="25" spans="1:1" x14ac:dyDescent="0.35">
      <c r="A25" s="107" t="s">
        <v>250</v>
      </c>
    </row>
    <row r="26" spans="1:1" x14ac:dyDescent="0.35">
      <c r="A26" s="107" t="s">
        <v>240</v>
      </c>
    </row>
    <row r="27" spans="1:1" x14ac:dyDescent="0.35">
      <c r="A27" s="107" t="s">
        <v>251</v>
      </c>
    </row>
    <row r="28" spans="1:1" x14ac:dyDescent="0.35">
      <c r="A28" s="107" t="s">
        <v>252</v>
      </c>
    </row>
    <row r="29" spans="1:1" x14ac:dyDescent="0.35">
      <c r="A29" s="107" t="s">
        <v>253</v>
      </c>
    </row>
    <row r="30" spans="1:1" x14ac:dyDescent="0.35">
      <c r="A30" s="107" t="s">
        <v>248</v>
      </c>
    </row>
    <row r="31" spans="1:1" x14ac:dyDescent="0.35">
      <c r="A31" s="107" t="s">
        <v>249</v>
      </c>
    </row>
    <row r="32" spans="1:1" x14ac:dyDescent="0.35">
      <c r="A32" s="107" t="s">
        <v>254</v>
      </c>
    </row>
    <row r="33" spans="1:1" x14ac:dyDescent="0.35">
      <c r="A33" s="107" t="s">
        <v>240</v>
      </c>
    </row>
    <row r="34" spans="1:1" x14ac:dyDescent="0.35">
      <c r="A34" s="107" t="s">
        <v>365</v>
      </c>
    </row>
    <row r="35" spans="1:1" x14ac:dyDescent="0.35">
      <c r="A35" s="107" t="s">
        <v>240</v>
      </c>
    </row>
    <row r="36" spans="1:1" x14ac:dyDescent="0.35">
      <c r="A36" s="107" t="s">
        <v>366</v>
      </c>
    </row>
    <row r="37" spans="1:1" x14ac:dyDescent="0.35">
      <c r="A37" s="107" t="s">
        <v>242</v>
      </c>
    </row>
    <row r="38" spans="1:1" x14ac:dyDescent="0.35">
      <c r="A38" s="107" t="s">
        <v>256</v>
      </c>
    </row>
    <row r="39" spans="1:1" x14ac:dyDescent="0.35">
      <c r="A39" s="107" t="s">
        <v>257</v>
      </c>
    </row>
    <row r="40" spans="1:1" x14ac:dyDescent="0.35">
      <c r="A40" s="107" t="s">
        <v>258</v>
      </c>
    </row>
    <row r="41" spans="1:1" x14ac:dyDescent="0.35">
      <c r="A41" s="107" t="s">
        <v>261</v>
      </c>
    </row>
    <row r="42" spans="1:1" x14ac:dyDescent="0.35">
      <c r="A42" s="107" t="s">
        <v>367</v>
      </c>
    </row>
    <row r="43" spans="1:1" x14ac:dyDescent="0.35">
      <c r="A43" s="107" t="s">
        <v>368</v>
      </c>
    </row>
    <row r="44" spans="1:1" x14ac:dyDescent="0.35">
      <c r="A44" s="107" t="s">
        <v>369</v>
      </c>
    </row>
    <row r="45" spans="1:1" x14ac:dyDescent="0.35">
      <c r="A45" s="107" t="s">
        <v>370</v>
      </c>
    </row>
    <row r="46" spans="1:1" x14ac:dyDescent="0.35">
      <c r="A46" s="107" t="s">
        <v>261</v>
      </c>
    </row>
    <row r="47" spans="1:1" x14ac:dyDescent="0.35">
      <c r="A47" s="107" t="s">
        <v>371</v>
      </c>
    </row>
    <row r="48" spans="1:1" x14ac:dyDescent="0.35">
      <c r="A48" s="107" t="s">
        <v>261</v>
      </c>
    </row>
    <row r="49" spans="1:1" x14ac:dyDescent="0.35">
      <c r="A49" s="107" t="s">
        <v>262</v>
      </c>
    </row>
    <row r="50" spans="1:1" x14ac:dyDescent="0.35">
      <c r="A50" s="107" t="s">
        <v>263</v>
      </c>
    </row>
    <row r="51" spans="1:1" x14ac:dyDescent="0.35">
      <c r="A51" s="107" t="s">
        <v>264</v>
      </c>
    </row>
    <row r="52" spans="1:1" x14ac:dyDescent="0.35">
      <c r="A52" s="107" t="s">
        <v>372</v>
      </c>
    </row>
    <row r="53" spans="1:1" x14ac:dyDescent="0.35">
      <c r="A53" s="107" t="s">
        <v>373</v>
      </c>
    </row>
    <row r="54" spans="1:1" x14ac:dyDescent="0.35">
      <c r="A54" s="107" t="s">
        <v>374</v>
      </c>
    </row>
    <row r="55" spans="1:1" x14ac:dyDescent="0.35">
      <c r="A55" s="107" t="s">
        <v>375</v>
      </c>
    </row>
    <row r="56" spans="1:1" x14ac:dyDescent="0.35">
      <c r="A56" s="107" t="s">
        <v>266</v>
      </c>
    </row>
    <row r="57" spans="1:1" x14ac:dyDescent="0.35">
      <c r="A57" s="107" t="s">
        <v>261</v>
      </c>
    </row>
    <row r="58" spans="1:1" x14ac:dyDescent="0.35">
      <c r="A58" s="107" t="s">
        <v>376</v>
      </c>
    </row>
    <row r="59" spans="1:1" x14ac:dyDescent="0.35">
      <c r="A59" s="107" t="s">
        <v>377</v>
      </c>
    </row>
    <row r="60" spans="1:1" x14ac:dyDescent="0.35">
      <c r="A60" s="107" t="s">
        <v>261</v>
      </c>
    </row>
    <row r="61" spans="1:1" x14ac:dyDescent="0.35">
      <c r="A61" s="107" t="s">
        <v>378</v>
      </c>
    </row>
    <row r="62" spans="1:1" x14ac:dyDescent="0.35">
      <c r="A62" s="107" t="s">
        <v>379</v>
      </c>
    </row>
    <row r="63" spans="1:1" x14ac:dyDescent="0.35">
      <c r="A63" s="107" t="s">
        <v>248</v>
      </c>
    </row>
    <row r="64" spans="1:1" x14ac:dyDescent="0.35">
      <c r="A64" s="107" t="s">
        <v>270</v>
      </c>
    </row>
    <row r="65" spans="1:1" x14ac:dyDescent="0.35">
      <c r="A65" s="107" t="s">
        <v>380</v>
      </c>
    </row>
    <row r="66" spans="1:1" x14ac:dyDescent="0.35">
      <c r="A66" s="107" t="s">
        <v>270</v>
      </c>
    </row>
    <row r="67" spans="1:1" x14ac:dyDescent="0.35">
      <c r="A67" s="107" t="s">
        <v>381</v>
      </c>
    </row>
    <row r="68" spans="1:1" x14ac:dyDescent="0.35">
      <c r="A68" s="107" t="s">
        <v>382</v>
      </c>
    </row>
    <row r="69" spans="1:1" x14ac:dyDescent="0.35">
      <c r="A69" s="107" t="s">
        <v>383</v>
      </c>
    </row>
    <row r="70" spans="1:1" x14ac:dyDescent="0.35">
      <c r="A70" s="107" t="s">
        <v>384</v>
      </c>
    </row>
    <row r="71" spans="1:1" x14ac:dyDescent="0.35">
      <c r="A71" s="107" t="s">
        <v>248</v>
      </c>
    </row>
    <row r="72" spans="1:1" x14ac:dyDescent="0.35">
      <c r="A72" s="107" t="s">
        <v>385</v>
      </c>
    </row>
    <row r="73" spans="1:1" x14ac:dyDescent="0.35">
      <c r="A73" s="107" t="s">
        <v>386</v>
      </c>
    </row>
    <row r="74" spans="1:1" x14ac:dyDescent="0.35">
      <c r="A74" s="107"/>
    </row>
    <row r="75" spans="1:1" x14ac:dyDescent="0.35">
      <c r="A75" s="107" t="s">
        <v>273</v>
      </c>
    </row>
    <row r="76" spans="1:1" x14ac:dyDescent="0.35">
      <c r="A76" s="107" t="s">
        <v>274</v>
      </c>
    </row>
    <row r="77" spans="1:1" x14ac:dyDescent="0.35">
      <c r="A77" s="107" t="s">
        <v>275</v>
      </c>
    </row>
    <row r="78" spans="1:1" x14ac:dyDescent="0.35">
      <c r="A78" s="107" t="s">
        <v>387</v>
      </c>
    </row>
    <row r="79" spans="1:1" x14ac:dyDescent="0.35">
      <c r="A79" s="107" t="s">
        <v>266</v>
      </c>
    </row>
    <row r="80" spans="1:1" x14ac:dyDescent="0.35">
      <c r="A80" s="107"/>
    </row>
    <row r="81" spans="1:1" x14ac:dyDescent="0.35">
      <c r="A81" s="107" t="s">
        <v>388</v>
      </c>
    </row>
    <row r="82" spans="1:1" x14ac:dyDescent="0.35">
      <c r="A82" s="107" t="s">
        <v>278</v>
      </c>
    </row>
    <row r="83" spans="1:1" x14ac:dyDescent="0.35">
      <c r="A83" s="107" t="s">
        <v>279</v>
      </c>
    </row>
    <row r="84" spans="1:1" x14ac:dyDescent="0.35">
      <c r="A84" s="107" t="s">
        <v>261</v>
      </c>
    </row>
    <row r="85" spans="1:1" x14ac:dyDescent="0.35">
      <c r="A85" s="107" t="s">
        <v>280</v>
      </c>
    </row>
    <row r="86" spans="1:1" x14ac:dyDescent="0.35">
      <c r="A86" s="107" t="s">
        <v>389</v>
      </c>
    </row>
    <row r="87" spans="1:1" x14ac:dyDescent="0.35">
      <c r="A87" s="107" t="s">
        <v>390</v>
      </c>
    </row>
    <row r="88" spans="1:1" x14ac:dyDescent="0.35">
      <c r="A88" s="107" t="s">
        <v>391</v>
      </c>
    </row>
    <row r="89" spans="1:1" x14ac:dyDescent="0.35">
      <c r="A89" s="107" t="s">
        <v>392</v>
      </c>
    </row>
    <row r="90" spans="1:1" x14ac:dyDescent="0.35">
      <c r="A90" s="107" t="s">
        <v>254</v>
      </c>
    </row>
    <row r="91" spans="1:1" x14ac:dyDescent="0.35">
      <c r="A91" s="107" t="s">
        <v>393</v>
      </c>
    </row>
    <row r="92" spans="1:1" x14ac:dyDescent="0.35">
      <c r="A92" s="107" t="s">
        <v>394</v>
      </c>
    </row>
    <row r="93" spans="1:1" x14ac:dyDescent="0.35">
      <c r="A93" s="107" t="s">
        <v>395</v>
      </c>
    </row>
    <row r="94" spans="1:1" x14ac:dyDescent="0.35">
      <c r="A94" s="107" t="s">
        <v>392</v>
      </c>
    </row>
    <row r="95" spans="1:1" x14ac:dyDescent="0.35">
      <c r="A95" s="107" t="s">
        <v>254</v>
      </c>
    </row>
    <row r="96" spans="1:1" x14ac:dyDescent="0.35">
      <c r="A96" s="107" t="s">
        <v>283</v>
      </c>
    </row>
    <row r="97" spans="1:1" x14ac:dyDescent="0.35">
      <c r="A97" s="107" t="s">
        <v>284</v>
      </c>
    </row>
    <row r="98" spans="1:1" x14ac:dyDescent="0.35">
      <c r="A98" s="107" t="s">
        <v>285</v>
      </c>
    </row>
    <row r="99" spans="1:1" x14ac:dyDescent="0.35">
      <c r="A99" s="107" t="s">
        <v>286</v>
      </c>
    </row>
    <row r="100" spans="1:1" x14ac:dyDescent="0.35">
      <c r="A100" s="107" t="s">
        <v>396</v>
      </c>
    </row>
    <row r="101" spans="1:1" x14ac:dyDescent="0.35">
      <c r="A101" s="107" t="s">
        <v>397</v>
      </c>
    </row>
    <row r="102" spans="1:1" x14ac:dyDescent="0.35">
      <c r="A102" s="107" t="s">
        <v>398</v>
      </c>
    </row>
    <row r="103" spans="1:1" x14ac:dyDescent="0.35">
      <c r="A103" s="107" t="s">
        <v>261</v>
      </c>
    </row>
    <row r="104" spans="1:1" x14ac:dyDescent="0.35">
      <c r="A104" s="107" t="s">
        <v>399</v>
      </c>
    </row>
    <row r="105" spans="1:1" x14ac:dyDescent="0.35">
      <c r="A105" s="107" t="s">
        <v>270</v>
      </c>
    </row>
    <row r="106" spans="1:1" x14ac:dyDescent="0.35">
      <c r="A106" s="107" t="s">
        <v>266</v>
      </c>
    </row>
    <row r="107" spans="1:1" x14ac:dyDescent="0.35">
      <c r="A107" s="107" t="s">
        <v>242</v>
      </c>
    </row>
    <row r="108" spans="1:1" x14ac:dyDescent="0.35">
      <c r="A108" s="107" t="s">
        <v>400</v>
      </c>
    </row>
    <row r="109" spans="1:1" x14ac:dyDescent="0.35">
      <c r="A109" s="107" t="s">
        <v>242</v>
      </c>
    </row>
    <row r="110" spans="1:1" x14ac:dyDescent="0.35">
      <c r="A110" s="107" t="s">
        <v>289</v>
      </c>
    </row>
    <row r="111" spans="1:1" x14ac:dyDescent="0.35">
      <c r="A111" s="107" t="s">
        <v>242</v>
      </c>
    </row>
    <row r="112" spans="1:1" x14ac:dyDescent="0.35">
      <c r="A112" s="107" t="s">
        <v>290</v>
      </c>
    </row>
    <row r="113" spans="1:1" x14ac:dyDescent="0.35">
      <c r="A113" s="107" t="s">
        <v>242</v>
      </c>
    </row>
    <row r="114" spans="1:1" x14ac:dyDescent="0.35">
      <c r="A114" s="107" t="s">
        <v>291</v>
      </c>
    </row>
    <row r="115" spans="1:1" x14ac:dyDescent="0.35">
      <c r="A115" s="107" t="s">
        <v>292</v>
      </c>
    </row>
    <row r="116" spans="1:1" x14ac:dyDescent="0.35">
      <c r="A116" s="107" t="s">
        <v>293</v>
      </c>
    </row>
    <row r="117" spans="1:1" x14ac:dyDescent="0.35">
      <c r="A117" s="107" t="s">
        <v>294</v>
      </c>
    </row>
    <row r="118" spans="1:1" x14ac:dyDescent="0.35">
      <c r="A118" s="107" t="s">
        <v>401</v>
      </c>
    </row>
    <row r="119" spans="1:1" x14ac:dyDescent="0.35">
      <c r="A119" s="107" t="s">
        <v>402</v>
      </c>
    </row>
    <row r="120" spans="1:1" x14ac:dyDescent="0.35">
      <c r="A120" s="107" t="s">
        <v>403</v>
      </c>
    </row>
    <row r="121" spans="1:1" x14ac:dyDescent="0.35">
      <c r="A121" s="107" t="s">
        <v>242</v>
      </c>
    </row>
    <row r="122" spans="1:1" x14ac:dyDescent="0.35">
      <c r="A122" s="107" t="s">
        <v>242</v>
      </c>
    </row>
    <row r="123" spans="1:1" x14ac:dyDescent="0.35">
      <c r="A123" s="107" t="s">
        <v>295</v>
      </c>
    </row>
    <row r="124" spans="1:1" x14ac:dyDescent="0.35">
      <c r="A124" s="107" t="s">
        <v>242</v>
      </c>
    </row>
    <row r="125" spans="1:1" x14ac:dyDescent="0.35">
      <c r="A125" s="107" t="s">
        <v>249</v>
      </c>
    </row>
    <row r="126" spans="1:1" x14ac:dyDescent="0.35">
      <c r="A126" s="107" t="s">
        <v>242</v>
      </c>
    </row>
    <row r="127" spans="1:1" x14ac:dyDescent="0.35">
      <c r="A127" s="107" t="s">
        <v>296</v>
      </c>
    </row>
    <row r="128" spans="1:1" x14ac:dyDescent="0.35">
      <c r="A128" s="107"/>
    </row>
    <row r="129" spans="1:1" x14ac:dyDescent="0.35">
      <c r="A129" s="107" t="s">
        <v>404</v>
      </c>
    </row>
    <row r="130" spans="1:1" x14ac:dyDescent="0.35">
      <c r="A130" s="107"/>
    </row>
    <row r="131" spans="1:1" x14ac:dyDescent="0.35">
      <c r="A131" s="107" t="s">
        <v>298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1"/>
  <dimension ref="A1:BL130"/>
  <sheetViews>
    <sheetView zoomScale="80" zoomScaleNormal="80" workbookViewId="0">
      <pane xSplit="4" ySplit="8" topLeftCell="E79" activePane="bottomRight" state="frozen"/>
      <selection pane="topRight" activeCell="E1" sqref="E1"/>
      <selection pane="bottomLeft" activeCell="A9" sqref="A9"/>
      <selection pane="bottomRight" activeCell="K79" sqref="K79"/>
    </sheetView>
  </sheetViews>
  <sheetFormatPr defaultColWidth="9.1796875" defaultRowHeight="14.5" outlineLevelRow="1" x14ac:dyDescent="0.35"/>
  <cols>
    <col min="1" max="2" width="1.26953125" style="2" customWidth="1"/>
    <col min="3" max="3" width="38.81640625" style="2" customWidth="1"/>
    <col min="4" max="4" width="12.7265625" style="2" bestFit="1" customWidth="1"/>
    <col min="5" max="64" width="10.81640625" style="2" customWidth="1"/>
    <col min="65" max="16384" width="9.1796875" style="2"/>
  </cols>
  <sheetData>
    <row r="1" spans="1:18" ht="26" x14ac:dyDescent="0.6">
      <c r="C1" s="89" t="s">
        <v>414</v>
      </c>
      <c r="M1" s="2" t="s">
        <v>449</v>
      </c>
    </row>
    <row r="2" spans="1:18" ht="26" x14ac:dyDescent="0.6">
      <c r="C2" s="89" t="s">
        <v>455</v>
      </c>
    </row>
    <row r="3" spans="1:18" ht="26" x14ac:dyDescent="0.6">
      <c r="C3" s="89" t="s">
        <v>231</v>
      </c>
    </row>
    <row r="5" spans="1:18" s="1" customFormat="1" x14ac:dyDescent="0.35">
      <c r="A5" s="126" t="s">
        <v>77</v>
      </c>
      <c r="B5" s="126"/>
      <c r="C5" s="126"/>
      <c r="D5" s="126"/>
      <c r="E5" s="126"/>
      <c r="F5" s="126"/>
      <c r="G5" s="126"/>
      <c r="H5" s="126"/>
    </row>
    <row r="6" spans="1:18" x14ac:dyDescent="0.35">
      <c r="A6" s="1"/>
      <c r="B6" s="2" t="s">
        <v>65</v>
      </c>
      <c r="D6" s="128">
        <v>1</v>
      </c>
      <c r="E6" s="128">
        <v>5</v>
      </c>
      <c r="F6" s="128">
        <v>10</v>
      </c>
      <c r="K6" s="2" t="s">
        <v>132</v>
      </c>
    </row>
    <row r="7" spans="1:18" x14ac:dyDescent="0.35">
      <c r="A7" s="1"/>
      <c r="B7" s="2" t="s">
        <v>24</v>
      </c>
      <c r="D7" s="129">
        <v>0.03</v>
      </c>
      <c r="E7" s="129">
        <v>3.5000000000000003E-2</v>
      </c>
      <c r="F7" s="129">
        <v>0.04</v>
      </c>
      <c r="K7" s="2" t="s">
        <v>133</v>
      </c>
      <c r="R7" s="2" t="s">
        <v>129</v>
      </c>
    </row>
    <row r="8" spans="1:18" x14ac:dyDescent="0.35">
      <c r="A8" s="1"/>
      <c r="B8" s="2" t="s">
        <v>84</v>
      </c>
      <c r="D8" s="130">
        <v>1.3</v>
      </c>
      <c r="E8" s="4"/>
      <c r="F8" s="4"/>
      <c r="K8" s="2" t="s">
        <v>134</v>
      </c>
      <c r="R8" s="2" t="s">
        <v>126</v>
      </c>
    </row>
    <row r="9" spans="1:18" x14ac:dyDescent="0.35">
      <c r="A9" s="1"/>
      <c r="D9" s="4"/>
      <c r="E9" s="12"/>
      <c r="F9" s="12"/>
      <c r="R9" s="2" t="s">
        <v>127</v>
      </c>
    </row>
    <row r="10" spans="1:18" x14ac:dyDescent="0.35">
      <c r="A10" s="1"/>
      <c r="B10" s="2" t="s">
        <v>85</v>
      </c>
      <c r="D10" s="128">
        <v>20</v>
      </c>
      <c r="K10" s="2" t="s">
        <v>140</v>
      </c>
      <c r="R10" s="2" t="s">
        <v>128</v>
      </c>
    </row>
    <row r="11" spans="1:18" x14ac:dyDescent="0.35">
      <c r="H11" s="12"/>
      <c r="K11" s="2" t="s">
        <v>456</v>
      </c>
    </row>
    <row r="12" spans="1:18" x14ac:dyDescent="0.35">
      <c r="B12" s="2" t="s">
        <v>222</v>
      </c>
      <c r="D12" s="128" t="b">
        <v>0</v>
      </c>
      <c r="G12" s="1" t="s">
        <v>320</v>
      </c>
      <c r="H12" s="12"/>
      <c r="K12" s="2" t="s">
        <v>142</v>
      </c>
      <c r="R12" s="2" t="s">
        <v>130</v>
      </c>
    </row>
    <row r="13" spans="1:18" x14ac:dyDescent="0.35">
      <c r="B13" s="2" t="s">
        <v>229</v>
      </c>
      <c r="D13" s="2" t="b">
        <f>NOT(D12)</f>
        <v>1</v>
      </c>
      <c r="G13" s="115" t="s">
        <v>304</v>
      </c>
      <c r="H13" s="116">
        <f ca="1">D74</f>
        <v>5.5422333389287814E-12</v>
      </c>
      <c r="K13" s="2" t="s">
        <v>457</v>
      </c>
      <c r="R13" s="2" t="s">
        <v>131</v>
      </c>
    </row>
    <row r="14" spans="1:18" x14ac:dyDescent="0.35">
      <c r="A14" s="1"/>
      <c r="G14" s="117" t="s">
        <v>305</v>
      </c>
      <c r="H14" s="118">
        <f ca="1">D73</f>
        <v>1.346616929478431E-10</v>
      </c>
      <c r="R14" s="2" t="s">
        <v>137</v>
      </c>
    </row>
    <row r="15" spans="1:18" x14ac:dyDescent="0.35">
      <c r="A15" s="1"/>
      <c r="B15" s="2" t="s">
        <v>78</v>
      </c>
      <c r="D15" s="128">
        <v>12</v>
      </c>
      <c r="G15" s="117" t="s">
        <v>315</v>
      </c>
      <c r="H15" s="119">
        <f>D123</f>
        <v>0.93832928947424132</v>
      </c>
      <c r="I15" s="3">
        <f>D27</f>
        <v>0.95</v>
      </c>
    </row>
    <row r="16" spans="1:18" x14ac:dyDescent="0.35">
      <c r="A16" s="1"/>
      <c r="B16" s="2" t="s">
        <v>82</v>
      </c>
      <c r="D16" s="2">
        <f>D15/6</f>
        <v>2</v>
      </c>
      <c r="G16" s="117" t="s">
        <v>300</v>
      </c>
      <c r="H16" s="118">
        <f ca="1">D129</f>
        <v>1.2999999999999998</v>
      </c>
      <c r="I16" s="4">
        <f>D8</f>
        <v>1.3</v>
      </c>
    </row>
    <row r="17" spans="1:16" x14ac:dyDescent="0.35">
      <c r="A17" s="1"/>
      <c r="B17" s="2" t="s">
        <v>454</v>
      </c>
      <c r="D17" s="129">
        <v>0.01</v>
      </c>
      <c r="G17" s="117" t="s">
        <v>301</v>
      </c>
      <c r="H17" s="118">
        <f ca="1">D130</f>
        <v>1.2999999999999992</v>
      </c>
    </row>
    <row r="18" spans="1:16" x14ac:dyDescent="0.35">
      <c r="A18" s="1"/>
      <c r="B18" s="2" t="s">
        <v>171</v>
      </c>
      <c r="D18" s="129">
        <v>2.5000000000000001E-3</v>
      </c>
      <c r="G18" s="117" t="s">
        <v>309</v>
      </c>
      <c r="H18" s="119">
        <f ca="1">D118</f>
        <v>0.13547459344271973</v>
      </c>
    </row>
    <row r="19" spans="1:16" x14ac:dyDescent="0.35">
      <c r="A19" s="1"/>
      <c r="G19" s="120" t="s">
        <v>321</v>
      </c>
      <c r="H19" s="121">
        <f>D63</f>
        <v>3966.0650404946205</v>
      </c>
      <c r="I19" s="4">
        <f>D50</f>
        <v>5155.884552643005</v>
      </c>
    </row>
    <row r="20" spans="1:16" x14ac:dyDescent="0.35">
      <c r="A20" s="1"/>
      <c r="B20" s="2" t="s">
        <v>415</v>
      </c>
      <c r="D20" s="128">
        <v>180</v>
      </c>
    </row>
    <row r="21" spans="1:16" x14ac:dyDescent="0.35">
      <c r="A21" s="1"/>
    </row>
    <row r="22" spans="1:16" x14ac:dyDescent="0.35">
      <c r="A22" s="1"/>
      <c r="B22" s="2" t="s">
        <v>30</v>
      </c>
      <c r="D22" s="128">
        <v>1</v>
      </c>
      <c r="E22" s="128">
        <v>4</v>
      </c>
      <c r="F22" s="128">
        <v>6</v>
      </c>
    </row>
    <row r="23" spans="1:16" x14ac:dyDescent="0.35">
      <c r="A23" s="1"/>
      <c r="B23" s="2" t="s">
        <v>38</v>
      </c>
      <c r="D23" s="131">
        <v>0.03</v>
      </c>
      <c r="E23" s="131">
        <v>0.02</v>
      </c>
      <c r="F23" s="131">
        <v>0.03</v>
      </c>
    </row>
    <row r="24" spans="1:16" x14ac:dyDescent="0.35">
      <c r="A24" s="1"/>
    </row>
    <row r="25" spans="1:16" x14ac:dyDescent="0.35">
      <c r="A25" s="1"/>
      <c r="B25" s="2" t="s">
        <v>12</v>
      </c>
      <c r="D25" s="130">
        <v>4000</v>
      </c>
      <c r="G25" s="32" t="s">
        <v>97</v>
      </c>
      <c r="H25" s="32" t="s">
        <v>10</v>
      </c>
      <c r="I25" s="32" t="s">
        <v>15</v>
      </c>
      <c r="J25" s="32"/>
    </row>
    <row r="26" spans="1:16" x14ac:dyDescent="0.35">
      <c r="A26" s="1"/>
      <c r="B26" s="2" t="s">
        <v>95</v>
      </c>
      <c r="D26" s="4">
        <f>G26</f>
        <v>226.73051452636719</v>
      </c>
      <c r="G26" s="31">
        <f>E92</f>
        <v>226.73051452636719</v>
      </c>
      <c r="H26" s="30"/>
      <c r="I26" s="30"/>
      <c r="J26" s="28"/>
      <c r="N26" s="4"/>
      <c r="O26" s="4"/>
      <c r="P26" s="4"/>
    </row>
    <row r="27" spans="1:16" outlineLevel="1" x14ac:dyDescent="0.35">
      <c r="A27" s="1"/>
      <c r="B27" s="2" t="s">
        <v>86</v>
      </c>
      <c r="D27" s="131">
        <v>0.95</v>
      </c>
      <c r="I27" s="26"/>
    </row>
    <row r="28" spans="1:16" outlineLevel="1" x14ac:dyDescent="0.35">
      <c r="A28" s="1"/>
      <c r="B28" s="2" t="s">
        <v>329</v>
      </c>
      <c r="D28" s="4">
        <f>(D25+D26)*D27</f>
        <v>4015.3939888000486</v>
      </c>
    </row>
    <row r="29" spans="1:16" outlineLevel="1" x14ac:dyDescent="0.35">
      <c r="A29" s="1"/>
      <c r="D29" s="4"/>
    </row>
    <row r="30" spans="1:16" outlineLevel="1" x14ac:dyDescent="0.35">
      <c r="A30" s="1"/>
      <c r="B30" s="2" t="s">
        <v>182</v>
      </c>
      <c r="D30" s="129">
        <v>0.3</v>
      </c>
    </row>
    <row r="31" spans="1:16" s="10" customFormat="1" outlineLevel="1" x14ac:dyDescent="0.35">
      <c r="A31" s="22"/>
    </row>
    <row r="32" spans="1:16" s="22" customFormat="1" outlineLevel="1" x14ac:dyDescent="0.35">
      <c r="A32" s="127" t="s">
        <v>210</v>
      </c>
      <c r="B32" s="127"/>
      <c r="C32" s="127"/>
      <c r="D32" s="127"/>
      <c r="E32" s="127"/>
      <c r="F32" s="127"/>
      <c r="G32" s="127"/>
      <c r="H32" s="127"/>
    </row>
    <row r="33" spans="1:64" x14ac:dyDescent="0.35">
      <c r="A33" s="1"/>
      <c r="B33" s="2" t="s">
        <v>65</v>
      </c>
      <c r="E33" s="128">
        <v>1</v>
      </c>
      <c r="F33" s="128">
        <v>2</v>
      </c>
      <c r="G33" s="128">
        <v>3</v>
      </c>
      <c r="H33" s="128">
        <v>4</v>
      </c>
      <c r="I33" s="128">
        <v>5</v>
      </c>
      <c r="J33" s="128">
        <v>6</v>
      </c>
      <c r="K33" s="128">
        <v>7</v>
      </c>
      <c r="L33" s="128">
        <v>8</v>
      </c>
      <c r="M33" s="128">
        <v>9</v>
      </c>
      <c r="N33" s="128">
        <v>10</v>
      </c>
      <c r="O33" s="128">
        <v>11</v>
      </c>
      <c r="P33" s="128">
        <v>12</v>
      </c>
      <c r="Q33" s="128">
        <v>13</v>
      </c>
      <c r="R33" s="128">
        <v>14</v>
      </c>
      <c r="S33" s="128">
        <v>15</v>
      </c>
      <c r="T33" s="128">
        <v>16</v>
      </c>
      <c r="U33" s="128">
        <v>17</v>
      </c>
      <c r="V33" s="128">
        <v>18</v>
      </c>
      <c r="W33" s="128">
        <v>19</v>
      </c>
      <c r="X33" s="128">
        <v>20</v>
      </c>
      <c r="Y33" s="128">
        <v>21</v>
      </c>
      <c r="Z33" s="128">
        <v>22</v>
      </c>
      <c r="AA33" s="128">
        <v>23</v>
      </c>
      <c r="AB33" s="128">
        <v>24</v>
      </c>
      <c r="AC33" s="128">
        <v>25</v>
      </c>
      <c r="AD33" s="128">
        <v>26</v>
      </c>
      <c r="AE33" s="128">
        <v>27</v>
      </c>
      <c r="AF33" s="128">
        <v>28</v>
      </c>
      <c r="AG33" s="128">
        <v>29</v>
      </c>
      <c r="AH33" s="128">
        <v>30</v>
      </c>
      <c r="AI33" s="128">
        <v>31</v>
      </c>
      <c r="AJ33" s="128">
        <v>32</v>
      </c>
      <c r="AK33" s="128">
        <v>33</v>
      </c>
      <c r="AL33" s="128">
        <v>34</v>
      </c>
      <c r="AM33" s="128">
        <v>35</v>
      </c>
      <c r="AN33" s="128">
        <v>36</v>
      </c>
      <c r="AO33" s="128">
        <v>37</v>
      </c>
      <c r="AP33" s="128">
        <v>38</v>
      </c>
      <c r="AQ33" s="128">
        <v>39</v>
      </c>
      <c r="AR33" s="128">
        <v>40</v>
      </c>
      <c r="AS33" s="128">
        <v>41</v>
      </c>
      <c r="AT33" s="128">
        <v>42</v>
      </c>
      <c r="AU33" s="128">
        <v>43</v>
      </c>
      <c r="AV33" s="128">
        <v>44</v>
      </c>
      <c r="AW33" s="128">
        <v>45</v>
      </c>
      <c r="AX33" s="128">
        <v>46</v>
      </c>
      <c r="AY33" s="128">
        <v>47</v>
      </c>
      <c r="AZ33" s="128">
        <v>48</v>
      </c>
      <c r="BA33" s="128">
        <v>49</v>
      </c>
      <c r="BB33" s="128">
        <v>50</v>
      </c>
      <c r="BC33" s="128">
        <v>51</v>
      </c>
      <c r="BD33" s="128">
        <v>52</v>
      </c>
      <c r="BE33" s="128">
        <v>53</v>
      </c>
      <c r="BF33" s="128">
        <v>54</v>
      </c>
      <c r="BG33" s="128">
        <v>55</v>
      </c>
      <c r="BH33" s="128">
        <v>56</v>
      </c>
      <c r="BI33" s="128">
        <v>57</v>
      </c>
      <c r="BJ33" s="128">
        <v>58</v>
      </c>
      <c r="BK33" s="128">
        <v>59</v>
      </c>
      <c r="BL33" s="128">
        <v>60</v>
      </c>
    </row>
    <row r="34" spans="1:64" x14ac:dyDescent="0.35">
      <c r="A34" s="1"/>
      <c r="B34" s="2" t="s">
        <v>30</v>
      </c>
      <c r="E34" s="2">
        <f t="shared" ref="E34:BL34" si="0">ROUNDUP(E33/2,0)</f>
        <v>1</v>
      </c>
      <c r="F34" s="2">
        <f t="shared" si="0"/>
        <v>1</v>
      </c>
      <c r="G34" s="2">
        <f t="shared" si="0"/>
        <v>2</v>
      </c>
      <c r="H34" s="2">
        <f t="shared" si="0"/>
        <v>2</v>
      </c>
      <c r="I34" s="2">
        <f t="shared" si="0"/>
        <v>3</v>
      </c>
      <c r="J34" s="2">
        <f t="shared" si="0"/>
        <v>3</v>
      </c>
      <c r="K34" s="2">
        <f t="shared" si="0"/>
        <v>4</v>
      </c>
      <c r="L34" s="2">
        <f t="shared" si="0"/>
        <v>4</v>
      </c>
      <c r="M34" s="2">
        <f t="shared" si="0"/>
        <v>5</v>
      </c>
      <c r="N34" s="2">
        <f t="shared" si="0"/>
        <v>5</v>
      </c>
      <c r="O34" s="2">
        <f t="shared" si="0"/>
        <v>6</v>
      </c>
      <c r="P34" s="2">
        <f t="shared" si="0"/>
        <v>6</v>
      </c>
      <c r="Q34" s="2">
        <f t="shared" si="0"/>
        <v>7</v>
      </c>
      <c r="R34" s="2">
        <f t="shared" si="0"/>
        <v>7</v>
      </c>
      <c r="S34" s="2">
        <f t="shared" si="0"/>
        <v>8</v>
      </c>
      <c r="T34" s="2">
        <f t="shared" si="0"/>
        <v>8</v>
      </c>
      <c r="U34" s="2">
        <f t="shared" si="0"/>
        <v>9</v>
      </c>
      <c r="V34" s="2">
        <f t="shared" si="0"/>
        <v>9</v>
      </c>
      <c r="W34" s="2">
        <f t="shared" si="0"/>
        <v>10</v>
      </c>
      <c r="X34" s="2">
        <f t="shared" si="0"/>
        <v>10</v>
      </c>
      <c r="Y34" s="2">
        <f t="shared" si="0"/>
        <v>11</v>
      </c>
      <c r="Z34" s="2">
        <f t="shared" si="0"/>
        <v>11</v>
      </c>
      <c r="AA34" s="2">
        <f t="shared" si="0"/>
        <v>12</v>
      </c>
      <c r="AB34" s="2">
        <f t="shared" si="0"/>
        <v>12</v>
      </c>
      <c r="AC34" s="2">
        <f t="shared" si="0"/>
        <v>13</v>
      </c>
      <c r="AD34" s="2">
        <f t="shared" si="0"/>
        <v>13</v>
      </c>
      <c r="AE34" s="2">
        <f t="shared" si="0"/>
        <v>14</v>
      </c>
      <c r="AF34" s="2">
        <f t="shared" si="0"/>
        <v>14</v>
      </c>
      <c r="AG34" s="2">
        <f t="shared" si="0"/>
        <v>15</v>
      </c>
      <c r="AH34" s="2">
        <f t="shared" si="0"/>
        <v>15</v>
      </c>
      <c r="AI34" s="2">
        <f t="shared" si="0"/>
        <v>16</v>
      </c>
      <c r="AJ34" s="2">
        <f t="shared" si="0"/>
        <v>16</v>
      </c>
      <c r="AK34" s="2">
        <f t="shared" si="0"/>
        <v>17</v>
      </c>
      <c r="AL34" s="2">
        <f t="shared" si="0"/>
        <v>17</v>
      </c>
      <c r="AM34" s="2">
        <f t="shared" si="0"/>
        <v>18</v>
      </c>
      <c r="AN34" s="2">
        <f t="shared" si="0"/>
        <v>18</v>
      </c>
      <c r="AO34" s="2">
        <f t="shared" si="0"/>
        <v>19</v>
      </c>
      <c r="AP34" s="2">
        <f t="shared" si="0"/>
        <v>19</v>
      </c>
      <c r="AQ34" s="2">
        <f t="shared" si="0"/>
        <v>20</v>
      </c>
      <c r="AR34" s="2">
        <f t="shared" si="0"/>
        <v>20</v>
      </c>
      <c r="AS34" s="2">
        <f t="shared" si="0"/>
        <v>21</v>
      </c>
      <c r="AT34" s="2">
        <f t="shared" si="0"/>
        <v>21</v>
      </c>
      <c r="AU34" s="2">
        <f t="shared" si="0"/>
        <v>22</v>
      </c>
      <c r="AV34" s="2">
        <f t="shared" si="0"/>
        <v>22</v>
      </c>
      <c r="AW34" s="2">
        <f t="shared" si="0"/>
        <v>23</v>
      </c>
      <c r="AX34" s="2">
        <f t="shared" si="0"/>
        <v>23</v>
      </c>
      <c r="AY34" s="2">
        <f t="shared" si="0"/>
        <v>24</v>
      </c>
      <c r="AZ34" s="2">
        <f t="shared" si="0"/>
        <v>24</v>
      </c>
      <c r="BA34" s="2">
        <f t="shared" si="0"/>
        <v>25</v>
      </c>
      <c r="BB34" s="2">
        <f t="shared" si="0"/>
        <v>25</v>
      </c>
      <c r="BC34" s="2">
        <f t="shared" si="0"/>
        <v>26</v>
      </c>
      <c r="BD34" s="2">
        <f t="shared" si="0"/>
        <v>26</v>
      </c>
      <c r="BE34" s="2">
        <f t="shared" si="0"/>
        <v>27</v>
      </c>
      <c r="BF34" s="2">
        <f t="shared" si="0"/>
        <v>27</v>
      </c>
      <c r="BG34" s="2">
        <f t="shared" si="0"/>
        <v>28</v>
      </c>
      <c r="BH34" s="2">
        <f t="shared" si="0"/>
        <v>28</v>
      </c>
      <c r="BI34" s="2">
        <f t="shared" si="0"/>
        <v>29</v>
      </c>
      <c r="BJ34" s="2">
        <f t="shared" si="0"/>
        <v>29</v>
      </c>
      <c r="BK34" s="2">
        <f t="shared" si="0"/>
        <v>30</v>
      </c>
      <c r="BL34" s="2">
        <f t="shared" si="0"/>
        <v>30</v>
      </c>
    </row>
    <row r="35" spans="1:64" x14ac:dyDescent="0.35">
      <c r="A35" s="1"/>
      <c r="C35" s="2" t="s">
        <v>80</v>
      </c>
      <c r="E35" s="2" t="b">
        <f t="shared" ref="E35:BL35" si="1">E33&lt;=$D$10*2</f>
        <v>1</v>
      </c>
      <c r="F35" s="2" t="b">
        <f t="shared" si="1"/>
        <v>1</v>
      </c>
      <c r="G35" s="2" t="b">
        <f t="shared" si="1"/>
        <v>1</v>
      </c>
      <c r="H35" s="2" t="b">
        <f t="shared" si="1"/>
        <v>1</v>
      </c>
      <c r="I35" s="2" t="b">
        <f t="shared" si="1"/>
        <v>1</v>
      </c>
      <c r="J35" s="2" t="b">
        <f t="shared" si="1"/>
        <v>1</v>
      </c>
      <c r="K35" s="2" t="b">
        <f t="shared" si="1"/>
        <v>1</v>
      </c>
      <c r="L35" s="2" t="b">
        <f t="shared" si="1"/>
        <v>1</v>
      </c>
      <c r="M35" s="2" t="b">
        <f t="shared" si="1"/>
        <v>1</v>
      </c>
      <c r="N35" s="2" t="b">
        <f t="shared" si="1"/>
        <v>1</v>
      </c>
      <c r="O35" s="2" t="b">
        <f t="shared" si="1"/>
        <v>1</v>
      </c>
      <c r="P35" s="2" t="b">
        <f t="shared" si="1"/>
        <v>1</v>
      </c>
      <c r="Q35" s="2" t="b">
        <f t="shared" si="1"/>
        <v>1</v>
      </c>
      <c r="R35" s="2" t="b">
        <f t="shared" si="1"/>
        <v>1</v>
      </c>
      <c r="S35" s="2" t="b">
        <f t="shared" si="1"/>
        <v>1</v>
      </c>
      <c r="T35" s="2" t="b">
        <f t="shared" si="1"/>
        <v>1</v>
      </c>
      <c r="U35" s="2" t="b">
        <f t="shared" si="1"/>
        <v>1</v>
      </c>
      <c r="V35" s="2" t="b">
        <f t="shared" si="1"/>
        <v>1</v>
      </c>
      <c r="W35" s="2" t="b">
        <f t="shared" si="1"/>
        <v>1</v>
      </c>
      <c r="X35" s="2" t="b">
        <f t="shared" si="1"/>
        <v>1</v>
      </c>
      <c r="Y35" s="2" t="b">
        <f t="shared" si="1"/>
        <v>1</v>
      </c>
      <c r="Z35" s="2" t="b">
        <f t="shared" si="1"/>
        <v>1</v>
      </c>
      <c r="AA35" s="2" t="b">
        <f t="shared" si="1"/>
        <v>1</v>
      </c>
      <c r="AB35" s="2" t="b">
        <f t="shared" si="1"/>
        <v>1</v>
      </c>
      <c r="AC35" s="2" t="b">
        <f t="shared" si="1"/>
        <v>1</v>
      </c>
      <c r="AD35" s="2" t="b">
        <f t="shared" si="1"/>
        <v>1</v>
      </c>
      <c r="AE35" s="2" t="b">
        <f t="shared" si="1"/>
        <v>1</v>
      </c>
      <c r="AF35" s="2" t="b">
        <f t="shared" si="1"/>
        <v>1</v>
      </c>
      <c r="AG35" s="2" t="b">
        <f t="shared" si="1"/>
        <v>1</v>
      </c>
      <c r="AH35" s="2" t="b">
        <f t="shared" si="1"/>
        <v>1</v>
      </c>
      <c r="AI35" s="2" t="b">
        <f t="shared" si="1"/>
        <v>1</v>
      </c>
      <c r="AJ35" s="2" t="b">
        <f t="shared" si="1"/>
        <v>1</v>
      </c>
      <c r="AK35" s="2" t="b">
        <f t="shared" si="1"/>
        <v>1</v>
      </c>
      <c r="AL35" s="2" t="b">
        <f t="shared" si="1"/>
        <v>1</v>
      </c>
      <c r="AM35" s="2" t="b">
        <f t="shared" si="1"/>
        <v>1</v>
      </c>
      <c r="AN35" s="2" t="b">
        <f t="shared" si="1"/>
        <v>1</v>
      </c>
      <c r="AO35" s="2" t="b">
        <f t="shared" si="1"/>
        <v>1</v>
      </c>
      <c r="AP35" s="2" t="b">
        <f t="shared" si="1"/>
        <v>1</v>
      </c>
      <c r="AQ35" s="2" t="b">
        <f t="shared" si="1"/>
        <v>1</v>
      </c>
      <c r="AR35" s="2" t="b">
        <f t="shared" si="1"/>
        <v>1</v>
      </c>
      <c r="AS35" s="2" t="b">
        <f t="shared" si="1"/>
        <v>0</v>
      </c>
      <c r="AT35" s="2" t="b">
        <f t="shared" si="1"/>
        <v>0</v>
      </c>
      <c r="AU35" s="2" t="b">
        <f t="shared" si="1"/>
        <v>0</v>
      </c>
      <c r="AV35" s="2" t="b">
        <f t="shared" si="1"/>
        <v>0</v>
      </c>
      <c r="AW35" s="2" t="b">
        <f t="shared" si="1"/>
        <v>0</v>
      </c>
      <c r="AX35" s="2" t="b">
        <f t="shared" si="1"/>
        <v>0</v>
      </c>
      <c r="AY35" s="2" t="b">
        <f t="shared" si="1"/>
        <v>0</v>
      </c>
      <c r="AZ35" s="2" t="b">
        <f t="shared" si="1"/>
        <v>0</v>
      </c>
      <c r="BA35" s="2" t="b">
        <f t="shared" si="1"/>
        <v>0</v>
      </c>
      <c r="BB35" s="2" t="b">
        <f t="shared" si="1"/>
        <v>0</v>
      </c>
      <c r="BC35" s="2" t="b">
        <f t="shared" si="1"/>
        <v>0</v>
      </c>
      <c r="BD35" s="2" t="b">
        <f t="shared" si="1"/>
        <v>0</v>
      </c>
      <c r="BE35" s="2" t="b">
        <f t="shared" si="1"/>
        <v>0</v>
      </c>
      <c r="BF35" s="2" t="b">
        <f t="shared" si="1"/>
        <v>0</v>
      </c>
      <c r="BG35" s="2" t="b">
        <f t="shared" si="1"/>
        <v>0</v>
      </c>
      <c r="BH35" s="2" t="b">
        <f t="shared" si="1"/>
        <v>0</v>
      </c>
      <c r="BI35" s="2" t="b">
        <f t="shared" si="1"/>
        <v>0</v>
      </c>
      <c r="BJ35" s="2" t="b">
        <f t="shared" si="1"/>
        <v>0</v>
      </c>
      <c r="BK35" s="2" t="b">
        <f t="shared" si="1"/>
        <v>0</v>
      </c>
      <c r="BL35" s="2" t="b">
        <f t="shared" si="1"/>
        <v>0</v>
      </c>
    </row>
    <row r="36" spans="1:64" x14ac:dyDescent="0.35">
      <c r="A36" s="1"/>
      <c r="C36" s="2" t="s">
        <v>144</v>
      </c>
      <c r="E36" s="128" t="b">
        <v>1</v>
      </c>
      <c r="F36" s="128" t="b">
        <v>1</v>
      </c>
      <c r="G36" s="128" t="b">
        <v>1</v>
      </c>
      <c r="H36" s="128" t="b">
        <v>1</v>
      </c>
      <c r="I36" s="128" t="b">
        <v>1</v>
      </c>
      <c r="J36" s="128" t="b">
        <v>1</v>
      </c>
      <c r="K36" s="128" t="b">
        <v>1</v>
      </c>
      <c r="L36" s="128" t="b">
        <v>1</v>
      </c>
      <c r="M36" s="128" t="b">
        <v>1</v>
      </c>
      <c r="N36" s="128" t="b">
        <v>1</v>
      </c>
      <c r="O36" s="128" t="b">
        <v>1</v>
      </c>
      <c r="P36" s="128" t="b">
        <v>1</v>
      </c>
      <c r="Q36" s="128" t="b">
        <v>1</v>
      </c>
      <c r="R36" s="128" t="b">
        <v>1</v>
      </c>
      <c r="S36" s="128" t="b">
        <v>1</v>
      </c>
      <c r="T36" s="128" t="b">
        <v>1</v>
      </c>
      <c r="U36" s="128" t="b">
        <v>1</v>
      </c>
      <c r="V36" s="128" t="b">
        <v>1</v>
      </c>
      <c r="W36" s="128" t="b">
        <v>1</v>
      </c>
      <c r="X36" s="128" t="b">
        <v>1</v>
      </c>
      <c r="Y36" s="128" t="b">
        <v>1</v>
      </c>
      <c r="Z36" s="128" t="b">
        <v>1</v>
      </c>
      <c r="AA36" s="128" t="b">
        <v>1</v>
      </c>
      <c r="AB36" s="128" t="b">
        <v>1</v>
      </c>
      <c r="AC36" s="128" t="b">
        <v>1</v>
      </c>
      <c r="AD36" s="128" t="b">
        <v>1</v>
      </c>
      <c r="AE36" s="128" t="b">
        <v>1</v>
      </c>
      <c r="AF36" s="128" t="b">
        <v>1</v>
      </c>
      <c r="AG36" s="128" t="b">
        <v>1</v>
      </c>
      <c r="AH36" s="128" t="b">
        <v>1</v>
      </c>
      <c r="AI36" s="128" t="b">
        <v>1</v>
      </c>
      <c r="AJ36" s="128" t="b">
        <v>1</v>
      </c>
      <c r="AK36" s="128" t="b">
        <v>1</v>
      </c>
      <c r="AL36" s="128" t="b">
        <v>1</v>
      </c>
      <c r="AM36" s="128" t="b">
        <v>1</v>
      </c>
      <c r="AN36" s="128" t="b">
        <v>1</v>
      </c>
      <c r="AO36" s="128" t="b">
        <v>1</v>
      </c>
      <c r="AP36" s="128" t="b">
        <v>1</v>
      </c>
      <c r="AQ36" s="128" t="b">
        <v>1</v>
      </c>
      <c r="AR36" s="128" t="b">
        <v>1</v>
      </c>
      <c r="AS36" s="128" t="b">
        <v>1</v>
      </c>
      <c r="AT36" s="128" t="b">
        <v>1</v>
      </c>
      <c r="AU36" s="128" t="b">
        <v>1</v>
      </c>
      <c r="AV36" s="128" t="b">
        <v>1</v>
      </c>
      <c r="AW36" s="128" t="b">
        <v>1</v>
      </c>
      <c r="AX36" s="128" t="b">
        <v>1</v>
      </c>
      <c r="AY36" s="128" t="b">
        <v>1</v>
      </c>
      <c r="AZ36" s="128" t="b">
        <v>1</v>
      </c>
      <c r="BA36" s="128" t="b">
        <v>1</v>
      </c>
      <c r="BB36" s="128" t="b">
        <v>1</v>
      </c>
      <c r="BC36" s="128" t="b">
        <v>1</v>
      </c>
      <c r="BD36" s="128" t="b">
        <v>1</v>
      </c>
      <c r="BE36" s="128" t="b">
        <v>1</v>
      </c>
      <c r="BF36" s="128" t="b">
        <v>1</v>
      </c>
      <c r="BG36" s="128" t="b">
        <v>1</v>
      </c>
      <c r="BH36" s="128" t="b">
        <v>1</v>
      </c>
      <c r="BI36" s="128" t="b">
        <v>1</v>
      </c>
      <c r="BJ36" s="128" t="b">
        <v>1</v>
      </c>
      <c r="BK36" s="128" t="b">
        <v>1</v>
      </c>
      <c r="BL36" s="128" t="b">
        <v>1</v>
      </c>
    </row>
    <row r="37" spans="1:64" x14ac:dyDescent="0.35">
      <c r="A37" s="1"/>
    </row>
    <row r="38" spans="1:64" x14ac:dyDescent="0.35">
      <c r="A38" s="1"/>
      <c r="C38" s="2" t="s">
        <v>38</v>
      </c>
      <c r="E38" s="12">
        <f t="shared" ref="E38:BL38" si="2">LOOKUP(E34,22:22,23:23)/2</f>
        <v>1.4999999999999999E-2</v>
      </c>
      <c r="F38" s="12">
        <f t="shared" si="2"/>
        <v>1.4999999999999999E-2</v>
      </c>
      <c r="G38" s="12">
        <f t="shared" si="2"/>
        <v>1.4999999999999999E-2</v>
      </c>
      <c r="H38" s="12">
        <f t="shared" si="2"/>
        <v>1.4999999999999999E-2</v>
      </c>
      <c r="I38" s="12">
        <f t="shared" si="2"/>
        <v>1.4999999999999999E-2</v>
      </c>
      <c r="J38" s="12">
        <f t="shared" si="2"/>
        <v>1.4999999999999999E-2</v>
      </c>
      <c r="K38" s="12">
        <f t="shared" si="2"/>
        <v>0.01</v>
      </c>
      <c r="L38" s="12">
        <f t="shared" si="2"/>
        <v>0.01</v>
      </c>
      <c r="M38" s="12">
        <f t="shared" si="2"/>
        <v>0.01</v>
      </c>
      <c r="N38" s="12">
        <f t="shared" si="2"/>
        <v>0.01</v>
      </c>
      <c r="O38" s="12">
        <f t="shared" si="2"/>
        <v>1.4999999999999999E-2</v>
      </c>
      <c r="P38" s="12">
        <f t="shared" si="2"/>
        <v>1.4999999999999999E-2</v>
      </c>
      <c r="Q38" s="12">
        <f t="shared" si="2"/>
        <v>1.4999999999999999E-2</v>
      </c>
      <c r="R38" s="12">
        <f t="shared" si="2"/>
        <v>1.4999999999999999E-2</v>
      </c>
      <c r="S38" s="12">
        <f t="shared" si="2"/>
        <v>1.4999999999999999E-2</v>
      </c>
      <c r="T38" s="12">
        <f t="shared" si="2"/>
        <v>1.4999999999999999E-2</v>
      </c>
      <c r="U38" s="12">
        <f t="shared" si="2"/>
        <v>1.4999999999999999E-2</v>
      </c>
      <c r="V38" s="12">
        <f t="shared" si="2"/>
        <v>1.4999999999999999E-2</v>
      </c>
      <c r="W38" s="12">
        <f t="shared" si="2"/>
        <v>1.4999999999999999E-2</v>
      </c>
      <c r="X38" s="12">
        <f t="shared" si="2"/>
        <v>1.4999999999999999E-2</v>
      </c>
      <c r="Y38" s="12">
        <f t="shared" si="2"/>
        <v>1.4999999999999999E-2</v>
      </c>
      <c r="Z38" s="12">
        <f t="shared" si="2"/>
        <v>1.4999999999999999E-2</v>
      </c>
      <c r="AA38" s="12">
        <f t="shared" si="2"/>
        <v>1.4999999999999999E-2</v>
      </c>
      <c r="AB38" s="12">
        <f t="shared" si="2"/>
        <v>1.4999999999999999E-2</v>
      </c>
      <c r="AC38" s="12">
        <f t="shared" si="2"/>
        <v>1.4999999999999999E-2</v>
      </c>
      <c r="AD38" s="12">
        <f t="shared" si="2"/>
        <v>1.4999999999999999E-2</v>
      </c>
      <c r="AE38" s="12">
        <f t="shared" si="2"/>
        <v>1.4999999999999999E-2</v>
      </c>
      <c r="AF38" s="12">
        <f t="shared" si="2"/>
        <v>1.4999999999999999E-2</v>
      </c>
      <c r="AG38" s="12">
        <f t="shared" si="2"/>
        <v>1.4999999999999999E-2</v>
      </c>
      <c r="AH38" s="12">
        <f t="shared" si="2"/>
        <v>1.4999999999999999E-2</v>
      </c>
      <c r="AI38" s="12">
        <f t="shared" si="2"/>
        <v>1.4999999999999999E-2</v>
      </c>
      <c r="AJ38" s="12">
        <f t="shared" si="2"/>
        <v>1.4999999999999999E-2</v>
      </c>
      <c r="AK38" s="12">
        <f t="shared" si="2"/>
        <v>1.4999999999999999E-2</v>
      </c>
      <c r="AL38" s="12">
        <f t="shared" si="2"/>
        <v>1.4999999999999999E-2</v>
      </c>
      <c r="AM38" s="12">
        <f t="shared" si="2"/>
        <v>1.4999999999999999E-2</v>
      </c>
      <c r="AN38" s="12">
        <f t="shared" si="2"/>
        <v>1.4999999999999999E-2</v>
      </c>
      <c r="AO38" s="12">
        <f t="shared" si="2"/>
        <v>1.4999999999999999E-2</v>
      </c>
      <c r="AP38" s="12">
        <f t="shared" si="2"/>
        <v>1.4999999999999999E-2</v>
      </c>
      <c r="AQ38" s="12">
        <f t="shared" si="2"/>
        <v>1.4999999999999999E-2</v>
      </c>
      <c r="AR38" s="12">
        <f t="shared" si="2"/>
        <v>1.4999999999999999E-2</v>
      </c>
      <c r="AS38" s="12">
        <f t="shared" si="2"/>
        <v>1.4999999999999999E-2</v>
      </c>
      <c r="AT38" s="12">
        <f t="shared" si="2"/>
        <v>1.4999999999999999E-2</v>
      </c>
      <c r="AU38" s="12">
        <f t="shared" si="2"/>
        <v>1.4999999999999999E-2</v>
      </c>
      <c r="AV38" s="12">
        <f t="shared" si="2"/>
        <v>1.4999999999999999E-2</v>
      </c>
      <c r="AW38" s="12">
        <f t="shared" si="2"/>
        <v>1.4999999999999999E-2</v>
      </c>
      <c r="AX38" s="12">
        <f t="shared" si="2"/>
        <v>1.4999999999999999E-2</v>
      </c>
      <c r="AY38" s="12">
        <f t="shared" si="2"/>
        <v>1.4999999999999999E-2</v>
      </c>
      <c r="AZ38" s="12">
        <f t="shared" si="2"/>
        <v>1.4999999999999999E-2</v>
      </c>
      <c r="BA38" s="12">
        <f t="shared" si="2"/>
        <v>1.4999999999999999E-2</v>
      </c>
      <c r="BB38" s="12">
        <f t="shared" si="2"/>
        <v>1.4999999999999999E-2</v>
      </c>
      <c r="BC38" s="12">
        <f t="shared" si="2"/>
        <v>1.4999999999999999E-2</v>
      </c>
      <c r="BD38" s="12">
        <f t="shared" si="2"/>
        <v>1.4999999999999999E-2</v>
      </c>
      <c r="BE38" s="12">
        <f t="shared" si="2"/>
        <v>1.4999999999999999E-2</v>
      </c>
      <c r="BF38" s="12">
        <f t="shared" si="2"/>
        <v>1.4999999999999999E-2</v>
      </c>
      <c r="BG38" s="12">
        <f t="shared" si="2"/>
        <v>1.4999999999999999E-2</v>
      </c>
      <c r="BH38" s="12">
        <f t="shared" si="2"/>
        <v>1.4999999999999999E-2</v>
      </c>
      <c r="BI38" s="12">
        <f t="shared" si="2"/>
        <v>1.4999999999999999E-2</v>
      </c>
      <c r="BJ38" s="12">
        <f t="shared" si="2"/>
        <v>1.4999999999999999E-2</v>
      </c>
      <c r="BK38" s="12">
        <f t="shared" si="2"/>
        <v>1.4999999999999999E-2</v>
      </c>
      <c r="BL38" s="12">
        <f t="shared" si="2"/>
        <v>1.4999999999999999E-2</v>
      </c>
    </row>
    <row r="39" spans="1:64" x14ac:dyDescent="0.35">
      <c r="A39" s="1"/>
      <c r="C39" s="2" t="s">
        <v>104</v>
      </c>
      <c r="D39" s="4">
        <f>D20</f>
        <v>180</v>
      </c>
      <c r="E39" s="4">
        <f t="shared" ref="E39:BL39" si="3">D39*(1+E38)</f>
        <v>182.7</v>
      </c>
      <c r="F39" s="4">
        <f t="shared" si="3"/>
        <v>185.44049999999996</v>
      </c>
      <c r="G39" s="4">
        <f t="shared" si="3"/>
        <v>188.22210749999994</v>
      </c>
      <c r="H39" s="4">
        <f t="shared" si="3"/>
        <v>191.04543911249991</v>
      </c>
      <c r="I39" s="4">
        <f t="shared" si="3"/>
        <v>193.91112069918739</v>
      </c>
      <c r="J39" s="4">
        <f t="shared" si="3"/>
        <v>196.81978750967519</v>
      </c>
      <c r="K39" s="4">
        <f t="shared" si="3"/>
        <v>198.78798538477196</v>
      </c>
      <c r="L39" s="4">
        <f t="shared" si="3"/>
        <v>200.77586523861967</v>
      </c>
      <c r="M39" s="4">
        <f t="shared" si="3"/>
        <v>202.78362389100587</v>
      </c>
      <c r="N39" s="4">
        <f t="shared" si="3"/>
        <v>204.81146012991593</v>
      </c>
      <c r="O39" s="4">
        <f t="shared" si="3"/>
        <v>207.88363203186464</v>
      </c>
      <c r="P39" s="4">
        <f t="shared" si="3"/>
        <v>211.00188651234259</v>
      </c>
      <c r="Q39" s="4">
        <f t="shared" si="3"/>
        <v>214.16691481002772</v>
      </c>
      <c r="R39" s="4">
        <f t="shared" si="3"/>
        <v>217.37941853217811</v>
      </c>
      <c r="S39" s="4">
        <f t="shared" si="3"/>
        <v>220.64010981016077</v>
      </c>
      <c r="T39" s="4">
        <f t="shared" si="3"/>
        <v>223.94971145731316</v>
      </c>
      <c r="U39" s="4">
        <f t="shared" si="3"/>
        <v>227.30895712917282</v>
      </c>
      <c r="V39" s="4">
        <f t="shared" si="3"/>
        <v>230.7185914861104</v>
      </c>
      <c r="W39" s="4">
        <f t="shared" si="3"/>
        <v>234.17937035840202</v>
      </c>
      <c r="X39" s="4">
        <f t="shared" si="3"/>
        <v>237.69206091377802</v>
      </c>
      <c r="Y39" s="4">
        <f t="shared" si="3"/>
        <v>241.25744182748466</v>
      </c>
      <c r="Z39" s="4">
        <f t="shared" si="3"/>
        <v>244.87630345489691</v>
      </c>
      <c r="AA39" s="4">
        <f t="shared" si="3"/>
        <v>248.54944800672035</v>
      </c>
      <c r="AB39" s="4">
        <f t="shared" si="3"/>
        <v>252.27768972682114</v>
      </c>
      <c r="AC39" s="4">
        <f t="shared" si="3"/>
        <v>256.0618550727234</v>
      </c>
      <c r="AD39" s="4">
        <f t="shared" si="3"/>
        <v>259.90278289881422</v>
      </c>
      <c r="AE39" s="4">
        <f t="shared" si="3"/>
        <v>263.80132464229644</v>
      </c>
      <c r="AF39" s="4">
        <f t="shared" si="3"/>
        <v>267.75834451193083</v>
      </c>
      <c r="AG39" s="4">
        <f t="shared" si="3"/>
        <v>271.77471967960975</v>
      </c>
      <c r="AH39" s="4">
        <f t="shared" si="3"/>
        <v>275.85134047480386</v>
      </c>
      <c r="AI39" s="4">
        <f t="shared" si="3"/>
        <v>279.9891105819259</v>
      </c>
      <c r="AJ39" s="4">
        <f t="shared" si="3"/>
        <v>284.18894724065478</v>
      </c>
      <c r="AK39" s="4">
        <f t="shared" si="3"/>
        <v>288.45178144926456</v>
      </c>
      <c r="AL39" s="4">
        <f t="shared" si="3"/>
        <v>292.77855817100351</v>
      </c>
      <c r="AM39" s="4">
        <f t="shared" si="3"/>
        <v>297.17023654356854</v>
      </c>
      <c r="AN39" s="4">
        <f t="shared" si="3"/>
        <v>301.62779009172203</v>
      </c>
      <c r="AO39" s="4">
        <f t="shared" si="3"/>
        <v>306.15220694309784</v>
      </c>
      <c r="AP39" s="4">
        <f t="shared" si="3"/>
        <v>310.74449004724426</v>
      </c>
      <c r="AQ39" s="4">
        <f t="shared" si="3"/>
        <v>315.40565739795289</v>
      </c>
      <c r="AR39" s="4">
        <f t="shared" si="3"/>
        <v>320.13674225892214</v>
      </c>
      <c r="AS39" s="4">
        <f t="shared" si="3"/>
        <v>324.93879339280596</v>
      </c>
      <c r="AT39" s="4">
        <f t="shared" si="3"/>
        <v>329.81287529369803</v>
      </c>
      <c r="AU39" s="4">
        <f t="shared" si="3"/>
        <v>334.76006842310346</v>
      </c>
      <c r="AV39" s="4">
        <f t="shared" si="3"/>
        <v>339.78146944944996</v>
      </c>
      <c r="AW39" s="4">
        <f t="shared" si="3"/>
        <v>344.87819149119167</v>
      </c>
      <c r="AX39" s="4">
        <f t="shared" si="3"/>
        <v>350.05136436355951</v>
      </c>
      <c r="AY39" s="4">
        <f t="shared" si="3"/>
        <v>355.30213482901286</v>
      </c>
      <c r="AZ39" s="4">
        <f t="shared" si="3"/>
        <v>360.63166685144802</v>
      </c>
      <c r="BA39" s="4">
        <f t="shared" si="3"/>
        <v>366.04114185421969</v>
      </c>
      <c r="BB39" s="4">
        <f t="shared" si="3"/>
        <v>371.53175898203295</v>
      </c>
      <c r="BC39" s="4">
        <f t="shared" si="3"/>
        <v>377.10473536676341</v>
      </c>
      <c r="BD39" s="4">
        <f t="shared" si="3"/>
        <v>382.76130639726483</v>
      </c>
      <c r="BE39" s="4">
        <f t="shared" si="3"/>
        <v>388.50272599322375</v>
      </c>
      <c r="BF39" s="4">
        <f t="shared" si="3"/>
        <v>394.33026688312208</v>
      </c>
      <c r="BG39" s="4">
        <f t="shared" si="3"/>
        <v>400.24522088636888</v>
      </c>
      <c r="BH39" s="4">
        <f t="shared" si="3"/>
        <v>406.24889919966438</v>
      </c>
      <c r="BI39" s="4">
        <f t="shared" si="3"/>
        <v>412.34263268765932</v>
      </c>
      <c r="BJ39" s="4">
        <f t="shared" si="3"/>
        <v>418.52777217797416</v>
      </c>
      <c r="BK39" s="4">
        <f t="shared" si="3"/>
        <v>424.8056887606437</v>
      </c>
      <c r="BL39" s="4">
        <f t="shared" si="3"/>
        <v>431.17777409205331</v>
      </c>
    </row>
    <row r="40" spans="1:64" x14ac:dyDescent="0.35">
      <c r="A40" s="1"/>
      <c r="C40" s="2" t="s">
        <v>105</v>
      </c>
      <c r="D40" s="4"/>
      <c r="E40" s="46">
        <f t="shared" ref="E40:AJ40" si="4">E93*$D$13</f>
        <v>1.1336525678634644</v>
      </c>
      <c r="F40" s="46">
        <f t="shared" si="4"/>
        <v>1.1467118263244629</v>
      </c>
      <c r="G40" s="46">
        <f t="shared" si="4"/>
        <v>1.1599215269088745</v>
      </c>
      <c r="H40" s="46">
        <f t="shared" si="4"/>
        <v>1.1732833385467529</v>
      </c>
      <c r="I40" s="46">
        <f t="shared" si="4"/>
        <v>1.1867918968200684</v>
      </c>
      <c r="J40" s="46">
        <f t="shared" si="4"/>
        <v>1.1977922916412354</v>
      </c>
      <c r="K40" s="46">
        <f t="shared" si="4"/>
        <v>1.2062631845474243</v>
      </c>
      <c r="L40" s="46">
        <f t="shared" si="4"/>
        <v>1.2248444557189941</v>
      </c>
      <c r="M40" s="46">
        <f t="shared" si="4"/>
        <v>1.243383526802063</v>
      </c>
      <c r="N40" s="46">
        <f t="shared" si="4"/>
        <v>1.2545984983444214</v>
      </c>
      <c r="O40" s="46">
        <f t="shared" si="4"/>
        <v>1.2686668634414673</v>
      </c>
      <c r="P40" s="46">
        <f t="shared" si="4"/>
        <v>1.2828823328018188</v>
      </c>
      <c r="Q40" s="46">
        <f t="shared" si="4"/>
        <v>1.2972464561462402</v>
      </c>
      <c r="R40" s="46">
        <f t="shared" si="4"/>
        <v>1.3117603063583374</v>
      </c>
      <c r="S40" s="46">
        <f t="shared" si="4"/>
        <v>1.3264254331588745</v>
      </c>
      <c r="T40" s="46">
        <f t="shared" si="4"/>
        <v>1.3412432670593262</v>
      </c>
      <c r="U40" s="46">
        <f t="shared" si="4"/>
        <v>1.3562365770339966</v>
      </c>
      <c r="V40" s="46">
        <f t="shared" si="4"/>
        <v>1.3792997598648071</v>
      </c>
      <c r="W40" s="46">
        <f t="shared" si="4"/>
        <v>1.4023593664169312</v>
      </c>
      <c r="X40" s="46">
        <f t="shared" si="4"/>
        <v>1.417512059211731</v>
      </c>
      <c r="Y40" s="46">
        <f t="shared" si="4"/>
        <v>1.4328018426895142</v>
      </c>
      <c r="Z40" s="46">
        <f t="shared" si="4"/>
        <v>1.4482290744781494</v>
      </c>
      <c r="AA40" s="46">
        <f t="shared" si="4"/>
        <v>1.4637945890426636</v>
      </c>
      <c r="AB40" s="46">
        <f t="shared" si="4"/>
        <v>1.4794992208480835</v>
      </c>
      <c r="AC40" s="46">
        <f t="shared" si="4"/>
        <v>1.4953429698944092</v>
      </c>
      <c r="AD40" s="46">
        <f t="shared" si="4"/>
        <v>1.5113272666931152</v>
      </c>
      <c r="AE40" s="46">
        <f t="shared" si="4"/>
        <v>1.5274521112442017</v>
      </c>
      <c r="AF40" s="46">
        <f t="shared" si="4"/>
        <v>1.5437185764312744</v>
      </c>
      <c r="AG40" s="46">
        <f t="shared" si="4"/>
        <v>1.5601266622543335</v>
      </c>
      <c r="AH40" s="46">
        <f t="shared" si="4"/>
        <v>1.5766772031784058</v>
      </c>
      <c r="AI40" s="46">
        <f t="shared" si="4"/>
        <v>1.5933709144592285</v>
      </c>
      <c r="AJ40" s="46">
        <f t="shared" si="4"/>
        <v>1.6102081537246704</v>
      </c>
      <c r="AK40" s="46">
        <f t="shared" ref="AK40:BL40" si="5">AK93*$D$13</f>
        <v>1.6271895170211792</v>
      </c>
      <c r="AL40" s="46">
        <f t="shared" si="5"/>
        <v>1.6443154811859131</v>
      </c>
      <c r="AM40" s="46">
        <f t="shared" si="5"/>
        <v>1.6615862846374512</v>
      </c>
      <c r="AN40" s="46">
        <f t="shared" si="5"/>
        <v>1.6790026426315308</v>
      </c>
      <c r="AO40" s="46">
        <f t="shared" si="5"/>
        <v>1.6965651512145996</v>
      </c>
      <c r="AP40" s="46">
        <f t="shared" si="5"/>
        <v>1.714267373085022</v>
      </c>
      <c r="AQ40" s="46">
        <f t="shared" si="5"/>
        <v>1.7297483682632446</v>
      </c>
      <c r="AR40" s="46">
        <f t="shared" si="5"/>
        <v>0.86817240715026855</v>
      </c>
      <c r="AS40" s="46">
        <f t="shared" si="5"/>
        <v>0</v>
      </c>
      <c r="AT40" s="46">
        <f t="shared" si="5"/>
        <v>0</v>
      </c>
      <c r="AU40" s="46">
        <f t="shared" si="5"/>
        <v>0</v>
      </c>
      <c r="AV40" s="46">
        <f t="shared" si="5"/>
        <v>0</v>
      </c>
      <c r="AW40" s="46">
        <f t="shared" si="5"/>
        <v>0</v>
      </c>
      <c r="AX40" s="46">
        <f t="shared" si="5"/>
        <v>0</v>
      </c>
      <c r="AY40" s="46">
        <f t="shared" si="5"/>
        <v>0</v>
      </c>
      <c r="AZ40" s="46">
        <f t="shared" si="5"/>
        <v>0</v>
      </c>
      <c r="BA40" s="46">
        <f t="shared" si="5"/>
        <v>0</v>
      </c>
      <c r="BB40" s="46">
        <f t="shared" si="5"/>
        <v>0</v>
      </c>
      <c r="BC40" s="46">
        <f t="shared" si="5"/>
        <v>0</v>
      </c>
      <c r="BD40" s="46">
        <f t="shared" si="5"/>
        <v>0</v>
      </c>
      <c r="BE40" s="46">
        <f t="shared" si="5"/>
        <v>0</v>
      </c>
      <c r="BF40" s="46">
        <f t="shared" si="5"/>
        <v>0</v>
      </c>
      <c r="BG40" s="46">
        <f t="shared" si="5"/>
        <v>0</v>
      </c>
      <c r="BH40" s="46">
        <f t="shared" si="5"/>
        <v>0</v>
      </c>
      <c r="BI40" s="46">
        <f t="shared" si="5"/>
        <v>0</v>
      </c>
      <c r="BJ40" s="46">
        <f t="shared" si="5"/>
        <v>0</v>
      </c>
      <c r="BK40" s="46">
        <f t="shared" si="5"/>
        <v>0</v>
      </c>
      <c r="BL40" s="46">
        <f t="shared" si="5"/>
        <v>0</v>
      </c>
    </row>
    <row r="41" spans="1:64" x14ac:dyDescent="0.35">
      <c r="A41" s="1"/>
      <c r="C41" s="2" t="s">
        <v>407</v>
      </c>
      <c r="D41" s="4"/>
      <c r="E41" s="46">
        <f>E98</f>
        <v>37.302806854248047</v>
      </c>
      <c r="F41" s="46">
        <f t="shared" ref="F41:BL41" si="6">F98</f>
        <v>38.368385314941406</v>
      </c>
      <c r="G41" s="46">
        <f t="shared" si="6"/>
        <v>39.455780029296875</v>
      </c>
      <c r="H41" s="46">
        <f t="shared" si="6"/>
        <v>40.565380096435547</v>
      </c>
      <c r="I41" s="46">
        <f t="shared" si="6"/>
        <v>41.697586059570313</v>
      </c>
      <c r="J41" s="46">
        <f t="shared" si="6"/>
        <v>42.852012634277344</v>
      </c>
      <c r="K41" s="46">
        <f t="shared" si="6"/>
        <v>43.73382568359375</v>
      </c>
      <c r="L41" s="46">
        <f t="shared" si="6"/>
        <v>44.632698059082031</v>
      </c>
      <c r="M41" s="46">
        <f t="shared" si="6"/>
        <v>42.935428619384766</v>
      </c>
      <c r="N41" s="46">
        <f t="shared" si="6"/>
        <v>43.877933502197266</v>
      </c>
      <c r="O41" s="46">
        <f t="shared" si="6"/>
        <v>45.144813537597656</v>
      </c>
      <c r="P41" s="46">
        <f t="shared" si="6"/>
        <v>46.438877105712891</v>
      </c>
      <c r="Q41" s="46">
        <f t="shared" si="6"/>
        <v>47.760643005371094</v>
      </c>
      <c r="R41" s="46">
        <f t="shared" si="6"/>
        <v>49.110633850097656</v>
      </c>
      <c r="S41" s="46">
        <f t="shared" si="6"/>
        <v>50.489395141601563</v>
      </c>
      <c r="T41" s="46">
        <f t="shared" si="6"/>
        <v>51.897464752197266</v>
      </c>
      <c r="U41" s="46">
        <f t="shared" si="6"/>
        <v>53.335407257080078</v>
      </c>
      <c r="V41" s="46">
        <f t="shared" si="6"/>
        <v>54.806156158447266</v>
      </c>
      <c r="W41" s="46">
        <f t="shared" si="6"/>
        <v>54.255508422851563</v>
      </c>
      <c r="X41" s="46">
        <f t="shared" si="6"/>
        <v>55.822372436523438</v>
      </c>
      <c r="Y41" s="46">
        <f t="shared" si="6"/>
        <v>57.424304962158203</v>
      </c>
      <c r="Z41" s="46">
        <f t="shared" si="6"/>
        <v>59.062007904052734</v>
      </c>
      <c r="AA41" s="46">
        <f t="shared" si="6"/>
        <v>60.7362060546875</v>
      </c>
      <c r="AB41" s="46">
        <f t="shared" si="6"/>
        <v>62.447620391845703</v>
      </c>
      <c r="AC41" s="46">
        <f t="shared" si="6"/>
        <v>64.196998596191406</v>
      </c>
      <c r="AD41" s="46">
        <f t="shared" si="6"/>
        <v>65.985099792480469</v>
      </c>
      <c r="AE41" s="46">
        <f t="shared" si="6"/>
        <v>67.812698364257813</v>
      </c>
      <c r="AF41" s="46">
        <f t="shared" si="6"/>
        <v>69.680580139160156</v>
      </c>
      <c r="AG41" s="46">
        <f t="shared" si="6"/>
        <v>71.58953857421875</v>
      </c>
      <c r="AH41" s="46">
        <f t="shared" si="6"/>
        <v>73.5404052734375</v>
      </c>
      <c r="AI41" s="46">
        <f t="shared" si="6"/>
        <v>75.534004211425781</v>
      </c>
      <c r="AJ41" s="46">
        <f t="shared" si="6"/>
        <v>77.571189880371094</v>
      </c>
      <c r="AK41" s="46">
        <f t="shared" si="6"/>
        <v>79.652809143066406</v>
      </c>
      <c r="AL41" s="46">
        <f t="shared" si="6"/>
        <v>81.779762268066406</v>
      </c>
      <c r="AM41" s="46">
        <f t="shared" si="6"/>
        <v>83.952934265136719</v>
      </c>
      <c r="AN41" s="46">
        <f t="shared" si="6"/>
        <v>86.173240661621094</v>
      </c>
      <c r="AO41" s="46">
        <f t="shared" si="6"/>
        <v>88.441612243652344</v>
      </c>
      <c r="AP41" s="46">
        <f t="shared" si="6"/>
        <v>90.758995056152344</v>
      </c>
      <c r="AQ41" s="46">
        <f t="shared" si="6"/>
        <v>93.125648498535156</v>
      </c>
      <c r="AR41" s="46">
        <f t="shared" si="6"/>
        <v>95.280097961425781</v>
      </c>
      <c r="AS41" s="46">
        <f t="shared" si="6"/>
        <v>0</v>
      </c>
      <c r="AT41" s="46">
        <f t="shared" si="6"/>
        <v>0</v>
      </c>
      <c r="AU41" s="46">
        <f t="shared" si="6"/>
        <v>0</v>
      </c>
      <c r="AV41" s="46">
        <f t="shared" si="6"/>
        <v>0</v>
      </c>
      <c r="AW41" s="46">
        <f t="shared" si="6"/>
        <v>0</v>
      </c>
      <c r="AX41" s="46">
        <f t="shared" si="6"/>
        <v>0</v>
      </c>
      <c r="AY41" s="46">
        <f t="shared" si="6"/>
        <v>0</v>
      </c>
      <c r="AZ41" s="46">
        <f t="shared" si="6"/>
        <v>0</v>
      </c>
      <c r="BA41" s="46">
        <f t="shared" si="6"/>
        <v>0</v>
      </c>
      <c r="BB41" s="46">
        <f t="shared" si="6"/>
        <v>0</v>
      </c>
      <c r="BC41" s="46">
        <f t="shared" si="6"/>
        <v>0</v>
      </c>
      <c r="BD41" s="46">
        <f t="shared" si="6"/>
        <v>0</v>
      </c>
      <c r="BE41" s="46">
        <f t="shared" si="6"/>
        <v>0</v>
      </c>
      <c r="BF41" s="46">
        <f t="shared" si="6"/>
        <v>0</v>
      </c>
      <c r="BG41" s="46">
        <f t="shared" si="6"/>
        <v>0</v>
      </c>
      <c r="BH41" s="46">
        <f t="shared" si="6"/>
        <v>0</v>
      </c>
      <c r="BI41" s="46">
        <f t="shared" si="6"/>
        <v>0</v>
      </c>
      <c r="BJ41" s="46">
        <f t="shared" si="6"/>
        <v>0</v>
      </c>
      <c r="BK41" s="46">
        <f t="shared" si="6"/>
        <v>0</v>
      </c>
      <c r="BL41" s="46">
        <f t="shared" si="6"/>
        <v>0</v>
      </c>
    </row>
    <row r="42" spans="1:64" ht="15" thickBot="1" x14ac:dyDescent="0.4">
      <c r="A42" s="1"/>
      <c r="C42" s="24" t="s">
        <v>2</v>
      </c>
      <c r="D42" s="25"/>
      <c r="E42" s="25">
        <f>E39+E40-E41</f>
        <v>146.53084571361541</v>
      </c>
      <c r="F42" s="25">
        <f t="shared" ref="F42:BL42" si="7">F39+F40-F41</f>
        <v>148.21882651138301</v>
      </c>
      <c r="G42" s="25">
        <f t="shared" si="7"/>
        <v>149.92624899761194</v>
      </c>
      <c r="H42" s="25">
        <f t="shared" si="7"/>
        <v>151.65334235461111</v>
      </c>
      <c r="I42" s="25">
        <f t="shared" si="7"/>
        <v>153.40032653643715</v>
      </c>
      <c r="J42" s="25">
        <f t="shared" si="7"/>
        <v>155.16556716703909</v>
      </c>
      <c r="K42" s="25">
        <f t="shared" si="7"/>
        <v>156.26042288572563</v>
      </c>
      <c r="L42" s="25">
        <f t="shared" si="7"/>
        <v>157.36801163525664</v>
      </c>
      <c r="M42" s="25">
        <f t="shared" si="7"/>
        <v>161.09157879842317</v>
      </c>
      <c r="N42" s="25">
        <f t="shared" si="7"/>
        <v>162.18812512606308</v>
      </c>
      <c r="O42" s="25">
        <f t="shared" si="7"/>
        <v>164.00748535770845</v>
      </c>
      <c r="P42" s="25">
        <f t="shared" si="7"/>
        <v>165.84589173943152</v>
      </c>
      <c r="Q42" s="25">
        <f t="shared" si="7"/>
        <v>167.70351826080287</v>
      </c>
      <c r="R42" s="25">
        <f t="shared" si="7"/>
        <v>169.58054498843879</v>
      </c>
      <c r="S42" s="25">
        <f t="shared" si="7"/>
        <v>171.47714010171808</v>
      </c>
      <c r="T42" s="25">
        <f t="shared" si="7"/>
        <v>173.39348997217522</v>
      </c>
      <c r="U42" s="25">
        <f t="shared" si="7"/>
        <v>175.32978644912674</v>
      </c>
      <c r="V42" s="25">
        <f t="shared" si="7"/>
        <v>177.29173508752794</v>
      </c>
      <c r="W42" s="25">
        <f t="shared" si="7"/>
        <v>181.32622130196739</v>
      </c>
      <c r="X42" s="25">
        <f t="shared" si="7"/>
        <v>183.28720053646632</v>
      </c>
      <c r="Y42" s="25">
        <f t="shared" si="7"/>
        <v>185.26593870801597</v>
      </c>
      <c r="Z42" s="25">
        <f t="shared" si="7"/>
        <v>187.26252462532233</v>
      </c>
      <c r="AA42" s="25">
        <f t="shared" si="7"/>
        <v>189.27703654107552</v>
      </c>
      <c r="AB42" s="25">
        <f t="shared" si="7"/>
        <v>191.30956855582352</v>
      </c>
      <c r="AC42" s="25">
        <f t="shared" si="7"/>
        <v>193.36019944642641</v>
      </c>
      <c r="AD42" s="25">
        <f t="shared" si="7"/>
        <v>195.42901037302687</v>
      </c>
      <c r="AE42" s="25">
        <f t="shared" si="7"/>
        <v>197.51607838928282</v>
      </c>
      <c r="AF42" s="25">
        <f t="shared" si="7"/>
        <v>199.62148294920195</v>
      </c>
      <c r="AG42" s="25">
        <f t="shared" si="7"/>
        <v>201.74530776764533</v>
      </c>
      <c r="AH42" s="25">
        <f t="shared" si="7"/>
        <v>203.88761240454477</v>
      </c>
      <c r="AI42" s="25">
        <f t="shared" si="7"/>
        <v>206.04847728495935</v>
      </c>
      <c r="AJ42" s="25">
        <f t="shared" si="7"/>
        <v>208.22796551400836</v>
      </c>
      <c r="AK42" s="25">
        <f t="shared" si="7"/>
        <v>210.42616182321933</v>
      </c>
      <c r="AL42" s="25">
        <f t="shared" si="7"/>
        <v>212.64311138412302</v>
      </c>
      <c r="AM42" s="25">
        <f t="shared" si="7"/>
        <v>214.87888856306927</v>
      </c>
      <c r="AN42" s="25">
        <f t="shared" si="7"/>
        <v>217.13355207273247</v>
      </c>
      <c r="AO42" s="25">
        <f t="shared" si="7"/>
        <v>219.40715985066009</v>
      </c>
      <c r="AP42" s="25">
        <f t="shared" si="7"/>
        <v>221.69976236417693</v>
      </c>
      <c r="AQ42" s="25">
        <f t="shared" si="7"/>
        <v>224.00975726768098</v>
      </c>
      <c r="AR42" s="25">
        <f t="shared" si="7"/>
        <v>225.72481670464663</v>
      </c>
      <c r="AS42" s="25">
        <f t="shared" si="7"/>
        <v>324.93879339280596</v>
      </c>
      <c r="AT42" s="25">
        <f t="shared" si="7"/>
        <v>329.81287529369803</v>
      </c>
      <c r="AU42" s="25">
        <f t="shared" si="7"/>
        <v>334.76006842310346</v>
      </c>
      <c r="AV42" s="25">
        <f t="shared" si="7"/>
        <v>339.78146944944996</v>
      </c>
      <c r="AW42" s="25">
        <f t="shared" si="7"/>
        <v>344.87819149119167</v>
      </c>
      <c r="AX42" s="25">
        <f t="shared" si="7"/>
        <v>350.05136436355951</v>
      </c>
      <c r="AY42" s="25">
        <f t="shared" si="7"/>
        <v>355.30213482901286</v>
      </c>
      <c r="AZ42" s="25">
        <f t="shared" si="7"/>
        <v>360.63166685144802</v>
      </c>
      <c r="BA42" s="25">
        <f t="shared" si="7"/>
        <v>366.04114185421969</v>
      </c>
      <c r="BB42" s="25">
        <f t="shared" si="7"/>
        <v>371.53175898203295</v>
      </c>
      <c r="BC42" s="25">
        <f t="shared" si="7"/>
        <v>377.10473536676341</v>
      </c>
      <c r="BD42" s="25">
        <f t="shared" si="7"/>
        <v>382.76130639726483</v>
      </c>
      <c r="BE42" s="25">
        <f t="shared" si="7"/>
        <v>388.50272599322375</v>
      </c>
      <c r="BF42" s="25">
        <f t="shared" si="7"/>
        <v>394.33026688312208</v>
      </c>
      <c r="BG42" s="25">
        <f t="shared" si="7"/>
        <v>400.24522088636888</v>
      </c>
      <c r="BH42" s="25">
        <f t="shared" si="7"/>
        <v>406.24889919966438</v>
      </c>
      <c r="BI42" s="25">
        <f t="shared" si="7"/>
        <v>412.34263268765932</v>
      </c>
      <c r="BJ42" s="25">
        <f t="shared" si="7"/>
        <v>418.52777217797416</v>
      </c>
      <c r="BK42" s="25">
        <f t="shared" si="7"/>
        <v>424.8056887606437</v>
      </c>
      <c r="BL42" s="25">
        <f t="shared" si="7"/>
        <v>431.17777409205331</v>
      </c>
    </row>
    <row r="43" spans="1:64" x14ac:dyDescent="0.35">
      <c r="A43" s="1"/>
      <c r="C43" s="10" t="s">
        <v>122</v>
      </c>
      <c r="D43" s="46"/>
      <c r="E43" s="46">
        <f>E42*E35</f>
        <v>146.53084571361541</v>
      </c>
      <c r="F43" s="46">
        <f t="shared" ref="F43:BL43" si="8">F42*F35</f>
        <v>148.21882651138301</v>
      </c>
      <c r="G43" s="46">
        <f t="shared" si="8"/>
        <v>149.92624899761194</v>
      </c>
      <c r="H43" s="46">
        <f t="shared" si="8"/>
        <v>151.65334235461111</v>
      </c>
      <c r="I43" s="46">
        <f t="shared" si="8"/>
        <v>153.40032653643715</v>
      </c>
      <c r="J43" s="46">
        <f t="shared" si="8"/>
        <v>155.16556716703909</v>
      </c>
      <c r="K43" s="46">
        <f t="shared" si="8"/>
        <v>156.26042288572563</v>
      </c>
      <c r="L43" s="46">
        <f t="shared" si="8"/>
        <v>157.36801163525664</v>
      </c>
      <c r="M43" s="46">
        <f t="shared" si="8"/>
        <v>161.09157879842317</v>
      </c>
      <c r="N43" s="46">
        <f t="shared" si="8"/>
        <v>162.18812512606308</v>
      </c>
      <c r="O43" s="46">
        <f t="shared" si="8"/>
        <v>164.00748535770845</v>
      </c>
      <c r="P43" s="46">
        <f t="shared" si="8"/>
        <v>165.84589173943152</v>
      </c>
      <c r="Q43" s="46">
        <f t="shared" si="8"/>
        <v>167.70351826080287</v>
      </c>
      <c r="R43" s="46">
        <f t="shared" si="8"/>
        <v>169.58054498843879</v>
      </c>
      <c r="S43" s="46">
        <f t="shared" si="8"/>
        <v>171.47714010171808</v>
      </c>
      <c r="T43" s="46">
        <f t="shared" si="8"/>
        <v>173.39348997217522</v>
      </c>
      <c r="U43" s="46">
        <f t="shared" si="8"/>
        <v>175.32978644912674</v>
      </c>
      <c r="V43" s="46">
        <f t="shared" si="8"/>
        <v>177.29173508752794</v>
      </c>
      <c r="W43" s="46">
        <f t="shared" si="8"/>
        <v>181.32622130196739</v>
      </c>
      <c r="X43" s="46">
        <f t="shared" si="8"/>
        <v>183.28720053646632</v>
      </c>
      <c r="Y43" s="46">
        <f t="shared" si="8"/>
        <v>185.26593870801597</v>
      </c>
      <c r="Z43" s="46">
        <f t="shared" si="8"/>
        <v>187.26252462532233</v>
      </c>
      <c r="AA43" s="46">
        <f t="shared" si="8"/>
        <v>189.27703654107552</v>
      </c>
      <c r="AB43" s="46">
        <f t="shared" si="8"/>
        <v>191.30956855582352</v>
      </c>
      <c r="AC43" s="46">
        <f t="shared" si="8"/>
        <v>193.36019944642641</v>
      </c>
      <c r="AD43" s="46">
        <f t="shared" si="8"/>
        <v>195.42901037302687</v>
      </c>
      <c r="AE43" s="46">
        <f t="shared" si="8"/>
        <v>197.51607838928282</v>
      </c>
      <c r="AF43" s="46">
        <f t="shared" si="8"/>
        <v>199.62148294920195</v>
      </c>
      <c r="AG43" s="46">
        <f t="shared" si="8"/>
        <v>201.74530776764533</v>
      </c>
      <c r="AH43" s="46">
        <f t="shared" si="8"/>
        <v>203.88761240454477</v>
      </c>
      <c r="AI43" s="46">
        <f t="shared" si="8"/>
        <v>206.04847728495935</v>
      </c>
      <c r="AJ43" s="46">
        <f t="shared" si="8"/>
        <v>208.22796551400836</v>
      </c>
      <c r="AK43" s="46">
        <f t="shared" si="8"/>
        <v>210.42616182321933</v>
      </c>
      <c r="AL43" s="46">
        <f t="shared" si="8"/>
        <v>212.64311138412302</v>
      </c>
      <c r="AM43" s="46">
        <f t="shared" si="8"/>
        <v>214.87888856306927</v>
      </c>
      <c r="AN43" s="46">
        <f t="shared" si="8"/>
        <v>217.13355207273247</v>
      </c>
      <c r="AO43" s="46">
        <f t="shared" si="8"/>
        <v>219.40715985066009</v>
      </c>
      <c r="AP43" s="46">
        <f t="shared" si="8"/>
        <v>221.69976236417693</v>
      </c>
      <c r="AQ43" s="46">
        <f t="shared" si="8"/>
        <v>224.00975726768098</v>
      </c>
      <c r="AR43" s="46">
        <f t="shared" si="8"/>
        <v>225.72481670464663</v>
      </c>
      <c r="AS43" s="46">
        <f t="shared" si="8"/>
        <v>0</v>
      </c>
      <c r="AT43" s="46">
        <f t="shared" si="8"/>
        <v>0</v>
      </c>
      <c r="AU43" s="46">
        <f t="shared" si="8"/>
        <v>0</v>
      </c>
      <c r="AV43" s="46">
        <f t="shared" si="8"/>
        <v>0</v>
      </c>
      <c r="AW43" s="46">
        <f t="shared" si="8"/>
        <v>0</v>
      </c>
      <c r="AX43" s="46">
        <f t="shared" si="8"/>
        <v>0</v>
      </c>
      <c r="AY43" s="46">
        <f t="shared" si="8"/>
        <v>0</v>
      </c>
      <c r="AZ43" s="46">
        <f t="shared" si="8"/>
        <v>0</v>
      </c>
      <c r="BA43" s="46">
        <f t="shared" si="8"/>
        <v>0</v>
      </c>
      <c r="BB43" s="46">
        <f t="shared" si="8"/>
        <v>0</v>
      </c>
      <c r="BC43" s="46">
        <f t="shared" si="8"/>
        <v>0</v>
      </c>
      <c r="BD43" s="46">
        <f t="shared" si="8"/>
        <v>0</v>
      </c>
      <c r="BE43" s="46">
        <f t="shared" si="8"/>
        <v>0</v>
      </c>
      <c r="BF43" s="46">
        <f t="shared" si="8"/>
        <v>0</v>
      </c>
      <c r="BG43" s="46">
        <f t="shared" si="8"/>
        <v>0</v>
      </c>
      <c r="BH43" s="46">
        <f t="shared" si="8"/>
        <v>0</v>
      </c>
      <c r="BI43" s="46">
        <f t="shared" si="8"/>
        <v>0</v>
      </c>
      <c r="BJ43" s="46">
        <f t="shared" si="8"/>
        <v>0</v>
      </c>
      <c r="BK43" s="46">
        <f t="shared" si="8"/>
        <v>0</v>
      </c>
      <c r="BL43" s="46">
        <f t="shared" si="8"/>
        <v>0</v>
      </c>
    </row>
    <row r="44" spans="1:64" x14ac:dyDescent="0.35">
      <c r="A44" s="1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</row>
    <row r="45" spans="1:64" x14ac:dyDescent="0.35">
      <c r="A45" s="1"/>
      <c r="C45" s="2" t="s">
        <v>171</v>
      </c>
      <c r="E45" s="4">
        <f>E95</f>
        <v>0</v>
      </c>
      <c r="F45" s="4">
        <f t="shared" ref="F45:BL45" si="9">F95</f>
        <v>0</v>
      </c>
      <c r="G45" s="4">
        <f t="shared" si="9"/>
        <v>0</v>
      </c>
      <c r="H45" s="4">
        <f t="shared" si="9"/>
        <v>0</v>
      </c>
      <c r="I45" s="4">
        <f t="shared" si="9"/>
        <v>0</v>
      </c>
      <c r="J45" s="4">
        <f t="shared" si="9"/>
        <v>0</v>
      </c>
      <c r="K45" s="4">
        <f t="shared" si="9"/>
        <v>0</v>
      </c>
      <c r="L45" s="4">
        <f t="shared" si="9"/>
        <v>0</v>
      </c>
      <c r="M45" s="4">
        <f t="shared" si="9"/>
        <v>0</v>
      </c>
      <c r="N45" s="4">
        <f t="shared" si="9"/>
        <v>0</v>
      </c>
      <c r="O45" s="4">
        <f t="shared" si="9"/>
        <v>0</v>
      </c>
      <c r="P45" s="4">
        <f t="shared" si="9"/>
        <v>0</v>
      </c>
      <c r="Q45" s="4">
        <f t="shared" si="9"/>
        <v>0</v>
      </c>
      <c r="R45" s="4">
        <f t="shared" si="9"/>
        <v>0</v>
      </c>
      <c r="S45" s="4">
        <f t="shared" si="9"/>
        <v>0</v>
      </c>
      <c r="T45" s="4">
        <f t="shared" si="9"/>
        <v>0</v>
      </c>
      <c r="U45" s="4">
        <f t="shared" si="9"/>
        <v>0</v>
      </c>
      <c r="V45" s="4">
        <f t="shared" si="9"/>
        <v>0</v>
      </c>
      <c r="W45" s="4">
        <f t="shared" si="9"/>
        <v>0</v>
      </c>
      <c r="X45" s="4">
        <f t="shared" si="9"/>
        <v>0</v>
      </c>
      <c r="Y45" s="4">
        <f t="shared" si="9"/>
        <v>0</v>
      </c>
      <c r="Z45" s="4">
        <f t="shared" si="9"/>
        <v>0</v>
      </c>
      <c r="AA45" s="4">
        <f t="shared" si="9"/>
        <v>0</v>
      </c>
      <c r="AB45" s="4">
        <f t="shared" si="9"/>
        <v>0</v>
      </c>
      <c r="AC45" s="4">
        <f t="shared" si="9"/>
        <v>0</v>
      </c>
      <c r="AD45" s="4">
        <f t="shared" si="9"/>
        <v>0</v>
      </c>
      <c r="AE45" s="4">
        <f t="shared" si="9"/>
        <v>0</v>
      </c>
      <c r="AF45" s="4">
        <f t="shared" si="9"/>
        <v>0</v>
      </c>
      <c r="AG45" s="4">
        <f t="shared" si="9"/>
        <v>0</v>
      </c>
      <c r="AH45" s="4">
        <f t="shared" si="9"/>
        <v>0</v>
      </c>
      <c r="AI45" s="4">
        <f t="shared" si="9"/>
        <v>0</v>
      </c>
      <c r="AJ45" s="4">
        <f t="shared" si="9"/>
        <v>0</v>
      </c>
      <c r="AK45" s="4">
        <f t="shared" si="9"/>
        <v>0</v>
      </c>
      <c r="AL45" s="4">
        <f t="shared" si="9"/>
        <v>0</v>
      </c>
      <c r="AM45" s="4">
        <f t="shared" si="9"/>
        <v>0</v>
      </c>
      <c r="AN45" s="4">
        <f t="shared" si="9"/>
        <v>0</v>
      </c>
      <c r="AO45" s="4">
        <f t="shared" si="9"/>
        <v>0</v>
      </c>
      <c r="AP45" s="4">
        <f t="shared" si="9"/>
        <v>0</v>
      </c>
      <c r="AQ45" s="4">
        <f t="shared" si="9"/>
        <v>0</v>
      </c>
      <c r="AR45" s="4">
        <f t="shared" si="9"/>
        <v>0</v>
      </c>
      <c r="AS45" s="4">
        <f t="shared" si="9"/>
        <v>0</v>
      </c>
      <c r="AT45" s="4">
        <f t="shared" si="9"/>
        <v>0</v>
      </c>
      <c r="AU45" s="4">
        <f t="shared" si="9"/>
        <v>0</v>
      </c>
      <c r="AV45" s="4">
        <f t="shared" si="9"/>
        <v>0</v>
      </c>
      <c r="AW45" s="4">
        <f t="shared" si="9"/>
        <v>0</v>
      </c>
      <c r="AX45" s="4">
        <f t="shared" si="9"/>
        <v>0</v>
      </c>
      <c r="AY45" s="4">
        <f t="shared" si="9"/>
        <v>0</v>
      </c>
      <c r="AZ45" s="4">
        <f t="shared" si="9"/>
        <v>0</v>
      </c>
      <c r="BA45" s="4">
        <f t="shared" si="9"/>
        <v>0</v>
      </c>
      <c r="BB45" s="4">
        <f t="shared" si="9"/>
        <v>0</v>
      </c>
      <c r="BC45" s="4">
        <f t="shared" si="9"/>
        <v>0</v>
      </c>
      <c r="BD45" s="4">
        <f t="shared" si="9"/>
        <v>0</v>
      </c>
      <c r="BE45" s="4">
        <f t="shared" si="9"/>
        <v>0</v>
      </c>
      <c r="BF45" s="4">
        <f t="shared" si="9"/>
        <v>0</v>
      </c>
      <c r="BG45" s="4">
        <f t="shared" si="9"/>
        <v>0</v>
      </c>
      <c r="BH45" s="4">
        <f t="shared" si="9"/>
        <v>0</v>
      </c>
      <c r="BI45" s="4">
        <f t="shared" si="9"/>
        <v>0</v>
      </c>
      <c r="BJ45" s="4">
        <f t="shared" si="9"/>
        <v>0</v>
      </c>
      <c r="BK45" s="4">
        <f t="shared" si="9"/>
        <v>0</v>
      </c>
      <c r="BL45" s="4">
        <f t="shared" si="9"/>
        <v>0</v>
      </c>
    </row>
    <row r="46" spans="1:64" x14ac:dyDescent="0.35">
      <c r="A46" s="1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</row>
    <row r="47" spans="1:64" x14ac:dyDescent="0.35">
      <c r="A47" s="1"/>
      <c r="C47" s="2" t="s">
        <v>72</v>
      </c>
      <c r="E47" s="12">
        <f t="shared" ref="E47:BL47" si="10">LOOKUP(E34,6:6,7:7)/2</f>
        <v>1.4999999999999999E-2</v>
      </c>
      <c r="F47" s="12">
        <f t="shared" si="10"/>
        <v>1.4999999999999999E-2</v>
      </c>
      <c r="G47" s="12">
        <f t="shared" si="10"/>
        <v>1.4999999999999999E-2</v>
      </c>
      <c r="H47" s="12">
        <f t="shared" si="10"/>
        <v>1.4999999999999999E-2</v>
      </c>
      <c r="I47" s="12">
        <f t="shared" si="10"/>
        <v>1.4999999999999999E-2</v>
      </c>
      <c r="J47" s="12">
        <f t="shared" si="10"/>
        <v>1.4999999999999999E-2</v>
      </c>
      <c r="K47" s="12">
        <f t="shared" si="10"/>
        <v>1.4999999999999999E-2</v>
      </c>
      <c r="L47" s="12">
        <f t="shared" si="10"/>
        <v>1.4999999999999999E-2</v>
      </c>
      <c r="M47" s="12">
        <f t="shared" si="10"/>
        <v>1.7500000000000002E-2</v>
      </c>
      <c r="N47" s="12">
        <f t="shared" si="10"/>
        <v>1.7500000000000002E-2</v>
      </c>
      <c r="O47" s="12">
        <f t="shared" si="10"/>
        <v>1.7500000000000002E-2</v>
      </c>
      <c r="P47" s="12">
        <f t="shared" si="10"/>
        <v>1.7500000000000002E-2</v>
      </c>
      <c r="Q47" s="12">
        <f t="shared" si="10"/>
        <v>1.7500000000000002E-2</v>
      </c>
      <c r="R47" s="12">
        <f t="shared" si="10"/>
        <v>1.7500000000000002E-2</v>
      </c>
      <c r="S47" s="12">
        <f t="shared" si="10"/>
        <v>1.7500000000000002E-2</v>
      </c>
      <c r="T47" s="12">
        <f t="shared" si="10"/>
        <v>1.7500000000000002E-2</v>
      </c>
      <c r="U47" s="12">
        <f t="shared" si="10"/>
        <v>1.7500000000000002E-2</v>
      </c>
      <c r="V47" s="12">
        <f t="shared" si="10"/>
        <v>1.7500000000000002E-2</v>
      </c>
      <c r="W47" s="12">
        <f t="shared" si="10"/>
        <v>0.02</v>
      </c>
      <c r="X47" s="12">
        <f t="shared" si="10"/>
        <v>0.02</v>
      </c>
      <c r="Y47" s="12">
        <f t="shared" si="10"/>
        <v>0.02</v>
      </c>
      <c r="Z47" s="12">
        <f t="shared" si="10"/>
        <v>0.02</v>
      </c>
      <c r="AA47" s="12">
        <f t="shared" si="10"/>
        <v>0.02</v>
      </c>
      <c r="AB47" s="12">
        <f t="shared" si="10"/>
        <v>0.02</v>
      </c>
      <c r="AC47" s="12">
        <f t="shared" si="10"/>
        <v>0.02</v>
      </c>
      <c r="AD47" s="12">
        <f t="shared" si="10"/>
        <v>0.02</v>
      </c>
      <c r="AE47" s="12">
        <f t="shared" si="10"/>
        <v>0.02</v>
      </c>
      <c r="AF47" s="12">
        <f t="shared" si="10"/>
        <v>0.02</v>
      </c>
      <c r="AG47" s="12">
        <f t="shared" si="10"/>
        <v>0.02</v>
      </c>
      <c r="AH47" s="12">
        <f t="shared" si="10"/>
        <v>0.02</v>
      </c>
      <c r="AI47" s="12">
        <f t="shared" si="10"/>
        <v>0.02</v>
      </c>
      <c r="AJ47" s="12">
        <f t="shared" si="10"/>
        <v>0.02</v>
      </c>
      <c r="AK47" s="12">
        <f t="shared" si="10"/>
        <v>0.02</v>
      </c>
      <c r="AL47" s="12">
        <f t="shared" si="10"/>
        <v>0.02</v>
      </c>
      <c r="AM47" s="12">
        <f t="shared" si="10"/>
        <v>0.02</v>
      </c>
      <c r="AN47" s="12">
        <f t="shared" si="10"/>
        <v>0.02</v>
      </c>
      <c r="AO47" s="12">
        <f t="shared" si="10"/>
        <v>0.02</v>
      </c>
      <c r="AP47" s="12">
        <f t="shared" si="10"/>
        <v>0.02</v>
      </c>
      <c r="AQ47" s="12">
        <f t="shared" si="10"/>
        <v>0.02</v>
      </c>
      <c r="AR47" s="12">
        <f t="shared" si="10"/>
        <v>0.02</v>
      </c>
      <c r="AS47" s="12">
        <f t="shared" si="10"/>
        <v>0.02</v>
      </c>
      <c r="AT47" s="12">
        <f t="shared" si="10"/>
        <v>0.02</v>
      </c>
      <c r="AU47" s="12">
        <f t="shared" si="10"/>
        <v>0.02</v>
      </c>
      <c r="AV47" s="12">
        <f t="shared" si="10"/>
        <v>0.02</v>
      </c>
      <c r="AW47" s="12">
        <f t="shared" si="10"/>
        <v>0.02</v>
      </c>
      <c r="AX47" s="12">
        <f t="shared" si="10"/>
        <v>0.02</v>
      </c>
      <c r="AY47" s="12">
        <f t="shared" si="10"/>
        <v>0.02</v>
      </c>
      <c r="AZ47" s="12">
        <f t="shared" si="10"/>
        <v>0.02</v>
      </c>
      <c r="BA47" s="12">
        <f t="shared" si="10"/>
        <v>0.02</v>
      </c>
      <c r="BB47" s="12">
        <f t="shared" si="10"/>
        <v>0.02</v>
      </c>
      <c r="BC47" s="12">
        <f t="shared" si="10"/>
        <v>0.02</v>
      </c>
      <c r="BD47" s="12">
        <f t="shared" si="10"/>
        <v>0.02</v>
      </c>
      <c r="BE47" s="12">
        <f t="shared" si="10"/>
        <v>0.02</v>
      </c>
      <c r="BF47" s="12">
        <f t="shared" si="10"/>
        <v>0.02</v>
      </c>
      <c r="BG47" s="12">
        <f t="shared" si="10"/>
        <v>0.02</v>
      </c>
      <c r="BH47" s="12">
        <f t="shared" si="10"/>
        <v>0.02</v>
      </c>
      <c r="BI47" s="12">
        <f t="shared" si="10"/>
        <v>0.02</v>
      </c>
      <c r="BJ47" s="12">
        <f t="shared" si="10"/>
        <v>0.02</v>
      </c>
      <c r="BK47" s="12">
        <f t="shared" si="10"/>
        <v>0.02</v>
      </c>
      <c r="BL47" s="12">
        <f t="shared" si="10"/>
        <v>0.02</v>
      </c>
    </row>
    <row r="48" spans="1:64" x14ac:dyDescent="0.35">
      <c r="A48" s="1"/>
      <c r="C48" s="2" t="s">
        <v>89</v>
      </c>
      <c r="D48" s="128">
        <v>1</v>
      </c>
      <c r="E48" s="4">
        <f t="shared" ref="E48:BL48" si="11">D48*(1+E47)</f>
        <v>1.0149999999999999</v>
      </c>
      <c r="F48" s="4">
        <f t="shared" si="11"/>
        <v>1.0302249999999997</v>
      </c>
      <c r="G48" s="4">
        <f t="shared" si="11"/>
        <v>1.0456783749999996</v>
      </c>
      <c r="H48" s="4">
        <f t="shared" si="11"/>
        <v>1.0613635506249994</v>
      </c>
      <c r="I48" s="4">
        <f t="shared" si="11"/>
        <v>1.0772840038843743</v>
      </c>
      <c r="J48" s="4">
        <f t="shared" si="11"/>
        <v>1.0934432639426397</v>
      </c>
      <c r="K48" s="4">
        <f t="shared" si="11"/>
        <v>1.1098449129017791</v>
      </c>
      <c r="L48" s="4">
        <f t="shared" si="11"/>
        <v>1.1264925865953057</v>
      </c>
      <c r="M48" s="4">
        <f t="shared" si="11"/>
        <v>1.1462062068607237</v>
      </c>
      <c r="N48" s="4">
        <f t="shared" si="11"/>
        <v>1.1662648154807864</v>
      </c>
      <c r="O48" s="4">
        <f t="shared" si="11"/>
        <v>1.1866744497517003</v>
      </c>
      <c r="P48" s="4">
        <f t="shared" si="11"/>
        <v>1.2074412526223552</v>
      </c>
      <c r="Q48" s="4">
        <f t="shared" si="11"/>
        <v>1.2285714745432466</v>
      </c>
      <c r="R48" s="4">
        <f t="shared" si="11"/>
        <v>1.2500714753477535</v>
      </c>
      <c r="S48" s="4">
        <f t="shared" si="11"/>
        <v>1.2719477261663392</v>
      </c>
      <c r="T48" s="4">
        <f t="shared" si="11"/>
        <v>1.2942068113742502</v>
      </c>
      <c r="U48" s="4">
        <f t="shared" si="11"/>
        <v>1.3168554305732996</v>
      </c>
      <c r="V48" s="4">
        <f t="shared" si="11"/>
        <v>1.3399004006083324</v>
      </c>
      <c r="W48" s="4">
        <f t="shared" si="11"/>
        <v>1.366698408620499</v>
      </c>
      <c r="X48" s="4">
        <f t="shared" si="11"/>
        <v>1.394032376792909</v>
      </c>
      <c r="Y48" s="4">
        <f t="shared" si="11"/>
        <v>1.4219130243287672</v>
      </c>
      <c r="Z48" s="4">
        <f t="shared" si="11"/>
        <v>1.4503512848153426</v>
      </c>
      <c r="AA48" s="4">
        <f t="shared" si="11"/>
        <v>1.4793583105116495</v>
      </c>
      <c r="AB48" s="4">
        <f t="shared" si="11"/>
        <v>1.5089454767218824</v>
      </c>
      <c r="AC48" s="4">
        <f t="shared" si="11"/>
        <v>1.53912438625632</v>
      </c>
      <c r="AD48" s="4">
        <f t="shared" si="11"/>
        <v>1.5699068739814463</v>
      </c>
      <c r="AE48" s="4">
        <f t="shared" si="11"/>
        <v>1.6013050114610754</v>
      </c>
      <c r="AF48" s="4">
        <f t="shared" si="11"/>
        <v>1.6333311116902969</v>
      </c>
      <c r="AG48" s="4">
        <f t="shared" si="11"/>
        <v>1.6659977339241028</v>
      </c>
      <c r="AH48" s="4">
        <f t="shared" si="11"/>
        <v>1.6993176886025849</v>
      </c>
      <c r="AI48" s="4">
        <f t="shared" si="11"/>
        <v>1.7333040423746366</v>
      </c>
      <c r="AJ48" s="4">
        <f t="shared" si="11"/>
        <v>1.7679701232221294</v>
      </c>
      <c r="AK48" s="4">
        <f t="shared" si="11"/>
        <v>1.803329525686572</v>
      </c>
      <c r="AL48" s="4">
        <f t="shared" si="11"/>
        <v>1.8393961162003034</v>
      </c>
      <c r="AM48" s="4">
        <f t="shared" si="11"/>
        <v>1.8761840385243096</v>
      </c>
      <c r="AN48" s="4">
        <f t="shared" si="11"/>
        <v>1.9137077192947958</v>
      </c>
      <c r="AO48" s="4">
        <f t="shared" si="11"/>
        <v>1.9519818736806918</v>
      </c>
      <c r="AP48" s="4">
        <f t="shared" si="11"/>
        <v>1.9910215111543057</v>
      </c>
      <c r="AQ48" s="4">
        <f t="shared" si="11"/>
        <v>2.0308419413773917</v>
      </c>
      <c r="AR48" s="4">
        <f t="shared" si="11"/>
        <v>2.0714587802049396</v>
      </c>
      <c r="AS48" s="4">
        <f t="shared" si="11"/>
        <v>2.1128879558090383</v>
      </c>
      <c r="AT48" s="4">
        <f t="shared" si="11"/>
        <v>2.1551457149252191</v>
      </c>
      <c r="AU48" s="4">
        <f t="shared" si="11"/>
        <v>2.1982486292237233</v>
      </c>
      <c r="AV48" s="4">
        <f t="shared" si="11"/>
        <v>2.242213601808198</v>
      </c>
      <c r="AW48" s="4">
        <f t="shared" si="11"/>
        <v>2.2870578738443621</v>
      </c>
      <c r="AX48" s="4">
        <f t="shared" si="11"/>
        <v>2.3327990313212492</v>
      </c>
      <c r="AY48" s="4">
        <f t="shared" si="11"/>
        <v>2.3794550119476741</v>
      </c>
      <c r="AZ48" s="4">
        <f t="shared" si="11"/>
        <v>2.4270441121866275</v>
      </c>
      <c r="BA48" s="4">
        <f t="shared" si="11"/>
        <v>2.4755849944303603</v>
      </c>
      <c r="BB48" s="4">
        <f t="shared" si="11"/>
        <v>2.5250966943189677</v>
      </c>
      <c r="BC48" s="4">
        <f t="shared" si="11"/>
        <v>2.5755986282053471</v>
      </c>
      <c r="BD48" s="4">
        <f t="shared" si="11"/>
        <v>2.6271106007694542</v>
      </c>
      <c r="BE48" s="4">
        <f t="shared" si="11"/>
        <v>2.6796528127848434</v>
      </c>
      <c r="BF48" s="4">
        <f t="shared" si="11"/>
        <v>2.7332458690405401</v>
      </c>
      <c r="BG48" s="4">
        <f t="shared" si="11"/>
        <v>2.7879107864213508</v>
      </c>
      <c r="BH48" s="4">
        <f t="shared" si="11"/>
        <v>2.8436690021497779</v>
      </c>
      <c r="BI48" s="4">
        <f t="shared" si="11"/>
        <v>2.9005423821927736</v>
      </c>
      <c r="BJ48" s="4">
        <f t="shared" si="11"/>
        <v>2.9585532298366291</v>
      </c>
      <c r="BK48" s="4">
        <f t="shared" si="11"/>
        <v>3.0177242944333615</v>
      </c>
      <c r="BL48" s="4">
        <f t="shared" si="11"/>
        <v>3.0780787803220289</v>
      </c>
    </row>
    <row r="49" spans="1:64" x14ac:dyDescent="0.35">
      <c r="A49" s="1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</row>
    <row r="50" spans="1:64" x14ac:dyDescent="0.35">
      <c r="A50" s="1"/>
      <c r="C50" s="2" t="s">
        <v>15</v>
      </c>
      <c r="D50" s="4">
        <f>SUMPRODUCT(E43:BL43/E48:BL48)</f>
        <v>5155.884552643005</v>
      </c>
      <c r="G50" s="32" t="s">
        <v>348</v>
      </c>
      <c r="H50" s="4">
        <f>D50/D51</f>
        <v>1.2840295540173825</v>
      </c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</row>
    <row r="51" spans="1:64" x14ac:dyDescent="0.35">
      <c r="A51" s="1"/>
      <c r="C51" s="2" t="s">
        <v>330</v>
      </c>
      <c r="D51" s="4">
        <f>D28</f>
        <v>4015.3939888000486</v>
      </c>
      <c r="G51" s="32" t="s">
        <v>123</v>
      </c>
      <c r="H51" s="4">
        <f>D50/(D51+D52)</f>
        <v>1.2840295540173825</v>
      </c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</row>
    <row r="52" spans="1:64" x14ac:dyDescent="0.35">
      <c r="A52" s="1"/>
      <c r="C52" s="2" t="s">
        <v>328</v>
      </c>
      <c r="D52" s="4">
        <f>D62</f>
        <v>0</v>
      </c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</row>
    <row r="53" spans="1:64" x14ac:dyDescent="0.35">
      <c r="A53" s="1"/>
      <c r="C53" s="2" t="s">
        <v>316</v>
      </c>
      <c r="D53" s="4" t="b">
        <f>H51&gt;D8</f>
        <v>0</v>
      </c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</row>
    <row r="54" spans="1:64" x14ac:dyDescent="0.35">
      <c r="A54" s="1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</row>
    <row r="55" spans="1:64" x14ac:dyDescent="0.35">
      <c r="A55" s="1"/>
      <c r="C55" s="2" t="s">
        <v>351</v>
      </c>
      <c r="D55" s="4">
        <f>D8</f>
        <v>1.3</v>
      </c>
      <c r="E55" s="4">
        <f t="shared" ref="E55:AJ55" si="12">E42/$D$55*E35</f>
        <v>112.71603516431954</v>
      </c>
      <c r="F55" s="4">
        <f t="shared" si="12"/>
        <v>114.01448193183309</v>
      </c>
      <c r="G55" s="4">
        <f t="shared" si="12"/>
        <v>115.32788384431687</v>
      </c>
      <c r="H55" s="4">
        <f t="shared" si="12"/>
        <v>116.6564171958547</v>
      </c>
      <c r="I55" s="4">
        <f t="shared" si="12"/>
        <v>118.00025118187473</v>
      </c>
      <c r="J55" s="4">
        <f t="shared" si="12"/>
        <v>119.35812859003006</v>
      </c>
      <c r="K55" s="4">
        <f t="shared" si="12"/>
        <v>120.20032529671202</v>
      </c>
      <c r="L55" s="4">
        <f t="shared" si="12"/>
        <v>121.0523166425051</v>
      </c>
      <c r="M55" s="4">
        <f t="shared" si="12"/>
        <v>123.91659907571012</v>
      </c>
      <c r="N55" s="4">
        <f t="shared" si="12"/>
        <v>124.76009625081775</v>
      </c>
      <c r="O55" s="4">
        <f t="shared" si="12"/>
        <v>126.15960412131419</v>
      </c>
      <c r="P55" s="4">
        <f t="shared" si="12"/>
        <v>127.57376287648579</v>
      </c>
      <c r="Q55" s="4">
        <f t="shared" si="12"/>
        <v>129.00270635446373</v>
      </c>
      <c r="R55" s="4">
        <f t="shared" si="12"/>
        <v>130.44657306802983</v>
      </c>
      <c r="S55" s="4">
        <f t="shared" si="12"/>
        <v>131.90549238593698</v>
      </c>
      <c r="T55" s="4">
        <f t="shared" si="12"/>
        <v>133.37960767090402</v>
      </c>
      <c r="U55" s="4">
        <f t="shared" si="12"/>
        <v>134.86906649932826</v>
      </c>
      <c r="V55" s="4">
        <f t="shared" si="12"/>
        <v>136.37825775963688</v>
      </c>
      <c r="W55" s="4">
        <f t="shared" si="12"/>
        <v>139.48170869382108</v>
      </c>
      <c r="X55" s="4">
        <f t="shared" si="12"/>
        <v>140.99015425882024</v>
      </c>
      <c r="Y55" s="4">
        <f t="shared" si="12"/>
        <v>142.51226054462765</v>
      </c>
      <c r="Z55" s="4">
        <f t="shared" si="12"/>
        <v>144.04809586563255</v>
      </c>
      <c r="AA55" s="4">
        <f t="shared" si="12"/>
        <v>145.59772041621193</v>
      </c>
      <c r="AB55" s="4">
        <f t="shared" si="12"/>
        <v>147.16120658140269</v>
      </c>
      <c r="AC55" s="4">
        <f t="shared" si="12"/>
        <v>148.73861495878953</v>
      </c>
      <c r="AD55" s="4">
        <f t="shared" si="12"/>
        <v>150.33000797925143</v>
      </c>
      <c r="AE55" s="4">
        <f t="shared" si="12"/>
        <v>151.93544491483294</v>
      </c>
      <c r="AF55" s="4">
        <f t="shared" si="12"/>
        <v>153.55498688400149</v>
      </c>
      <c r="AG55" s="4">
        <f t="shared" si="12"/>
        <v>155.1886982828041</v>
      </c>
      <c r="AH55" s="4">
        <f t="shared" si="12"/>
        <v>156.83662492657288</v>
      </c>
      <c r="AI55" s="4">
        <f t="shared" si="12"/>
        <v>158.49882868073794</v>
      </c>
      <c r="AJ55" s="4">
        <f t="shared" si="12"/>
        <v>160.17535808769873</v>
      </c>
      <c r="AK55" s="4">
        <f t="shared" ref="AK55:BL55" si="13">AK42/$D$55*AK35</f>
        <v>161.86627832555334</v>
      </c>
      <c r="AL55" s="4">
        <f t="shared" si="13"/>
        <v>163.57162414163309</v>
      </c>
      <c r="AM55" s="4">
        <f t="shared" si="13"/>
        <v>165.29145274082251</v>
      </c>
      <c r="AN55" s="4">
        <f t="shared" si="13"/>
        <v>167.02580928671728</v>
      </c>
      <c r="AO55" s="4">
        <f t="shared" si="13"/>
        <v>168.77473834666159</v>
      </c>
      <c r="AP55" s="4">
        <f t="shared" si="13"/>
        <v>170.53827874167456</v>
      </c>
      <c r="AQ55" s="4">
        <f t="shared" si="13"/>
        <v>172.31519789821613</v>
      </c>
      <c r="AR55" s="4">
        <f t="shared" si="13"/>
        <v>173.63447438818972</v>
      </c>
      <c r="AS55" s="4">
        <f t="shared" si="13"/>
        <v>0</v>
      </c>
      <c r="AT55" s="4">
        <f t="shared" si="13"/>
        <v>0</v>
      </c>
      <c r="AU55" s="4">
        <f t="shared" si="13"/>
        <v>0</v>
      </c>
      <c r="AV55" s="4">
        <f t="shared" si="13"/>
        <v>0</v>
      </c>
      <c r="AW55" s="4">
        <f t="shared" si="13"/>
        <v>0</v>
      </c>
      <c r="AX55" s="4">
        <f t="shared" si="13"/>
        <v>0</v>
      </c>
      <c r="AY55" s="4">
        <f t="shared" si="13"/>
        <v>0</v>
      </c>
      <c r="AZ55" s="4">
        <f t="shared" si="13"/>
        <v>0</v>
      </c>
      <c r="BA55" s="4">
        <f t="shared" si="13"/>
        <v>0</v>
      </c>
      <c r="BB55" s="4">
        <f t="shared" si="13"/>
        <v>0</v>
      </c>
      <c r="BC55" s="4">
        <f t="shared" si="13"/>
        <v>0</v>
      </c>
      <c r="BD55" s="4">
        <f t="shared" si="13"/>
        <v>0</v>
      </c>
      <c r="BE55" s="4">
        <f t="shared" si="13"/>
        <v>0</v>
      </c>
      <c r="BF55" s="4">
        <f t="shared" si="13"/>
        <v>0</v>
      </c>
      <c r="BG55" s="4">
        <f t="shared" si="13"/>
        <v>0</v>
      </c>
      <c r="BH55" s="4">
        <f t="shared" si="13"/>
        <v>0</v>
      </c>
      <c r="BI55" s="4">
        <f t="shared" si="13"/>
        <v>0</v>
      </c>
      <c r="BJ55" s="4">
        <f t="shared" si="13"/>
        <v>0</v>
      </c>
      <c r="BK55" s="4">
        <f t="shared" si="13"/>
        <v>0</v>
      </c>
      <c r="BL55" s="4">
        <f t="shared" si="13"/>
        <v>0</v>
      </c>
    </row>
    <row r="56" spans="1:64" x14ac:dyDescent="0.35">
      <c r="A56" s="1"/>
      <c r="C56" s="2" t="s">
        <v>352</v>
      </c>
      <c r="D56" s="4">
        <f>SUMPRODUCT(E55:BL55/E48:BL48)-D52</f>
        <v>3966.0650404946205</v>
      </c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</row>
    <row r="57" spans="1:64" x14ac:dyDescent="0.35">
      <c r="A57" s="1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</row>
    <row r="58" spans="1:64" x14ac:dyDescent="0.35">
      <c r="A58" s="1"/>
      <c r="C58" s="27" t="s">
        <v>317</v>
      </c>
      <c r="D58" s="30">
        <f>IF(D56&lt;D51,D8,H51)</f>
        <v>1.3</v>
      </c>
      <c r="E58" s="30">
        <f t="shared" ref="E58:BL58" si="14">D58</f>
        <v>1.3</v>
      </c>
      <c r="F58" s="30">
        <f t="shared" si="14"/>
        <v>1.3</v>
      </c>
      <c r="G58" s="30">
        <f t="shared" si="14"/>
        <v>1.3</v>
      </c>
      <c r="H58" s="30">
        <f t="shared" si="14"/>
        <v>1.3</v>
      </c>
      <c r="I58" s="30">
        <f t="shared" si="14"/>
        <v>1.3</v>
      </c>
      <c r="J58" s="30">
        <f t="shared" si="14"/>
        <v>1.3</v>
      </c>
      <c r="K58" s="30">
        <f t="shared" si="14"/>
        <v>1.3</v>
      </c>
      <c r="L58" s="30">
        <f t="shared" si="14"/>
        <v>1.3</v>
      </c>
      <c r="M58" s="30">
        <f t="shared" si="14"/>
        <v>1.3</v>
      </c>
      <c r="N58" s="30">
        <f t="shared" si="14"/>
        <v>1.3</v>
      </c>
      <c r="O58" s="30">
        <f t="shared" si="14"/>
        <v>1.3</v>
      </c>
      <c r="P58" s="30">
        <f t="shared" si="14"/>
        <v>1.3</v>
      </c>
      <c r="Q58" s="30">
        <f t="shared" si="14"/>
        <v>1.3</v>
      </c>
      <c r="R58" s="30">
        <f t="shared" si="14"/>
        <v>1.3</v>
      </c>
      <c r="S58" s="30">
        <f t="shared" si="14"/>
        <v>1.3</v>
      </c>
      <c r="T58" s="30">
        <f t="shared" si="14"/>
        <v>1.3</v>
      </c>
      <c r="U58" s="30">
        <f t="shared" si="14"/>
        <v>1.3</v>
      </c>
      <c r="V58" s="30">
        <f t="shared" si="14"/>
        <v>1.3</v>
      </c>
      <c r="W58" s="30">
        <f t="shared" si="14"/>
        <v>1.3</v>
      </c>
      <c r="X58" s="30">
        <f t="shared" si="14"/>
        <v>1.3</v>
      </c>
      <c r="Y58" s="30">
        <f t="shared" si="14"/>
        <v>1.3</v>
      </c>
      <c r="Z58" s="30">
        <f t="shared" si="14"/>
        <v>1.3</v>
      </c>
      <c r="AA58" s="30">
        <f t="shared" si="14"/>
        <v>1.3</v>
      </c>
      <c r="AB58" s="30">
        <f t="shared" si="14"/>
        <v>1.3</v>
      </c>
      <c r="AC58" s="30">
        <f t="shared" si="14"/>
        <v>1.3</v>
      </c>
      <c r="AD58" s="30">
        <f t="shared" si="14"/>
        <v>1.3</v>
      </c>
      <c r="AE58" s="30">
        <f t="shared" si="14"/>
        <v>1.3</v>
      </c>
      <c r="AF58" s="30">
        <f t="shared" si="14"/>
        <v>1.3</v>
      </c>
      <c r="AG58" s="30">
        <f t="shared" si="14"/>
        <v>1.3</v>
      </c>
      <c r="AH58" s="30">
        <f t="shared" si="14"/>
        <v>1.3</v>
      </c>
      <c r="AI58" s="30">
        <f t="shared" si="14"/>
        <v>1.3</v>
      </c>
      <c r="AJ58" s="30">
        <f t="shared" si="14"/>
        <v>1.3</v>
      </c>
      <c r="AK58" s="30">
        <f t="shared" si="14"/>
        <v>1.3</v>
      </c>
      <c r="AL58" s="30">
        <f t="shared" si="14"/>
        <v>1.3</v>
      </c>
      <c r="AM58" s="30">
        <f t="shared" si="14"/>
        <v>1.3</v>
      </c>
      <c r="AN58" s="30">
        <f t="shared" si="14"/>
        <v>1.3</v>
      </c>
      <c r="AO58" s="30">
        <f t="shared" si="14"/>
        <v>1.3</v>
      </c>
      <c r="AP58" s="30">
        <f t="shared" si="14"/>
        <v>1.3</v>
      </c>
      <c r="AQ58" s="30">
        <f t="shared" si="14"/>
        <v>1.3</v>
      </c>
      <c r="AR58" s="30">
        <f t="shared" si="14"/>
        <v>1.3</v>
      </c>
      <c r="AS58" s="30">
        <f t="shared" si="14"/>
        <v>1.3</v>
      </c>
      <c r="AT58" s="30">
        <f t="shared" si="14"/>
        <v>1.3</v>
      </c>
      <c r="AU58" s="30">
        <f t="shared" si="14"/>
        <v>1.3</v>
      </c>
      <c r="AV58" s="30">
        <f t="shared" si="14"/>
        <v>1.3</v>
      </c>
      <c r="AW58" s="30">
        <f t="shared" si="14"/>
        <v>1.3</v>
      </c>
      <c r="AX58" s="30">
        <f t="shared" si="14"/>
        <v>1.3</v>
      </c>
      <c r="AY58" s="30">
        <f t="shared" si="14"/>
        <v>1.3</v>
      </c>
      <c r="AZ58" s="30">
        <f t="shared" si="14"/>
        <v>1.3</v>
      </c>
      <c r="BA58" s="30">
        <f t="shared" si="14"/>
        <v>1.3</v>
      </c>
      <c r="BB58" s="30">
        <f t="shared" si="14"/>
        <v>1.3</v>
      </c>
      <c r="BC58" s="30">
        <f t="shared" si="14"/>
        <v>1.3</v>
      </c>
      <c r="BD58" s="30">
        <f t="shared" si="14"/>
        <v>1.3</v>
      </c>
      <c r="BE58" s="30">
        <f t="shared" si="14"/>
        <v>1.3</v>
      </c>
      <c r="BF58" s="30">
        <f t="shared" si="14"/>
        <v>1.3</v>
      </c>
      <c r="BG58" s="30">
        <f t="shared" si="14"/>
        <v>1.3</v>
      </c>
      <c r="BH58" s="30">
        <f t="shared" si="14"/>
        <v>1.3</v>
      </c>
      <c r="BI58" s="30">
        <f t="shared" si="14"/>
        <v>1.3</v>
      </c>
      <c r="BJ58" s="30">
        <f t="shared" si="14"/>
        <v>1.3</v>
      </c>
      <c r="BK58" s="30">
        <f t="shared" si="14"/>
        <v>1.3</v>
      </c>
      <c r="BL58" s="28">
        <f t="shared" si="14"/>
        <v>1.3</v>
      </c>
    </row>
    <row r="59" spans="1:64" x14ac:dyDescent="0.35">
      <c r="A59" s="1"/>
      <c r="C59" s="10" t="s">
        <v>318</v>
      </c>
      <c r="D59" s="105"/>
      <c r="E59" s="46">
        <f t="shared" ref="E59:AJ59" si="15">E43/E58*E35</f>
        <v>112.71603516431954</v>
      </c>
      <c r="F59" s="46">
        <f t="shared" si="15"/>
        <v>114.01448193183309</v>
      </c>
      <c r="G59" s="46">
        <f t="shared" si="15"/>
        <v>115.32788384431687</v>
      </c>
      <c r="H59" s="46">
        <f t="shared" si="15"/>
        <v>116.6564171958547</v>
      </c>
      <c r="I59" s="46">
        <f t="shared" si="15"/>
        <v>118.00025118187473</v>
      </c>
      <c r="J59" s="46">
        <f t="shared" si="15"/>
        <v>119.35812859003006</v>
      </c>
      <c r="K59" s="46">
        <f t="shared" si="15"/>
        <v>120.20032529671202</v>
      </c>
      <c r="L59" s="46">
        <f t="shared" si="15"/>
        <v>121.0523166425051</v>
      </c>
      <c r="M59" s="46">
        <f t="shared" si="15"/>
        <v>123.91659907571012</v>
      </c>
      <c r="N59" s="46">
        <f t="shared" si="15"/>
        <v>124.76009625081775</v>
      </c>
      <c r="O59" s="46">
        <f t="shared" si="15"/>
        <v>126.15960412131419</v>
      </c>
      <c r="P59" s="46">
        <f t="shared" si="15"/>
        <v>127.57376287648579</v>
      </c>
      <c r="Q59" s="46">
        <f t="shared" si="15"/>
        <v>129.00270635446373</v>
      </c>
      <c r="R59" s="46">
        <f t="shared" si="15"/>
        <v>130.44657306802983</v>
      </c>
      <c r="S59" s="46">
        <f t="shared" si="15"/>
        <v>131.90549238593698</v>
      </c>
      <c r="T59" s="46">
        <f t="shared" si="15"/>
        <v>133.37960767090402</v>
      </c>
      <c r="U59" s="46">
        <f t="shared" si="15"/>
        <v>134.86906649932826</v>
      </c>
      <c r="V59" s="46">
        <f t="shared" si="15"/>
        <v>136.37825775963688</v>
      </c>
      <c r="W59" s="46">
        <f t="shared" si="15"/>
        <v>139.48170869382108</v>
      </c>
      <c r="X59" s="46">
        <f t="shared" si="15"/>
        <v>140.99015425882024</v>
      </c>
      <c r="Y59" s="46">
        <f t="shared" si="15"/>
        <v>142.51226054462765</v>
      </c>
      <c r="Z59" s="46">
        <f t="shared" si="15"/>
        <v>144.04809586563255</v>
      </c>
      <c r="AA59" s="46">
        <f t="shared" si="15"/>
        <v>145.59772041621193</v>
      </c>
      <c r="AB59" s="46">
        <f t="shared" si="15"/>
        <v>147.16120658140269</v>
      </c>
      <c r="AC59" s="46">
        <f t="shared" si="15"/>
        <v>148.73861495878953</v>
      </c>
      <c r="AD59" s="46">
        <f t="shared" si="15"/>
        <v>150.33000797925143</v>
      </c>
      <c r="AE59" s="46">
        <f t="shared" si="15"/>
        <v>151.93544491483294</v>
      </c>
      <c r="AF59" s="46">
        <f t="shared" si="15"/>
        <v>153.55498688400149</v>
      </c>
      <c r="AG59" s="46">
        <f t="shared" si="15"/>
        <v>155.1886982828041</v>
      </c>
      <c r="AH59" s="46">
        <f t="shared" si="15"/>
        <v>156.83662492657288</v>
      </c>
      <c r="AI59" s="46">
        <f t="shared" si="15"/>
        <v>158.49882868073794</v>
      </c>
      <c r="AJ59" s="46">
        <f t="shared" si="15"/>
        <v>160.17535808769873</v>
      </c>
      <c r="AK59" s="46">
        <f t="shared" ref="AK59:BL59" si="16">AK43/AK58*AK35</f>
        <v>161.86627832555334</v>
      </c>
      <c r="AL59" s="46">
        <f t="shared" si="16"/>
        <v>163.57162414163309</v>
      </c>
      <c r="AM59" s="46">
        <f t="shared" si="16"/>
        <v>165.29145274082251</v>
      </c>
      <c r="AN59" s="46">
        <f t="shared" si="16"/>
        <v>167.02580928671728</v>
      </c>
      <c r="AO59" s="46">
        <f t="shared" si="16"/>
        <v>168.77473834666159</v>
      </c>
      <c r="AP59" s="46">
        <f t="shared" si="16"/>
        <v>170.53827874167456</v>
      </c>
      <c r="AQ59" s="46">
        <f t="shared" si="16"/>
        <v>172.31519789821613</v>
      </c>
      <c r="AR59" s="46">
        <f t="shared" si="16"/>
        <v>173.63447438818972</v>
      </c>
      <c r="AS59" s="46">
        <f t="shared" si="16"/>
        <v>0</v>
      </c>
      <c r="AT59" s="46">
        <f t="shared" si="16"/>
        <v>0</v>
      </c>
      <c r="AU59" s="46">
        <f t="shared" si="16"/>
        <v>0</v>
      </c>
      <c r="AV59" s="46">
        <f t="shared" si="16"/>
        <v>0</v>
      </c>
      <c r="AW59" s="46">
        <f t="shared" si="16"/>
        <v>0</v>
      </c>
      <c r="AX59" s="46">
        <f t="shared" si="16"/>
        <v>0</v>
      </c>
      <c r="AY59" s="46">
        <f t="shared" si="16"/>
        <v>0</v>
      </c>
      <c r="AZ59" s="46">
        <f t="shared" si="16"/>
        <v>0</v>
      </c>
      <c r="BA59" s="46">
        <f t="shared" si="16"/>
        <v>0</v>
      </c>
      <c r="BB59" s="46">
        <f t="shared" si="16"/>
        <v>0</v>
      </c>
      <c r="BC59" s="46">
        <f t="shared" si="16"/>
        <v>0</v>
      </c>
      <c r="BD59" s="46">
        <f t="shared" si="16"/>
        <v>0</v>
      </c>
      <c r="BE59" s="46">
        <f t="shared" si="16"/>
        <v>0</v>
      </c>
      <c r="BF59" s="46">
        <f t="shared" si="16"/>
        <v>0</v>
      </c>
      <c r="BG59" s="46">
        <f t="shared" si="16"/>
        <v>0</v>
      </c>
      <c r="BH59" s="46">
        <f t="shared" si="16"/>
        <v>0</v>
      </c>
      <c r="BI59" s="46">
        <f t="shared" si="16"/>
        <v>0</v>
      </c>
      <c r="BJ59" s="46">
        <f t="shared" si="16"/>
        <v>0</v>
      </c>
      <c r="BK59" s="46">
        <f t="shared" si="16"/>
        <v>0</v>
      </c>
      <c r="BL59" s="46">
        <f t="shared" si="16"/>
        <v>0</v>
      </c>
    </row>
    <row r="60" spans="1:64" x14ac:dyDescent="0.35">
      <c r="A60" s="1"/>
      <c r="C60" s="10" t="s">
        <v>319</v>
      </c>
      <c r="D60" s="105"/>
      <c r="E60" s="46">
        <f ca="1">E77*$D$12</f>
        <v>0</v>
      </c>
      <c r="F60" s="46">
        <f t="shared" ref="F60:BL60" ca="1" si="17">F77*$D$12</f>
        <v>0</v>
      </c>
      <c r="G60" s="46">
        <f t="shared" ca="1" si="17"/>
        <v>0</v>
      </c>
      <c r="H60" s="46">
        <f t="shared" ca="1" si="17"/>
        <v>0</v>
      </c>
      <c r="I60" s="46">
        <f t="shared" ca="1" si="17"/>
        <v>0</v>
      </c>
      <c r="J60" s="46">
        <f t="shared" ca="1" si="17"/>
        <v>0</v>
      </c>
      <c r="K60" s="46">
        <f t="shared" ca="1" si="17"/>
        <v>0</v>
      </c>
      <c r="L60" s="46">
        <f t="shared" ca="1" si="17"/>
        <v>0</v>
      </c>
      <c r="M60" s="46">
        <f t="shared" ca="1" si="17"/>
        <v>0</v>
      </c>
      <c r="N60" s="46">
        <f t="shared" ca="1" si="17"/>
        <v>0</v>
      </c>
      <c r="O60" s="46">
        <f t="shared" ca="1" si="17"/>
        <v>0</v>
      </c>
      <c r="P60" s="46">
        <f t="shared" ca="1" si="17"/>
        <v>0</v>
      </c>
      <c r="Q60" s="46">
        <f t="shared" ca="1" si="17"/>
        <v>0</v>
      </c>
      <c r="R60" s="46">
        <f t="shared" ca="1" si="17"/>
        <v>0</v>
      </c>
      <c r="S60" s="46">
        <f t="shared" ca="1" si="17"/>
        <v>0</v>
      </c>
      <c r="T60" s="46">
        <f t="shared" ca="1" si="17"/>
        <v>0</v>
      </c>
      <c r="U60" s="46">
        <f t="shared" ca="1" si="17"/>
        <v>0</v>
      </c>
      <c r="V60" s="46">
        <f t="shared" ca="1" si="17"/>
        <v>0</v>
      </c>
      <c r="W60" s="46">
        <f t="shared" ca="1" si="17"/>
        <v>0</v>
      </c>
      <c r="X60" s="46">
        <f t="shared" ca="1" si="17"/>
        <v>0</v>
      </c>
      <c r="Y60" s="46">
        <f t="shared" ca="1" si="17"/>
        <v>0</v>
      </c>
      <c r="Z60" s="46">
        <f t="shared" ca="1" si="17"/>
        <v>0</v>
      </c>
      <c r="AA60" s="46">
        <f t="shared" ca="1" si="17"/>
        <v>0</v>
      </c>
      <c r="AB60" s="46">
        <f t="shared" ca="1" si="17"/>
        <v>0</v>
      </c>
      <c r="AC60" s="46">
        <f t="shared" ca="1" si="17"/>
        <v>0</v>
      </c>
      <c r="AD60" s="46">
        <f t="shared" ca="1" si="17"/>
        <v>0</v>
      </c>
      <c r="AE60" s="46">
        <f t="shared" ca="1" si="17"/>
        <v>0</v>
      </c>
      <c r="AF60" s="46">
        <f t="shared" ca="1" si="17"/>
        <v>0</v>
      </c>
      <c r="AG60" s="46">
        <f t="shared" ca="1" si="17"/>
        <v>0</v>
      </c>
      <c r="AH60" s="46">
        <f t="shared" ca="1" si="17"/>
        <v>0</v>
      </c>
      <c r="AI60" s="46">
        <f t="shared" ca="1" si="17"/>
        <v>0</v>
      </c>
      <c r="AJ60" s="46">
        <f t="shared" ca="1" si="17"/>
        <v>0</v>
      </c>
      <c r="AK60" s="46">
        <f t="shared" ca="1" si="17"/>
        <v>0</v>
      </c>
      <c r="AL60" s="46">
        <f t="shared" ca="1" si="17"/>
        <v>0</v>
      </c>
      <c r="AM60" s="46">
        <f t="shared" ca="1" si="17"/>
        <v>0</v>
      </c>
      <c r="AN60" s="46">
        <f t="shared" ca="1" si="17"/>
        <v>0</v>
      </c>
      <c r="AO60" s="46">
        <f t="shared" ca="1" si="17"/>
        <v>0</v>
      </c>
      <c r="AP60" s="46">
        <f t="shared" ca="1" si="17"/>
        <v>0</v>
      </c>
      <c r="AQ60" s="46">
        <f t="shared" ca="1" si="17"/>
        <v>0</v>
      </c>
      <c r="AR60" s="46">
        <f t="shared" ca="1" si="17"/>
        <v>0</v>
      </c>
      <c r="AS60" s="46">
        <f t="shared" ca="1" si="17"/>
        <v>0</v>
      </c>
      <c r="AT60" s="46">
        <f t="shared" ca="1" si="17"/>
        <v>0</v>
      </c>
      <c r="AU60" s="46">
        <f t="shared" ca="1" si="17"/>
        <v>0</v>
      </c>
      <c r="AV60" s="46">
        <f t="shared" ca="1" si="17"/>
        <v>0</v>
      </c>
      <c r="AW60" s="46">
        <f t="shared" ca="1" si="17"/>
        <v>0</v>
      </c>
      <c r="AX60" s="46">
        <f t="shared" ca="1" si="17"/>
        <v>0</v>
      </c>
      <c r="AY60" s="46">
        <f t="shared" ca="1" si="17"/>
        <v>0</v>
      </c>
      <c r="AZ60" s="46">
        <f t="shared" ca="1" si="17"/>
        <v>0</v>
      </c>
      <c r="BA60" s="46">
        <f t="shared" ca="1" si="17"/>
        <v>0</v>
      </c>
      <c r="BB60" s="46">
        <f t="shared" ca="1" si="17"/>
        <v>0</v>
      </c>
      <c r="BC60" s="46">
        <f t="shared" ca="1" si="17"/>
        <v>0</v>
      </c>
      <c r="BD60" s="46">
        <f t="shared" ca="1" si="17"/>
        <v>0</v>
      </c>
      <c r="BE60" s="46">
        <f t="shared" ca="1" si="17"/>
        <v>0</v>
      </c>
      <c r="BF60" s="46">
        <f t="shared" ca="1" si="17"/>
        <v>0</v>
      </c>
      <c r="BG60" s="46">
        <f t="shared" ca="1" si="17"/>
        <v>0</v>
      </c>
      <c r="BH60" s="46">
        <f t="shared" ca="1" si="17"/>
        <v>0</v>
      </c>
      <c r="BI60" s="46">
        <f t="shared" ca="1" si="17"/>
        <v>0</v>
      </c>
      <c r="BJ60" s="46">
        <f t="shared" ca="1" si="17"/>
        <v>0</v>
      </c>
      <c r="BK60" s="46">
        <f t="shared" ca="1" si="17"/>
        <v>0</v>
      </c>
      <c r="BL60" s="46">
        <f t="shared" ca="1" si="17"/>
        <v>0</v>
      </c>
    </row>
    <row r="61" spans="1:64" x14ac:dyDescent="0.35">
      <c r="A61" s="1"/>
      <c r="C61" s="2" t="s">
        <v>81</v>
      </c>
      <c r="E61" s="4">
        <f ca="1">E59-E60</f>
        <v>112.71603516431954</v>
      </c>
      <c r="F61" s="4">
        <f t="shared" ref="F61:BL61" ca="1" si="18">F59-F60</f>
        <v>114.01448193183309</v>
      </c>
      <c r="G61" s="4">
        <f t="shared" ca="1" si="18"/>
        <v>115.32788384431687</v>
      </c>
      <c r="H61" s="4">
        <f t="shared" ca="1" si="18"/>
        <v>116.6564171958547</v>
      </c>
      <c r="I61" s="4">
        <f t="shared" ca="1" si="18"/>
        <v>118.00025118187473</v>
      </c>
      <c r="J61" s="4">
        <f t="shared" ca="1" si="18"/>
        <v>119.35812859003006</v>
      </c>
      <c r="K61" s="4">
        <f t="shared" ca="1" si="18"/>
        <v>120.20032529671202</v>
      </c>
      <c r="L61" s="4">
        <f t="shared" ca="1" si="18"/>
        <v>121.0523166425051</v>
      </c>
      <c r="M61" s="4">
        <f t="shared" ca="1" si="18"/>
        <v>123.91659907571012</v>
      </c>
      <c r="N61" s="4">
        <f t="shared" ca="1" si="18"/>
        <v>124.76009625081775</v>
      </c>
      <c r="O61" s="4">
        <f t="shared" ca="1" si="18"/>
        <v>126.15960412131419</v>
      </c>
      <c r="P61" s="4">
        <f t="shared" ca="1" si="18"/>
        <v>127.57376287648579</v>
      </c>
      <c r="Q61" s="4">
        <f t="shared" ca="1" si="18"/>
        <v>129.00270635446373</v>
      </c>
      <c r="R61" s="4">
        <f t="shared" ca="1" si="18"/>
        <v>130.44657306802983</v>
      </c>
      <c r="S61" s="4">
        <f t="shared" ca="1" si="18"/>
        <v>131.90549238593698</v>
      </c>
      <c r="T61" s="4">
        <f t="shared" ca="1" si="18"/>
        <v>133.37960767090402</v>
      </c>
      <c r="U61" s="4">
        <f t="shared" ca="1" si="18"/>
        <v>134.86906649932826</v>
      </c>
      <c r="V61" s="4">
        <f t="shared" ca="1" si="18"/>
        <v>136.37825775963688</v>
      </c>
      <c r="W61" s="4">
        <f t="shared" ca="1" si="18"/>
        <v>139.48170869382108</v>
      </c>
      <c r="X61" s="4">
        <f t="shared" ca="1" si="18"/>
        <v>140.99015425882024</v>
      </c>
      <c r="Y61" s="4">
        <f t="shared" ca="1" si="18"/>
        <v>142.51226054462765</v>
      </c>
      <c r="Z61" s="4">
        <f t="shared" ca="1" si="18"/>
        <v>144.04809586563255</v>
      </c>
      <c r="AA61" s="4">
        <f t="shared" ca="1" si="18"/>
        <v>145.59772041621193</v>
      </c>
      <c r="AB61" s="4">
        <f t="shared" ca="1" si="18"/>
        <v>147.16120658140269</v>
      </c>
      <c r="AC61" s="4">
        <f t="shared" ca="1" si="18"/>
        <v>148.73861495878953</v>
      </c>
      <c r="AD61" s="4">
        <f t="shared" ca="1" si="18"/>
        <v>150.33000797925143</v>
      </c>
      <c r="AE61" s="4">
        <f t="shared" ca="1" si="18"/>
        <v>151.93544491483294</v>
      </c>
      <c r="AF61" s="4">
        <f t="shared" ca="1" si="18"/>
        <v>153.55498688400149</v>
      </c>
      <c r="AG61" s="4">
        <f t="shared" ca="1" si="18"/>
        <v>155.1886982828041</v>
      </c>
      <c r="AH61" s="4">
        <f t="shared" ca="1" si="18"/>
        <v>156.83662492657288</v>
      </c>
      <c r="AI61" s="4">
        <f t="shared" ca="1" si="18"/>
        <v>158.49882868073794</v>
      </c>
      <c r="AJ61" s="4">
        <f t="shared" ca="1" si="18"/>
        <v>160.17535808769873</v>
      </c>
      <c r="AK61" s="4">
        <f t="shared" ca="1" si="18"/>
        <v>161.86627832555334</v>
      </c>
      <c r="AL61" s="4">
        <f t="shared" ca="1" si="18"/>
        <v>163.57162414163309</v>
      </c>
      <c r="AM61" s="4">
        <f t="shared" ca="1" si="18"/>
        <v>165.29145274082251</v>
      </c>
      <c r="AN61" s="4">
        <f t="shared" ca="1" si="18"/>
        <v>167.02580928671728</v>
      </c>
      <c r="AO61" s="4">
        <f t="shared" ca="1" si="18"/>
        <v>168.77473834666159</v>
      </c>
      <c r="AP61" s="4">
        <f t="shared" ca="1" si="18"/>
        <v>170.53827874167456</v>
      </c>
      <c r="AQ61" s="4">
        <f t="shared" ca="1" si="18"/>
        <v>172.31519789821613</v>
      </c>
      <c r="AR61" s="4">
        <f t="shared" ca="1" si="18"/>
        <v>173.63447438818972</v>
      </c>
      <c r="AS61" s="4">
        <f t="shared" ca="1" si="18"/>
        <v>0</v>
      </c>
      <c r="AT61" s="4">
        <f t="shared" ca="1" si="18"/>
        <v>0</v>
      </c>
      <c r="AU61" s="4">
        <f t="shared" ca="1" si="18"/>
        <v>0</v>
      </c>
      <c r="AV61" s="4">
        <f t="shared" ca="1" si="18"/>
        <v>0</v>
      </c>
      <c r="AW61" s="4">
        <f t="shared" ca="1" si="18"/>
        <v>0</v>
      </c>
      <c r="AX61" s="4">
        <f t="shared" ca="1" si="18"/>
        <v>0</v>
      </c>
      <c r="AY61" s="4">
        <f t="shared" ca="1" si="18"/>
        <v>0</v>
      </c>
      <c r="AZ61" s="4">
        <f t="shared" ca="1" si="18"/>
        <v>0</v>
      </c>
      <c r="BA61" s="4">
        <f t="shared" ca="1" si="18"/>
        <v>0</v>
      </c>
      <c r="BB61" s="4">
        <f t="shared" ca="1" si="18"/>
        <v>0</v>
      </c>
      <c r="BC61" s="4">
        <f t="shared" ca="1" si="18"/>
        <v>0</v>
      </c>
      <c r="BD61" s="4">
        <f t="shared" ca="1" si="18"/>
        <v>0</v>
      </c>
      <c r="BE61" s="4">
        <f t="shared" ca="1" si="18"/>
        <v>0</v>
      </c>
      <c r="BF61" s="4">
        <f t="shared" ca="1" si="18"/>
        <v>0</v>
      </c>
      <c r="BG61" s="4">
        <f t="shared" ca="1" si="18"/>
        <v>0</v>
      </c>
      <c r="BH61" s="4">
        <f t="shared" ca="1" si="18"/>
        <v>0</v>
      </c>
      <c r="BI61" s="4">
        <f t="shared" ca="1" si="18"/>
        <v>0</v>
      </c>
      <c r="BJ61" s="4">
        <f t="shared" ca="1" si="18"/>
        <v>0</v>
      </c>
      <c r="BK61" s="4">
        <f t="shared" ca="1" si="18"/>
        <v>0</v>
      </c>
      <c r="BL61" s="4">
        <f t="shared" ca="1" si="18"/>
        <v>0</v>
      </c>
    </row>
    <row r="62" spans="1:64" x14ac:dyDescent="0.35">
      <c r="A62" s="1"/>
      <c r="C62" s="2" t="s">
        <v>328</v>
      </c>
      <c r="D62" s="4">
        <f>SUMPRODUCT(E95:BL95/E48:BL48)</f>
        <v>0</v>
      </c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</row>
    <row r="63" spans="1:64" x14ac:dyDescent="0.35">
      <c r="A63" s="1"/>
      <c r="C63" s="2" t="s">
        <v>90</v>
      </c>
      <c r="D63" s="4">
        <f>SUMPRODUCT(E59:BL59/E48:BL48)</f>
        <v>3966.0650404946205</v>
      </c>
    </row>
    <row r="64" spans="1:64" x14ac:dyDescent="0.35">
      <c r="A64" s="1"/>
      <c r="C64" s="34" t="s">
        <v>125</v>
      </c>
      <c r="D64" s="47">
        <f>D63-D62</f>
        <v>3966.0650404946205</v>
      </c>
    </row>
    <row r="65" spans="1:64" x14ac:dyDescent="0.35">
      <c r="A65" s="1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</row>
    <row r="66" spans="1:64" x14ac:dyDescent="0.35">
      <c r="A66" s="1"/>
      <c r="C66" s="2" t="s">
        <v>91</v>
      </c>
      <c r="E66" s="4">
        <f t="shared" ref="E66:BL66" si="19">D68</f>
        <v>3966.0650404946205</v>
      </c>
      <c r="F66" s="4">
        <f t="shared" ca="1" si="19"/>
        <v>3912.8399809377202</v>
      </c>
      <c r="G66" s="4">
        <f t="shared" ca="1" si="19"/>
        <v>3857.5180987199528</v>
      </c>
      <c r="H66" s="4">
        <f t="shared" ca="1" si="19"/>
        <v>3800.0529863564352</v>
      </c>
      <c r="I66" s="4">
        <f t="shared" ca="1" si="19"/>
        <v>3740.3973639559272</v>
      </c>
      <c r="J66" s="4">
        <f t="shared" ca="1" si="19"/>
        <v>3678.5030732333912</v>
      </c>
      <c r="K66" s="4">
        <f t="shared" ca="1" si="19"/>
        <v>3614.3224907418621</v>
      </c>
      <c r="L66" s="4">
        <f t="shared" ca="1" si="19"/>
        <v>3548.3370028062782</v>
      </c>
      <c r="M66" s="4">
        <f t="shared" ca="1" si="19"/>
        <v>3480.5097412058672</v>
      </c>
      <c r="N66" s="4">
        <f t="shared" ca="1" si="19"/>
        <v>3417.5020626012597</v>
      </c>
      <c r="O66" s="4">
        <f t="shared" ca="1" si="19"/>
        <v>3352.548252445964</v>
      </c>
      <c r="P66" s="4">
        <f t="shared" ca="1" si="19"/>
        <v>3285.0582427424542</v>
      </c>
      <c r="Q66" s="4">
        <f t="shared" ca="1" si="19"/>
        <v>3214.9729991139616</v>
      </c>
      <c r="R66" s="4">
        <f t="shared" ca="1" si="19"/>
        <v>3142.232320243992</v>
      </c>
      <c r="S66" s="4">
        <f t="shared" ca="1" si="19"/>
        <v>3066.774812780232</v>
      </c>
      <c r="T66" s="4">
        <f t="shared" ca="1" si="19"/>
        <v>2988.5378796179489</v>
      </c>
      <c r="U66" s="4">
        <f t="shared" ca="1" si="19"/>
        <v>2907.457684840359</v>
      </c>
      <c r="V66" s="4">
        <f t="shared" ca="1" si="19"/>
        <v>2823.4691278257369</v>
      </c>
      <c r="W66" s="4">
        <f t="shared" ca="1" si="19"/>
        <v>2736.5015798030504</v>
      </c>
      <c r="X66" s="4">
        <f t="shared" ca="1" si="19"/>
        <v>2651.7499027052904</v>
      </c>
      <c r="Y66" s="4">
        <f t="shared" ca="1" si="19"/>
        <v>2563.7947465005759</v>
      </c>
      <c r="Z66" s="4">
        <f t="shared" ca="1" si="19"/>
        <v>2472.5583808859597</v>
      </c>
      <c r="AA66" s="4">
        <f t="shared" ca="1" si="19"/>
        <v>2377.9614526380465</v>
      </c>
      <c r="AB66" s="4">
        <f t="shared" ca="1" si="19"/>
        <v>2279.9229612745953</v>
      </c>
      <c r="AC66" s="4">
        <f t="shared" ca="1" si="19"/>
        <v>2178.3602139186846</v>
      </c>
      <c r="AD66" s="4">
        <f t="shared" ca="1" si="19"/>
        <v>2073.188803238269</v>
      </c>
      <c r="AE66" s="4">
        <f t="shared" ca="1" si="19"/>
        <v>1964.322571323783</v>
      </c>
      <c r="AF66" s="4">
        <f t="shared" ca="1" si="19"/>
        <v>1851.6735778354257</v>
      </c>
      <c r="AG66" s="4">
        <f t="shared" ca="1" si="19"/>
        <v>1735.1520625081328</v>
      </c>
      <c r="AH66" s="4">
        <f t="shared" ca="1" si="19"/>
        <v>1614.6664054754913</v>
      </c>
      <c r="AI66" s="4">
        <f t="shared" ca="1" si="19"/>
        <v>1490.1231086584282</v>
      </c>
      <c r="AJ66" s="4">
        <f t="shared" ca="1" si="19"/>
        <v>1361.4267421508589</v>
      </c>
      <c r="AK66" s="4">
        <f t="shared" ca="1" si="19"/>
        <v>1228.4799189061773</v>
      </c>
      <c r="AL66" s="4">
        <f t="shared" ca="1" si="19"/>
        <v>1091.1832389587476</v>
      </c>
      <c r="AM66" s="4">
        <f t="shared" ca="1" si="19"/>
        <v>949.43527959628943</v>
      </c>
      <c r="AN66" s="4">
        <f t="shared" ca="1" si="19"/>
        <v>803.13253244739269</v>
      </c>
      <c r="AO66" s="4">
        <f t="shared" ca="1" si="19"/>
        <v>652.16937380962327</v>
      </c>
      <c r="AP66" s="4">
        <f t="shared" ca="1" si="19"/>
        <v>496.43802293915417</v>
      </c>
      <c r="AQ66" s="4">
        <f t="shared" ca="1" si="19"/>
        <v>335.82850465626268</v>
      </c>
      <c r="AR66" s="4">
        <f t="shared" ca="1" si="19"/>
        <v>170.22987685117181</v>
      </c>
      <c r="AS66" s="4">
        <f t="shared" ca="1" si="19"/>
        <v>5.5422333389287814E-12</v>
      </c>
      <c r="AT66" s="4">
        <f t="shared" ca="1" si="19"/>
        <v>5.6530780057073572E-12</v>
      </c>
      <c r="AU66" s="4">
        <f t="shared" ca="1" si="19"/>
        <v>5.7661395658215046E-12</v>
      </c>
      <c r="AV66" s="4">
        <f t="shared" ca="1" si="19"/>
        <v>5.8814623571379346E-12</v>
      </c>
      <c r="AW66" s="4">
        <f t="shared" ca="1" si="19"/>
        <v>5.9990916042806929E-12</v>
      </c>
      <c r="AX66" s="4">
        <f t="shared" ca="1" si="19"/>
        <v>6.119073436366307E-12</v>
      </c>
      <c r="AY66" s="4">
        <f t="shared" ca="1" si="19"/>
        <v>6.2414549050936334E-12</v>
      </c>
      <c r="AZ66" s="4">
        <f t="shared" ca="1" si="19"/>
        <v>6.3662840031955062E-12</v>
      </c>
      <c r="BA66" s="4">
        <f t="shared" ca="1" si="19"/>
        <v>6.4936096832594166E-12</v>
      </c>
      <c r="BB66" s="4">
        <f t="shared" ca="1" si="19"/>
        <v>6.6234818769246052E-12</v>
      </c>
      <c r="BC66" s="4">
        <f t="shared" ca="1" si="19"/>
        <v>6.7559515144630973E-12</v>
      </c>
      <c r="BD66" s="4">
        <f t="shared" ca="1" si="19"/>
        <v>6.8910705447523589E-12</v>
      </c>
      <c r="BE66" s="4">
        <f t="shared" ca="1" si="19"/>
        <v>7.0288919556474059E-12</v>
      </c>
      <c r="BF66" s="4">
        <f t="shared" ca="1" si="19"/>
        <v>7.1694697947603541E-12</v>
      </c>
      <c r="BG66" s="4">
        <f t="shared" ca="1" si="19"/>
        <v>7.3128591906555615E-12</v>
      </c>
      <c r="BH66" s="4">
        <f t="shared" ca="1" si="19"/>
        <v>7.4591163744686727E-12</v>
      </c>
      <c r="BI66" s="4">
        <f t="shared" ca="1" si="19"/>
        <v>7.6082987019580466E-12</v>
      </c>
      <c r="BJ66" s="4">
        <f t="shared" ca="1" si="19"/>
        <v>7.7604646759972083E-12</v>
      </c>
      <c r="BK66" s="4">
        <f t="shared" ca="1" si="19"/>
        <v>7.9156739695171527E-12</v>
      </c>
      <c r="BL66" s="4">
        <f t="shared" ca="1" si="19"/>
        <v>8.0739874489074953E-12</v>
      </c>
    </row>
    <row r="67" spans="1:64" x14ac:dyDescent="0.35">
      <c r="A67" s="1"/>
      <c r="C67" s="2" t="s">
        <v>74</v>
      </c>
      <c r="E67" s="4">
        <f ca="1">E59-E69-E60</f>
        <v>53.225059556900234</v>
      </c>
      <c r="F67" s="4">
        <f t="shared" ref="F67:BL67" ca="1" si="20">F59-F69-F60</f>
        <v>55.321882217767289</v>
      </c>
      <c r="G67" s="4">
        <f t="shared" ca="1" si="20"/>
        <v>57.465112363517584</v>
      </c>
      <c r="H67" s="4">
        <f t="shared" ca="1" si="20"/>
        <v>59.655622400508172</v>
      </c>
      <c r="I67" s="4">
        <f t="shared" ca="1" si="20"/>
        <v>61.894290722535828</v>
      </c>
      <c r="J67" s="4">
        <f t="shared" ca="1" si="20"/>
        <v>64.180582491529194</v>
      </c>
      <c r="K67" s="4">
        <f t="shared" ca="1" si="20"/>
        <v>65.985487935584104</v>
      </c>
      <c r="L67" s="4">
        <f t="shared" ca="1" si="20"/>
        <v>67.827261600410935</v>
      </c>
      <c r="M67" s="4">
        <f t="shared" ca="1" si="20"/>
        <v>63.007678604607442</v>
      </c>
      <c r="N67" s="4">
        <f t="shared" ca="1" si="20"/>
        <v>64.953810155295713</v>
      </c>
      <c r="O67" s="4">
        <f t="shared" ca="1" si="20"/>
        <v>67.490009703509813</v>
      </c>
      <c r="P67" s="4">
        <f t="shared" ca="1" si="20"/>
        <v>70.085243628492833</v>
      </c>
      <c r="Q67" s="4">
        <f t="shared" ca="1" si="20"/>
        <v>72.7406788699694</v>
      </c>
      <c r="R67" s="4">
        <f t="shared" ca="1" si="20"/>
        <v>75.457507463759967</v>
      </c>
      <c r="S67" s="4">
        <f t="shared" ca="1" si="20"/>
        <v>78.236933162282924</v>
      </c>
      <c r="T67" s="4">
        <f t="shared" ca="1" si="20"/>
        <v>81.080194777589909</v>
      </c>
      <c r="U67" s="4">
        <f t="shared" ca="1" si="20"/>
        <v>83.988557014621961</v>
      </c>
      <c r="V67" s="4">
        <f t="shared" ca="1" si="20"/>
        <v>86.967548022686486</v>
      </c>
      <c r="W67" s="4">
        <f t="shared" ca="1" si="20"/>
        <v>84.751677097760066</v>
      </c>
      <c r="X67" s="4">
        <f t="shared" ca="1" si="20"/>
        <v>87.955156204714427</v>
      </c>
      <c r="Y67" s="4">
        <f t="shared" ca="1" si="20"/>
        <v>91.236365614616133</v>
      </c>
      <c r="Z67" s="4">
        <f t="shared" ca="1" si="20"/>
        <v>94.596928247913354</v>
      </c>
      <c r="AA67" s="4">
        <f t="shared" ca="1" si="20"/>
        <v>98.038491363450987</v>
      </c>
      <c r="AB67" s="4">
        <f t="shared" ca="1" si="20"/>
        <v>101.56274735591079</v>
      </c>
      <c r="AC67" s="4">
        <f t="shared" ca="1" si="20"/>
        <v>105.17141068041583</v>
      </c>
      <c r="AD67" s="4">
        <f t="shared" ca="1" si="20"/>
        <v>108.86623191448605</v>
      </c>
      <c r="AE67" s="4">
        <f t="shared" ca="1" si="20"/>
        <v>112.64899348835729</v>
      </c>
      <c r="AF67" s="4">
        <f t="shared" ca="1" si="20"/>
        <v>116.52151532729297</v>
      </c>
      <c r="AG67" s="4">
        <f t="shared" ca="1" si="20"/>
        <v>120.48565703264144</v>
      </c>
      <c r="AH67" s="4">
        <f t="shared" ca="1" si="20"/>
        <v>124.54329681706305</v>
      </c>
      <c r="AI67" s="4">
        <f t="shared" ca="1" si="20"/>
        <v>128.69636650756939</v>
      </c>
      <c r="AJ67" s="4">
        <f t="shared" ca="1" si="20"/>
        <v>132.94682324468155</v>
      </c>
      <c r="AK67" s="4">
        <f t="shared" ca="1" si="20"/>
        <v>137.29667994742979</v>
      </c>
      <c r="AL67" s="4">
        <f t="shared" ca="1" si="20"/>
        <v>141.74795936245815</v>
      </c>
      <c r="AM67" s="4">
        <f t="shared" ca="1" si="20"/>
        <v>146.30274714889671</v>
      </c>
      <c r="AN67" s="4">
        <f t="shared" ca="1" si="20"/>
        <v>150.96315863776942</v>
      </c>
      <c r="AO67" s="4">
        <f t="shared" ca="1" si="20"/>
        <v>155.73135087046913</v>
      </c>
      <c r="AP67" s="4">
        <f t="shared" ca="1" si="20"/>
        <v>160.60951828289149</v>
      </c>
      <c r="AQ67" s="4">
        <f t="shared" ca="1" si="20"/>
        <v>165.59862780509087</v>
      </c>
      <c r="AR67" s="4">
        <f t="shared" ca="1" si="20"/>
        <v>170.22987685116627</v>
      </c>
      <c r="AS67" s="4">
        <f t="shared" ca="1" si="20"/>
        <v>-1.1084466677857563E-13</v>
      </c>
      <c r="AT67" s="4">
        <f t="shared" ca="1" si="20"/>
        <v>-1.1306156011414715E-13</v>
      </c>
      <c r="AU67" s="4">
        <f t="shared" ca="1" si="20"/>
        <v>-1.153227913164301E-13</v>
      </c>
      <c r="AV67" s="4">
        <f t="shared" ca="1" si="20"/>
        <v>-1.176292471427587E-13</v>
      </c>
      <c r="AW67" s="4">
        <f t="shared" ca="1" si="20"/>
        <v>-1.1998183208561386E-13</v>
      </c>
      <c r="AX67" s="4">
        <f t="shared" ca="1" si="20"/>
        <v>-1.2238146872732614E-13</v>
      </c>
      <c r="AY67" s="4">
        <f t="shared" ca="1" si="20"/>
        <v>-1.2482909810187267E-13</v>
      </c>
      <c r="AZ67" s="4">
        <f t="shared" ca="1" si="20"/>
        <v>-1.2732568006391012E-13</v>
      </c>
      <c r="BA67" s="4">
        <f t="shared" ca="1" si="20"/>
        <v>-1.2987219366518832E-13</v>
      </c>
      <c r="BB67" s="4">
        <f t="shared" ca="1" si="20"/>
        <v>-1.324696375384921E-13</v>
      </c>
      <c r="BC67" s="4">
        <f t="shared" ca="1" si="20"/>
        <v>-1.3511903028926196E-13</v>
      </c>
      <c r="BD67" s="4">
        <f t="shared" ca="1" si="20"/>
        <v>-1.3782141089504719E-13</v>
      </c>
      <c r="BE67" s="4">
        <f t="shared" ca="1" si="20"/>
        <v>-1.4057783911294813E-13</v>
      </c>
      <c r="BF67" s="4">
        <f t="shared" ca="1" si="20"/>
        <v>-1.4338939589520708E-13</v>
      </c>
      <c r="BG67" s="4">
        <f t="shared" ca="1" si="20"/>
        <v>-1.4625718381311123E-13</v>
      </c>
      <c r="BH67" s="4">
        <f t="shared" ca="1" si="20"/>
        <v>-1.4918232748937345E-13</v>
      </c>
      <c r="BI67" s="4">
        <f t="shared" ca="1" si="20"/>
        <v>-1.5216597403916093E-13</v>
      </c>
      <c r="BJ67" s="4">
        <f t="shared" ca="1" si="20"/>
        <v>-1.5520929351994418E-13</v>
      </c>
      <c r="BK67" s="4">
        <f t="shared" ca="1" si="20"/>
        <v>-1.5831347939034306E-13</v>
      </c>
      <c r="BL67" s="4">
        <f t="shared" ca="1" si="20"/>
        <v>-1.6147974897814991E-13</v>
      </c>
    </row>
    <row r="68" spans="1:64" x14ac:dyDescent="0.35">
      <c r="A68" s="1"/>
      <c r="C68" s="2" t="s">
        <v>92</v>
      </c>
      <c r="D68" s="4">
        <f>D64</f>
        <v>3966.0650404946205</v>
      </c>
      <c r="E68" s="4">
        <f t="shared" ref="E68:BL68" ca="1" si="21">E66-E67</f>
        <v>3912.8399809377202</v>
      </c>
      <c r="F68" s="4">
        <f t="shared" ca="1" si="21"/>
        <v>3857.5180987199528</v>
      </c>
      <c r="G68" s="4">
        <f t="shared" ca="1" si="21"/>
        <v>3800.0529863564352</v>
      </c>
      <c r="H68" s="4">
        <f t="shared" ca="1" si="21"/>
        <v>3740.3973639559272</v>
      </c>
      <c r="I68" s="4">
        <f t="shared" ca="1" si="21"/>
        <v>3678.5030732333912</v>
      </c>
      <c r="J68" s="4">
        <f t="shared" ca="1" si="21"/>
        <v>3614.3224907418621</v>
      </c>
      <c r="K68" s="4">
        <f t="shared" ca="1" si="21"/>
        <v>3548.3370028062782</v>
      </c>
      <c r="L68" s="4">
        <f t="shared" ca="1" si="21"/>
        <v>3480.5097412058672</v>
      </c>
      <c r="M68" s="4">
        <f t="shared" ca="1" si="21"/>
        <v>3417.5020626012597</v>
      </c>
      <c r="N68" s="4">
        <f t="shared" ca="1" si="21"/>
        <v>3352.548252445964</v>
      </c>
      <c r="O68" s="4">
        <f t="shared" ca="1" si="21"/>
        <v>3285.0582427424542</v>
      </c>
      <c r="P68" s="4">
        <f t="shared" ca="1" si="21"/>
        <v>3214.9729991139616</v>
      </c>
      <c r="Q68" s="4">
        <f t="shared" ca="1" si="21"/>
        <v>3142.232320243992</v>
      </c>
      <c r="R68" s="4">
        <f t="shared" ca="1" si="21"/>
        <v>3066.774812780232</v>
      </c>
      <c r="S68" s="4">
        <f t="shared" ca="1" si="21"/>
        <v>2988.5378796179489</v>
      </c>
      <c r="T68" s="4">
        <f t="shared" ca="1" si="21"/>
        <v>2907.457684840359</v>
      </c>
      <c r="U68" s="4">
        <f t="shared" ca="1" si="21"/>
        <v>2823.4691278257369</v>
      </c>
      <c r="V68" s="4">
        <f t="shared" ca="1" si="21"/>
        <v>2736.5015798030504</v>
      </c>
      <c r="W68" s="4">
        <f t="shared" ca="1" si="21"/>
        <v>2651.7499027052904</v>
      </c>
      <c r="X68" s="4">
        <f t="shared" ca="1" si="21"/>
        <v>2563.7947465005759</v>
      </c>
      <c r="Y68" s="4">
        <f t="shared" ca="1" si="21"/>
        <v>2472.5583808859597</v>
      </c>
      <c r="Z68" s="4">
        <f t="shared" ca="1" si="21"/>
        <v>2377.9614526380465</v>
      </c>
      <c r="AA68" s="4">
        <f t="shared" ca="1" si="21"/>
        <v>2279.9229612745953</v>
      </c>
      <c r="AB68" s="4">
        <f t="shared" ca="1" si="21"/>
        <v>2178.3602139186846</v>
      </c>
      <c r="AC68" s="4">
        <f t="shared" ca="1" si="21"/>
        <v>2073.188803238269</v>
      </c>
      <c r="AD68" s="4">
        <f t="shared" ca="1" si="21"/>
        <v>1964.322571323783</v>
      </c>
      <c r="AE68" s="4">
        <f t="shared" ca="1" si="21"/>
        <v>1851.6735778354257</v>
      </c>
      <c r="AF68" s="4">
        <f t="shared" ca="1" si="21"/>
        <v>1735.1520625081328</v>
      </c>
      <c r="AG68" s="4">
        <f t="shared" ca="1" si="21"/>
        <v>1614.6664054754913</v>
      </c>
      <c r="AH68" s="4">
        <f t="shared" ca="1" si="21"/>
        <v>1490.1231086584282</v>
      </c>
      <c r="AI68" s="4">
        <f t="shared" ca="1" si="21"/>
        <v>1361.4267421508589</v>
      </c>
      <c r="AJ68" s="4">
        <f t="shared" ca="1" si="21"/>
        <v>1228.4799189061773</v>
      </c>
      <c r="AK68" s="4">
        <f t="shared" ca="1" si="21"/>
        <v>1091.1832389587476</v>
      </c>
      <c r="AL68" s="4">
        <f t="shared" ca="1" si="21"/>
        <v>949.43527959628943</v>
      </c>
      <c r="AM68" s="4">
        <f t="shared" ca="1" si="21"/>
        <v>803.13253244739269</v>
      </c>
      <c r="AN68" s="4">
        <f t="shared" ca="1" si="21"/>
        <v>652.16937380962327</v>
      </c>
      <c r="AO68" s="4">
        <f t="shared" ca="1" si="21"/>
        <v>496.43802293915417</v>
      </c>
      <c r="AP68" s="4">
        <f t="shared" ca="1" si="21"/>
        <v>335.82850465626268</v>
      </c>
      <c r="AQ68" s="4">
        <f t="shared" ca="1" si="21"/>
        <v>170.22987685117181</v>
      </c>
      <c r="AR68" s="4">
        <f t="shared" ca="1" si="21"/>
        <v>5.5422333389287814E-12</v>
      </c>
      <c r="AS68" s="4">
        <f t="shared" ca="1" si="21"/>
        <v>5.6530780057073572E-12</v>
      </c>
      <c r="AT68" s="4">
        <f t="shared" ca="1" si="21"/>
        <v>5.7661395658215046E-12</v>
      </c>
      <c r="AU68" s="4">
        <f t="shared" ca="1" si="21"/>
        <v>5.8814623571379346E-12</v>
      </c>
      <c r="AV68" s="4">
        <f t="shared" ca="1" si="21"/>
        <v>5.9990916042806929E-12</v>
      </c>
      <c r="AW68" s="4">
        <f t="shared" ca="1" si="21"/>
        <v>6.119073436366307E-12</v>
      </c>
      <c r="AX68" s="4">
        <f t="shared" ca="1" si="21"/>
        <v>6.2414549050936334E-12</v>
      </c>
      <c r="AY68" s="4">
        <f t="shared" ca="1" si="21"/>
        <v>6.3662840031955062E-12</v>
      </c>
      <c r="AZ68" s="4">
        <f t="shared" ca="1" si="21"/>
        <v>6.4936096832594166E-12</v>
      </c>
      <c r="BA68" s="4">
        <f t="shared" ca="1" si="21"/>
        <v>6.6234818769246052E-12</v>
      </c>
      <c r="BB68" s="4">
        <f t="shared" ca="1" si="21"/>
        <v>6.7559515144630973E-12</v>
      </c>
      <c r="BC68" s="4">
        <f t="shared" ca="1" si="21"/>
        <v>6.8910705447523589E-12</v>
      </c>
      <c r="BD68" s="4">
        <f t="shared" ca="1" si="21"/>
        <v>7.0288919556474059E-12</v>
      </c>
      <c r="BE68" s="4">
        <f t="shared" ca="1" si="21"/>
        <v>7.1694697947603541E-12</v>
      </c>
      <c r="BF68" s="4">
        <f t="shared" ca="1" si="21"/>
        <v>7.3128591906555615E-12</v>
      </c>
      <c r="BG68" s="4">
        <f t="shared" ca="1" si="21"/>
        <v>7.4591163744686727E-12</v>
      </c>
      <c r="BH68" s="4">
        <f t="shared" ca="1" si="21"/>
        <v>7.6082987019580466E-12</v>
      </c>
      <c r="BI68" s="4">
        <f t="shared" ca="1" si="21"/>
        <v>7.7604646759972083E-12</v>
      </c>
      <c r="BJ68" s="4">
        <f t="shared" ca="1" si="21"/>
        <v>7.9156739695171527E-12</v>
      </c>
      <c r="BK68" s="4">
        <f t="shared" ca="1" si="21"/>
        <v>8.0739874489074953E-12</v>
      </c>
      <c r="BL68" s="4">
        <f t="shared" ca="1" si="21"/>
        <v>8.235467197885645E-12</v>
      </c>
    </row>
    <row r="69" spans="1:64" x14ac:dyDescent="0.35">
      <c r="A69" s="1"/>
      <c r="C69" s="2" t="s">
        <v>310</v>
      </c>
      <c r="E69" s="4">
        <f t="shared" ref="E69:AJ69" si="22">E66*E47</f>
        <v>59.490975607419301</v>
      </c>
      <c r="F69" s="4">
        <f t="shared" ca="1" si="22"/>
        <v>58.6925997140658</v>
      </c>
      <c r="G69" s="4">
        <f t="shared" ca="1" si="22"/>
        <v>57.862771480799289</v>
      </c>
      <c r="H69" s="4">
        <f t="shared" ca="1" si="22"/>
        <v>57.000794795346529</v>
      </c>
      <c r="I69" s="4">
        <f t="shared" ca="1" si="22"/>
        <v>56.105960459338903</v>
      </c>
      <c r="J69" s="4">
        <f t="shared" ca="1" si="22"/>
        <v>55.177546098500869</v>
      </c>
      <c r="K69" s="4">
        <f t="shared" ca="1" si="22"/>
        <v>54.214837361127927</v>
      </c>
      <c r="L69" s="4">
        <f t="shared" ca="1" si="22"/>
        <v>53.225055042094169</v>
      </c>
      <c r="M69" s="4">
        <f t="shared" ca="1" si="22"/>
        <v>60.908920471102682</v>
      </c>
      <c r="N69" s="4">
        <f t="shared" ca="1" si="22"/>
        <v>59.806286095522047</v>
      </c>
      <c r="O69" s="4">
        <f t="shared" ca="1" si="22"/>
        <v>58.669594417804376</v>
      </c>
      <c r="P69" s="4">
        <f t="shared" ca="1" si="22"/>
        <v>57.488519247992954</v>
      </c>
      <c r="Q69" s="4">
        <f t="shared" ca="1" si="22"/>
        <v>56.262027484494332</v>
      </c>
      <c r="R69" s="4">
        <f t="shared" ca="1" si="22"/>
        <v>54.989065604269868</v>
      </c>
      <c r="S69" s="4">
        <f t="shared" ca="1" si="22"/>
        <v>53.668559223654064</v>
      </c>
      <c r="T69" s="4">
        <f t="shared" ca="1" si="22"/>
        <v>52.299412893314113</v>
      </c>
      <c r="U69" s="4">
        <f t="shared" ca="1" si="22"/>
        <v>50.880509484706288</v>
      </c>
      <c r="V69" s="4">
        <f t="shared" ca="1" si="22"/>
        <v>49.410709736950402</v>
      </c>
      <c r="W69" s="4">
        <f t="shared" ca="1" si="22"/>
        <v>54.730031596061011</v>
      </c>
      <c r="X69" s="4">
        <f t="shared" ca="1" si="22"/>
        <v>53.034998054105813</v>
      </c>
      <c r="Y69" s="4">
        <f t="shared" ca="1" si="22"/>
        <v>51.275894930011518</v>
      </c>
      <c r="Z69" s="4">
        <f t="shared" ca="1" si="22"/>
        <v>49.451167617719193</v>
      </c>
      <c r="AA69" s="4">
        <f t="shared" ca="1" si="22"/>
        <v>47.559229052760934</v>
      </c>
      <c r="AB69" s="4">
        <f t="shared" ca="1" si="22"/>
        <v>45.598459225491908</v>
      </c>
      <c r="AC69" s="4">
        <f t="shared" ca="1" si="22"/>
        <v>43.567204278373694</v>
      </c>
      <c r="AD69" s="4">
        <f t="shared" ca="1" si="22"/>
        <v>41.463776064765383</v>
      </c>
      <c r="AE69" s="4">
        <f t="shared" ca="1" si="22"/>
        <v>39.286451426475658</v>
      </c>
      <c r="AF69" s="4">
        <f t="shared" ca="1" si="22"/>
        <v>37.033471556708513</v>
      </c>
      <c r="AG69" s="4">
        <f t="shared" ca="1" si="22"/>
        <v>34.703041250162656</v>
      </c>
      <c r="AH69" s="4">
        <f t="shared" ca="1" si="22"/>
        <v>32.293328109509829</v>
      </c>
      <c r="AI69" s="4">
        <f t="shared" ca="1" si="22"/>
        <v>29.802462173168564</v>
      </c>
      <c r="AJ69" s="4">
        <f t="shared" ca="1" si="22"/>
        <v>27.228534843017179</v>
      </c>
      <c r="AK69" s="4">
        <f t="shared" ref="AK69:BL69" ca="1" si="23">AK66*AK47</f>
        <v>24.569598378123548</v>
      </c>
      <c r="AL69" s="4">
        <f t="shared" ca="1" si="23"/>
        <v>21.823664779174951</v>
      </c>
      <c r="AM69" s="4">
        <f t="shared" ca="1" si="23"/>
        <v>18.98870559192579</v>
      </c>
      <c r="AN69" s="4">
        <f t="shared" ca="1" si="23"/>
        <v>16.062650648947855</v>
      </c>
      <c r="AO69" s="4">
        <f t="shared" ca="1" si="23"/>
        <v>13.043387476192466</v>
      </c>
      <c r="AP69" s="4">
        <f t="shared" ca="1" si="23"/>
        <v>9.9287604587830831</v>
      </c>
      <c r="AQ69" s="4">
        <f t="shared" ca="1" si="23"/>
        <v>6.7165700931252541</v>
      </c>
      <c r="AR69" s="4">
        <f t="shared" ca="1" si="23"/>
        <v>3.4045975370234363</v>
      </c>
      <c r="AS69" s="4">
        <f t="shared" ca="1" si="23"/>
        <v>1.1084466677857563E-13</v>
      </c>
      <c r="AT69" s="4">
        <f t="shared" ca="1" si="23"/>
        <v>1.1306156011414715E-13</v>
      </c>
      <c r="AU69" s="4">
        <f t="shared" ca="1" si="23"/>
        <v>1.153227913164301E-13</v>
      </c>
      <c r="AV69" s="4">
        <f t="shared" ca="1" si="23"/>
        <v>1.176292471427587E-13</v>
      </c>
      <c r="AW69" s="4">
        <f t="shared" ca="1" si="23"/>
        <v>1.1998183208561386E-13</v>
      </c>
      <c r="AX69" s="4">
        <f t="shared" ca="1" si="23"/>
        <v>1.2238146872732614E-13</v>
      </c>
      <c r="AY69" s="4">
        <f t="shared" ca="1" si="23"/>
        <v>1.2482909810187267E-13</v>
      </c>
      <c r="AZ69" s="4">
        <f t="shared" ca="1" si="23"/>
        <v>1.2732568006391012E-13</v>
      </c>
      <c r="BA69" s="4">
        <f t="shared" ca="1" si="23"/>
        <v>1.2987219366518832E-13</v>
      </c>
      <c r="BB69" s="4">
        <f t="shared" ca="1" si="23"/>
        <v>1.324696375384921E-13</v>
      </c>
      <c r="BC69" s="4">
        <f t="shared" ca="1" si="23"/>
        <v>1.3511903028926196E-13</v>
      </c>
      <c r="BD69" s="4">
        <f t="shared" ca="1" si="23"/>
        <v>1.3782141089504719E-13</v>
      </c>
      <c r="BE69" s="4">
        <f t="shared" ca="1" si="23"/>
        <v>1.4057783911294813E-13</v>
      </c>
      <c r="BF69" s="4">
        <f t="shared" ca="1" si="23"/>
        <v>1.4338939589520708E-13</v>
      </c>
      <c r="BG69" s="4">
        <f t="shared" ca="1" si="23"/>
        <v>1.4625718381311123E-13</v>
      </c>
      <c r="BH69" s="4">
        <f t="shared" ca="1" si="23"/>
        <v>1.4918232748937345E-13</v>
      </c>
      <c r="BI69" s="4">
        <f t="shared" ca="1" si="23"/>
        <v>1.5216597403916093E-13</v>
      </c>
      <c r="BJ69" s="4">
        <f t="shared" ca="1" si="23"/>
        <v>1.5520929351994418E-13</v>
      </c>
      <c r="BK69" s="4">
        <f t="shared" ca="1" si="23"/>
        <v>1.5831347939034306E-13</v>
      </c>
      <c r="BL69" s="4">
        <f t="shared" ca="1" si="23"/>
        <v>1.6147974897814991E-13</v>
      </c>
    </row>
    <row r="70" spans="1:64" x14ac:dyDescent="0.35">
      <c r="A70" s="1"/>
      <c r="E70" s="26"/>
      <c r="F70" s="26"/>
      <c r="G70" s="26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</row>
    <row r="71" spans="1:64" x14ac:dyDescent="0.35">
      <c r="A71" s="1"/>
      <c r="B71" s="1"/>
      <c r="C71" s="2" t="s">
        <v>116</v>
      </c>
      <c r="D71" s="45">
        <f t="shared" ref="D71:AI71" ca="1" si="24">IF($D$16&gt;0,SUM(OFFSET(D59,0,1,1,$D$16)))*1</f>
        <v>226.73051709615262</v>
      </c>
      <c r="E71" s="4">
        <f t="shared" ca="1" si="24"/>
        <v>229.34236577614996</v>
      </c>
      <c r="F71" s="4">
        <f t="shared" ca="1" si="24"/>
        <v>231.98430104017157</v>
      </c>
      <c r="G71" s="4">
        <f t="shared" ca="1" si="24"/>
        <v>234.65666837772943</v>
      </c>
      <c r="H71" s="4">
        <f t="shared" ca="1" si="24"/>
        <v>237.35837977190479</v>
      </c>
      <c r="I71" s="4">
        <f t="shared" ca="1" si="24"/>
        <v>239.55845388674209</v>
      </c>
      <c r="J71" s="4">
        <f t="shared" ca="1" si="24"/>
        <v>241.25264193921714</v>
      </c>
      <c r="K71" s="4">
        <f t="shared" ca="1" si="24"/>
        <v>244.96891571821521</v>
      </c>
      <c r="L71" s="4">
        <f t="shared" ca="1" si="24"/>
        <v>248.67669532652786</v>
      </c>
      <c r="M71" s="4">
        <f t="shared" ca="1" si="24"/>
        <v>250.91970037213196</v>
      </c>
      <c r="N71" s="4">
        <f t="shared" ca="1" si="24"/>
        <v>253.73336699779998</v>
      </c>
      <c r="O71" s="4">
        <f t="shared" ca="1" si="24"/>
        <v>256.5764692309495</v>
      </c>
      <c r="P71" s="4">
        <f t="shared" ca="1" si="24"/>
        <v>259.44927942249353</v>
      </c>
      <c r="Q71" s="4">
        <f t="shared" ca="1" si="24"/>
        <v>262.35206545396682</v>
      </c>
      <c r="R71" s="4">
        <f t="shared" ca="1" si="24"/>
        <v>265.28510005684097</v>
      </c>
      <c r="S71" s="4">
        <f t="shared" ca="1" si="24"/>
        <v>268.24867417023228</v>
      </c>
      <c r="T71" s="4">
        <f t="shared" ca="1" si="24"/>
        <v>271.24732425896514</v>
      </c>
      <c r="U71" s="4">
        <f t="shared" ca="1" si="24"/>
        <v>275.85996645345796</v>
      </c>
      <c r="V71" s="4">
        <f t="shared" ca="1" si="24"/>
        <v>280.47186295264135</v>
      </c>
      <c r="W71" s="4">
        <f t="shared" ca="1" si="24"/>
        <v>283.50241480344789</v>
      </c>
      <c r="X71" s="4">
        <f t="shared" ca="1" si="24"/>
        <v>286.56035641026017</v>
      </c>
      <c r="Y71" s="4">
        <f t="shared" ca="1" si="24"/>
        <v>289.64581628184447</v>
      </c>
      <c r="Z71" s="4">
        <f t="shared" ca="1" si="24"/>
        <v>292.75892699761459</v>
      </c>
      <c r="AA71" s="4">
        <f t="shared" ca="1" si="24"/>
        <v>295.89982154019219</v>
      </c>
      <c r="AB71" s="4">
        <f t="shared" ca="1" si="24"/>
        <v>299.06862293804096</v>
      </c>
      <c r="AC71" s="4">
        <f t="shared" ca="1" si="24"/>
        <v>302.26545289408438</v>
      </c>
      <c r="AD71" s="4">
        <f t="shared" ca="1" si="24"/>
        <v>305.49043179883444</v>
      </c>
      <c r="AE71" s="4">
        <f t="shared" ca="1" si="24"/>
        <v>308.74368516680556</v>
      </c>
      <c r="AF71" s="4">
        <f t="shared" ca="1" si="24"/>
        <v>312.02532320937701</v>
      </c>
      <c r="AG71" s="4">
        <f t="shared" ca="1" si="24"/>
        <v>315.3354536073108</v>
      </c>
      <c r="AH71" s="4">
        <f t="shared" ca="1" si="24"/>
        <v>318.6741867684367</v>
      </c>
      <c r="AI71" s="4">
        <f t="shared" ca="1" si="24"/>
        <v>322.04163641325204</v>
      </c>
      <c r="AJ71" s="4">
        <f t="shared" ref="AJ71:BL71" ca="1" si="25">IF($D$16&gt;0,SUM(OFFSET(AJ59,0,1,1,$D$16)))*1</f>
        <v>325.4379024671864</v>
      </c>
      <c r="AK71" s="4">
        <f t="shared" ca="1" si="25"/>
        <v>328.86307688245563</v>
      </c>
      <c r="AL71" s="4">
        <f t="shared" ca="1" si="25"/>
        <v>332.31726202753975</v>
      </c>
      <c r="AM71" s="4">
        <f t="shared" ca="1" si="25"/>
        <v>335.80054763337887</v>
      </c>
      <c r="AN71" s="4">
        <f t="shared" ca="1" si="25"/>
        <v>339.31301708833615</v>
      </c>
      <c r="AO71" s="4">
        <f t="shared" ca="1" si="25"/>
        <v>342.85347663989069</v>
      </c>
      <c r="AP71" s="4">
        <f t="shared" ca="1" si="25"/>
        <v>345.94967228640587</v>
      </c>
      <c r="AQ71" s="4">
        <f t="shared" ca="1" si="25"/>
        <v>173.63447438818972</v>
      </c>
      <c r="AR71" s="4">
        <f t="shared" ca="1" si="25"/>
        <v>0</v>
      </c>
      <c r="AS71" s="4">
        <f t="shared" ca="1" si="25"/>
        <v>0</v>
      </c>
      <c r="AT71" s="4">
        <f t="shared" ca="1" si="25"/>
        <v>0</v>
      </c>
      <c r="AU71" s="4">
        <f t="shared" ca="1" si="25"/>
        <v>0</v>
      </c>
      <c r="AV71" s="4">
        <f t="shared" ca="1" si="25"/>
        <v>0</v>
      </c>
      <c r="AW71" s="4">
        <f t="shared" ca="1" si="25"/>
        <v>0</v>
      </c>
      <c r="AX71" s="4">
        <f t="shared" ca="1" si="25"/>
        <v>0</v>
      </c>
      <c r="AY71" s="4">
        <f t="shared" ca="1" si="25"/>
        <v>0</v>
      </c>
      <c r="AZ71" s="4">
        <f t="shared" ca="1" si="25"/>
        <v>0</v>
      </c>
      <c r="BA71" s="4">
        <f t="shared" ca="1" si="25"/>
        <v>0</v>
      </c>
      <c r="BB71" s="4">
        <f t="shared" ca="1" si="25"/>
        <v>0</v>
      </c>
      <c r="BC71" s="4">
        <f t="shared" ca="1" si="25"/>
        <v>0</v>
      </c>
      <c r="BD71" s="4">
        <f t="shared" ca="1" si="25"/>
        <v>0</v>
      </c>
      <c r="BE71" s="4">
        <f t="shared" ca="1" si="25"/>
        <v>0</v>
      </c>
      <c r="BF71" s="4">
        <f t="shared" ca="1" si="25"/>
        <v>0</v>
      </c>
      <c r="BG71" s="4">
        <f t="shared" ca="1" si="25"/>
        <v>0</v>
      </c>
      <c r="BH71" s="4">
        <f t="shared" ca="1" si="25"/>
        <v>0</v>
      </c>
      <c r="BI71" s="4">
        <f t="shared" ca="1" si="25"/>
        <v>0</v>
      </c>
      <c r="BJ71" s="4">
        <f t="shared" ca="1" si="25"/>
        <v>0</v>
      </c>
      <c r="BK71" s="4">
        <f t="shared" ca="1" si="25"/>
        <v>0</v>
      </c>
      <c r="BL71" s="4">
        <f t="shared" ca="1" si="25"/>
        <v>0</v>
      </c>
    </row>
    <row r="72" spans="1:64" x14ac:dyDescent="0.35">
      <c r="A72" s="1"/>
    </row>
    <row r="73" spans="1:64" x14ac:dyDescent="0.35">
      <c r="A73" s="1"/>
      <c r="C73" s="2" t="s">
        <v>302</v>
      </c>
      <c r="D73" s="4">
        <f ca="1">SUMIF(35:35,FALSE,66:66)</f>
        <v>1.346616929478431E-10</v>
      </c>
    </row>
    <row r="74" spans="1:64" x14ac:dyDescent="0.35">
      <c r="A74" s="1"/>
      <c r="C74" s="2" t="s">
        <v>303</v>
      </c>
      <c r="D74" s="4">
        <f ca="1">SUMIF(33:33,D10*2,68:68)</f>
        <v>5.5422333389287814E-12</v>
      </c>
    </row>
    <row r="75" spans="1:64" x14ac:dyDescent="0.35">
      <c r="A75" s="1"/>
    </row>
    <row r="76" spans="1:64" x14ac:dyDescent="0.35">
      <c r="A76" s="1"/>
      <c r="C76" s="2" t="s">
        <v>174</v>
      </c>
      <c r="D76" s="4">
        <f t="shared" ref="D76:AI76" ca="1" si="26">D71</f>
        <v>226.73051709615262</v>
      </c>
      <c r="E76" s="4">
        <f t="shared" ca="1" si="26"/>
        <v>229.34236577614996</v>
      </c>
      <c r="F76" s="4">
        <f t="shared" ca="1" si="26"/>
        <v>231.98430104017157</v>
      </c>
      <c r="G76" s="4">
        <f t="shared" ca="1" si="26"/>
        <v>234.65666837772943</v>
      </c>
      <c r="H76" s="4">
        <f t="shared" ca="1" si="26"/>
        <v>237.35837977190479</v>
      </c>
      <c r="I76" s="4">
        <f t="shared" ca="1" si="26"/>
        <v>239.55845388674209</v>
      </c>
      <c r="J76" s="4">
        <f t="shared" ca="1" si="26"/>
        <v>241.25264193921714</v>
      </c>
      <c r="K76" s="4">
        <f t="shared" ca="1" si="26"/>
        <v>244.96891571821521</v>
      </c>
      <c r="L76" s="4">
        <f t="shared" ca="1" si="26"/>
        <v>248.67669532652786</v>
      </c>
      <c r="M76" s="4">
        <f t="shared" ca="1" si="26"/>
        <v>250.91970037213196</v>
      </c>
      <c r="N76" s="4">
        <f t="shared" ca="1" si="26"/>
        <v>253.73336699779998</v>
      </c>
      <c r="O76" s="4">
        <f t="shared" ca="1" si="26"/>
        <v>256.5764692309495</v>
      </c>
      <c r="P76" s="4">
        <f t="shared" ca="1" si="26"/>
        <v>259.44927942249353</v>
      </c>
      <c r="Q76" s="4">
        <f t="shared" ca="1" si="26"/>
        <v>262.35206545396682</v>
      </c>
      <c r="R76" s="4">
        <f t="shared" ca="1" si="26"/>
        <v>265.28510005684097</v>
      </c>
      <c r="S76" s="4">
        <f t="shared" ca="1" si="26"/>
        <v>268.24867417023228</v>
      </c>
      <c r="T76" s="4">
        <f t="shared" ca="1" si="26"/>
        <v>271.24732425896514</v>
      </c>
      <c r="U76" s="4">
        <f t="shared" ca="1" si="26"/>
        <v>275.85996645345796</v>
      </c>
      <c r="V76" s="4">
        <f t="shared" ca="1" si="26"/>
        <v>280.47186295264135</v>
      </c>
      <c r="W76" s="4">
        <f t="shared" ca="1" si="26"/>
        <v>283.50241480344789</v>
      </c>
      <c r="X76" s="4">
        <f t="shared" ca="1" si="26"/>
        <v>286.56035641026017</v>
      </c>
      <c r="Y76" s="4">
        <f t="shared" ca="1" si="26"/>
        <v>289.64581628184447</v>
      </c>
      <c r="Z76" s="4">
        <f t="shared" ca="1" si="26"/>
        <v>292.75892699761459</v>
      </c>
      <c r="AA76" s="4">
        <f t="shared" ca="1" si="26"/>
        <v>295.89982154019219</v>
      </c>
      <c r="AB76" s="4">
        <f t="shared" ca="1" si="26"/>
        <v>299.06862293804096</v>
      </c>
      <c r="AC76" s="4">
        <f t="shared" ca="1" si="26"/>
        <v>302.26545289408438</v>
      </c>
      <c r="AD76" s="4">
        <f t="shared" ca="1" si="26"/>
        <v>305.49043179883444</v>
      </c>
      <c r="AE76" s="4">
        <f t="shared" ca="1" si="26"/>
        <v>308.74368516680556</v>
      </c>
      <c r="AF76" s="4">
        <f t="shared" ca="1" si="26"/>
        <v>312.02532320937701</v>
      </c>
      <c r="AG76" s="4">
        <f t="shared" ca="1" si="26"/>
        <v>315.3354536073108</v>
      </c>
      <c r="AH76" s="4">
        <f t="shared" ca="1" si="26"/>
        <v>318.6741867684367</v>
      </c>
      <c r="AI76" s="4">
        <f t="shared" ca="1" si="26"/>
        <v>322.04163641325204</v>
      </c>
      <c r="AJ76" s="4">
        <f t="shared" ref="AJ76:BL76" ca="1" si="27">AJ71</f>
        <v>325.4379024671864</v>
      </c>
      <c r="AK76" s="4">
        <f t="shared" ca="1" si="27"/>
        <v>328.86307688245563</v>
      </c>
      <c r="AL76" s="4">
        <f t="shared" ca="1" si="27"/>
        <v>332.31726202753975</v>
      </c>
      <c r="AM76" s="4">
        <f t="shared" ca="1" si="27"/>
        <v>335.80054763337887</v>
      </c>
      <c r="AN76" s="4">
        <f t="shared" ca="1" si="27"/>
        <v>339.31301708833615</v>
      </c>
      <c r="AO76" s="4">
        <f t="shared" ca="1" si="27"/>
        <v>342.85347663989069</v>
      </c>
      <c r="AP76" s="4">
        <f t="shared" ca="1" si="27"/>
        <v>345.94967228640587</v>
      </c>
      <c r="AQ76" s="4">
        <f t="shared" ca="1" si="27"/>
        <v>173.63447438818972</v>
      </c>
      <c r="AR76" s="4">
        <f t="shared" ca="1" si="27"/>
        <v>0</v>
      </c>
      <c r="AS76" s="4">
        <f t="shared" ca="1" si="27"/>
        <v>0</v>
      </c>
      <c r="AT76" s="4">
        <f t="shared" ca="1" si="27"/>
        <v>0</v>
      </c>
      <c r="AU76" s="4">
        <f t="shared" ca="1" si="27"/>
        <v>0</v>
      </c>
      <c r="AV76" s="4">
        <f t="shared" ca="1" si="27"/>
        <v>0</v>
      </c>
      <c r="AW76" s="4">
        <f t="shared" ca="1" si="27"/>
        <v>0</v>
      </c>
      <c r="AX76" s="4">
        <f t="shared" ca="1" si="27"/>
        <v>0</v>
      </c>
      <c r="AY76" s="4">
        <f t="shared" ca="1" si="27"/>
        <v>0</v>
      </c>
      <c r="AZ76" s="4">
        <f t="shared" ca="1" si="27"/>
        <v>0</v>
      </c>
      <c r="BA76" s="4">
        <f t="shared" ca="1" si="27"/>
        <v>0</v>
      </c>
      <c r="BB76" s="4">
        <f t="shared" ca="1" si="27"/>
        <v>0</v>
      </c>
      <c r="BC76" s="4">
        <f t="shared" ca="1" si="27"/>
        <v>0</v>
      </c>
      <c r="BD76" s="4">
        <f t="shared" ca="1" si="27"/>
        <v>0</v>
      </c>
      <c r="BE76" s="4">
        <f t="shared" ca="1" si="27"/>
        <v>0</v>
      </c>
      <c r="BF76" s="4">
        <f t="shared" ca="1" si="27"/>
        <v>0</v>
      </c>
      <c r="BG76" s="4">
        <f t="shared" ca="1" si="27"/>
        <v>0</v>
      </c>
      <c r="BH76" s="4">
        <f t="shared" ca="1" si="27"/>
        <v>0</v>
      </c>
      <c r="BI76" s="4">
        <f t="shared" ca="1" si="27"/>
        <v>0</v>
      </c>
      <c r="BJ76" s="4">
        <f t="shared" ca="1" si="27"/>
        <v>0</v>
      </c>
      <c r="BK76" s="4">
        <f t="shared" ca="1" si="27"/>
        <v>0</v>
      </c>
      <c r="BL76" s="4">
        <f t="shared" ca="1" si="27"/>
        <v>0</v>
      </c>
    </row>
    <row r="77" spans="1:64" x14ac:dyDescent="0.35">
      <c r="A77" s="1"/>
      <c r="C77" s="2" t="s">
        <v>171</v>
      </c>
      <c r="E77" s="4">
        <f ca="1">D76*$D$18*$D$12</f>
        <v>0</v>
      </c>
      <c r="F77" s="4">
        <f t="shared" ref="F77:BL77" ca="1" si="28">E76*$D$18*$D$12</f>
        <v>0</v>
      </c>
      <c r="G77" s="4">
        <f t="shared" ca="1" si="28"/>
        <v>0</v>
      </c>
      <c r="H77" s="4">
        <f t="shared" ca="1" si="28"/>
        <v>0</v>
      </c>
      <c r="I77" s="4">
        <f t="shared" ca="1" si="28"/>
        <v>0</v>
      </c>
      <c r="J77" s="4">
        <f t="shared" ca="1" si="28"/>
        <v>0</v>
      </c>
      <c r="K77" s="4">
        <f t="shared" ca="1" si="28"/>
        <v>0</v>
      </c>
      <c r="L77" s="4">
        <f t="shared" ca="1" si="28"/>
        <v>0</v>
      </c>
      <c r="M77" s="4">
        <f t="shared" ca="1" si="28"/>
        <v>0</v>
      </c>
      <c r="N77" s="4">
        <f t="shared" ca="1" si="28"/>
        <v>0</v>
      </c>
      <c r="O77" s="4">
        <f t="shared" ca="1" si="28"/>
        <v>0</v>
      </c>
      <c r="P77" s="4">
        <f t="shared" ca="1" si="28"/>
        <v>0</v>
      </c>
      <c r="Q77" s="4">
        <f t="shared" ca="1" si="28"/>
        <v>0</v>
      </c>
      <c r="R77" s="4">
        <f t="shared" ca="1" si="28"/>
        <v>0</v>
      </c>
      <c r="S77" s="4">
        <f t="shared" ca="1" si="28"/>
        <v>0</v>
      </c>
      <c r="T77" s="4">
        <f t="shared" ca="1" si="28"/>
        <v>0</v>
      </c>
      <c r="U77" s="4">
        <f t="shared" ca="1" si="28"/>
        <v>0</v>
      </c>
      <c r="V77" s="4">
        <f t="shared" ca="1" si="28"/>
        <v>0</v>
      </c>
      <c r="W77" s="4">
        <f t="shared" ca="1" si="28"/>
        <v>0</v>
      </c>
      <c r="X77" s="4">
        <f t="shared" ca="1" si="28"/>
        <v>0</v>
      </c>
      <c r="Y77" s="4">
        <f t="shared" ca="1" si="28"/>
        <v>0</v>
      </c>
      <c r="Z77" s="4">
        <f t="shared" ca="1" si="28"/>
        <v>0</v>
      </c>
      <c r="AA77" s="4">
        <f t="shared" ca="1" si="28"/>
        <v>0</v>
      </c>
      <c r="AB77" s="4">
        <f t="shared" ca="1" si="28"/>
        <v>0</v>
      </c>
      <c r="AC77" s="4">
        <f t="shared" ca="1" si="28"/>
        <v>0</v>
      </c>
      <c r="AD77" s="4">
        <f t="shared" ca="1" si="28"/>
        <v>0</v>
      </c>
      <c r="AE77" s="4">
        <f t="shared" ca="1" si="28"/>
        <v>0</v>
      </c>
      <c r="AF77" s="4">
        <f t="shared" ca="1" si="28"/>
        <v>0</v>
      </c>
      <c r="AG77" s="4">
        <f t="shared" ca="1" si="28"/>
        <v>0</v>
      </c>
      <c r="AH77" s="4">
        <f t="shared" ca="1" si="28"/>
        <v>0</v>
      </c>
      <c r="AI77" s="4">
        <f t="shared" ca="1" si="28"/>
        <v>0</v>
      </c>
      <c r="AJ77" s="4">
        <f t="shared" ca="1" si="28"/>
        <v>0</v>
      </c>
      <c r="AK77" s="4">
        <f t="shared" ca="1" si="28"/>
        <v>0</v>
      </c>
      <c r="AL77" s="4">
        <f t="shared" ca="1" si="28"/>
        <v>0</v>
      </c>
      <c r="AM77" s="4">
        <f t="shared" ca="1" si="28"/>
        <v>0</v>
      </c>
      <c r="AN77" s="4">
        <f t="shared" ca="1" si="28"/>
        <v>0</v>
      </c>
      <c r="AO77" s="4">
        <f t="shared" ca="1" si="28"/>
        <v>0</v>
      </c>
      <c r="AP77" s="4">
        <f t="shared" ca="1" si="28"/>
        <v>0</v>
      </c>
      <c r="AQ77" s="4">
        <f t="shared" ca="1" si="28"/>
        <v>0</v>
      </c>
      <c r="AR77" s="4">
        <f t="shared" ca="1" si="28"/>
        <v>0</v>
      </c>
      <c r="AS77" s="4">
        <f t="shared" ca="1" si="28"/>
        <v>0</v>
      </c>
      <c r="AT77" s="4">
        <f t="shared" ca="1" si="28"/>
        <v>0</v>
      </c>
      <c r="AU77" s="4">
        <f t="shared" ca="1" si="28"/>
        <v>0</v>
      </c>
      <c r="AV77" s="4">
        <f t="shared" ca="1" si="28"/>
        <v>0</v>
      </c>
      <c r="AW77" s="4">
        <f t="shared" ca="1" si="28"/>
        <v>0</v>
      </c>
      <c r="AX77" s="4">
        <f t="shared" ca="1" si="28"/>
        <v>0</v>
      </c>
      <c r="AY77" s="4">
        <f t="shared" ca="1" si="28"/>
        <v>0</v>
      </c>
      <c r="AZ77" s="4">
        <f t="shared" ca="1" si="28"/>
        <v>0</v>
      </c>
      <c r="BA77" s="4">
        <f t="shared" ca="1" si="28"/>
        <v>0</v>
      </c>
      <c r="BB77" s="4">
        <f t="shared" ca="1" si="28"/>
        <v>0</v>
      </c>
      <c r="BC77" s="4">
        <f t="shared" ca="1" si="28"/>
        <v>0</v>
      </c>
      <c r="BD77" s="4">
        <f t="shared" ca="1" si="28"/>
        <v>0</v>
      </c>
      <c r="BE77" s="4">
        <f t="shared" ca="1" si="28"/>
        <v>0</v>
      </c>
      <c r="BF77" s="4">
        <f t="shared" ca="1" si="28"/>
        <v>0</v>
      </c>
      <c r="BG77" s="4">
        <f t="shared" ca="1" si="28"/>
        <v>0</v>
      </c>
      <c r="BH77" s="4">
        <f t="shared" ca="1" si="28"/>
        <v>0</v>
      </c>
      <c r="BI77" s="4">
        <f t="shared" ca="1" si="28"/>
        <v>0</v>
      </c>
      <c r="BJ77" s="4">
        <f t="shared" ca="1" si="28"/>
        <v>0</v>
      </c>
      <c r="BK77" s="4">
        <f t="shared" ca="1" si="28"/>
        <v>0</v>
      </c>
      <c r="BL77" s="4">
        <f t="shared" ca="1" si="28"/>
        <v>0</v>
      </c>
    </row>
    <row r="78" spans="1:64" x14ac:dyDescent="0.35">
      <c r="A78" s="1"/>
    </row>
    <row r="79" spans="1:64" x14ac:dyDescent="0.35">
      <c r="A79" s="1"/>
      <c r="C79" s="2" t="s">
        <v>106</v>
      </c>
      <c r="E79" s="12">
        <f t="shared" ref="E79:BL79" si="29">$D$17/2</f>
        <v>5.0000000000000001E-3</v>
      </c>
      <c r="F79" s="12">
        <f t="shared" si="29"/>
        <v>5.0000000000000001E-3</v>
      </c>
      <c r="G79" s="12">
        <f t="shared" si="29"/>
        <v>5.0000000000000001E-3</v>
      </c>
      <c r="H79" s="12">
        <f t="shared" si="29"/>
        <v>5.0000000000000001E-3</v>
      </c>
      <c r="I79" s="12">
        <f t="shared" si="29"/>
        <v>5.0000000000000001E-3</v>
      </c>
      <c r="J79" s="12">
        <f t="shared" si="29"/>
        <v>5.0000000000000001E-3</v>
      </c>
      <c r="K79" s="12">
        <f t="shared" si="29"/>
        <v>5.0000000000000001E-3</v>
      </c>
      <c r="L79" s="12">
        <f t="shared" si="29"/>
        <v>5.0000000000000001E-3</v>
      </c>
      <c r="M79" s="12">
        <f t="shared" si="29"/>
        <v>5.0000000000000001E-3</v>
      </c>
      <c r="N79" s="12">
        <f t="shared" si="29"/>
        <v>5.0000000000000001E-3</v>
      </c>
      <c r="O79" s="12">
        <f t="shared" si="29"/>
        <v>5.0000000000000001E-3</v>
      </c>
      <c r="P79" s="12">
        <f t="shared" si="29"/>
        <v>5.0000000000000001E-3</v>
      </c>
      <c r="Q79" s="12">
        <f t="shared" si="29"/>
        <v>5.0000000000000001E-3</v>
      </c>
      <c r="R79" s="12">
        <f t="shared" si="29"/>
        <v>5.0000000000000001E-3</v>
      </c>
      <c r="S79" s="12">
        <f t="shared" si="29"/>
        <v>5.0000000000000001E-3</v>
      </c>
      <c r="T79" s="12">
        <f t="shared" si="29"/>
        <v>5.0000000000000001E-3</v>
      </c>
      <c r="U79" s="12">
        <f t="shared" si="29"/>
        <v>5.0000000000000001E-3</v>
      </c>
      <c r="V79" s="12">
        <f t="shared" si="29"/>
        <v>5.0000000000000001E-3</v>
      </c>
      <c r="W79" s="12">
        <f t="shared" si="29"/>
        <v>5.0000000000000001E-3</v>
      </c>
      <c r="X79" s="12">
        <f t="shared" si="29"/>
        <v>5.0000000000000001E-3</v>
      </c>
      <c r="Y79" s="12">
        <f t="shared" si="29"/>
        <v>5.0000000000000001E-3</v>
      </c>
      <c r="Z79" s="12">
        <f t="shared" si="29"/>
        <v>5.0000000000000001E-3</v>
      </c>
      <c r="AA79" s="12">
        <f t="shared" si="29"/>
        <v>5.0000000000000001E-3</v>
      </c>
      <c r="AB79" s="12">
        <f t="shared" si="29"/>
        <v>5.0000000000000001E-3</v>
      </c>
      <c r="AC79" s="12">
        <f t="shared" si="29"/>
        <v>5.0000000000000001E-3</v>
      </c>
      <c r="AD79" s="12">
        <f t="shared" si="29"/>
        <v>5.0000000000000001E-3</v>
      </c>
      <c r="AE79" s="12">
        <f t="shared" si="29"/>
        <v>5.0000000000000001E-3</v>
      </c>
      <c r="AF79" s="12">
        <f t="shared" si="29"/>
        <v>5.0000000000000001E-3</v>
      </c>
      <c r="AG79" s="12">
        <f t="shared" si="29"/>
        <v>5.0000000000000001E-3</v>
      </c>
      <c r="AH79" s="12">
        <f t="shared" si="29"/>
        <v>5.0000000000000001E-3</v>
      </c>
      <c r="AI79" s="12">
        <f t="shared" si="29"/>
        <v>5.0000000000000001E-3</v>
      </c>
      <c r="AJ79" s="12">
        <f t="shared" si="29"/>
        <v>5.0000000000000001E-3</v>
      </c>
      <c r="AK79" s="12">
        <f t="shared" si="29"/>
        <v>5.0000000000000001E-3</v>
      </c>
      <c r="AL79" s="12">
        <f t="shared" si="29"/>
        <v>5.0000000000000001E-3</v>
      </c>
      <c r="AM79" s="12">
        <f t="shared" si="29"/>
        <v>5.0000000000000001E-3</v>
      </c>
      <c r="AN79" s="12">
        <f t="shared" si="29"/>
        <v>5.0000000000000001E-3</v>
      </c>
      <c r="AO79" s="12">
        <f t="shared" si="29"/>
        <v>5.0000000000000001E-3</v>
      </c>
      <c r="AP79" s="12">
        <f t="shared" si="29"/>
        <v>5.0000000000000001E-3</v>
      </c>
      <c r="AQ79" s="12">
        <f t="shared" si="29"/>
        <v>5.0000000000000001E-3</v>
      </c>
      <c r="AR79" s="12">
        <f t="shared" si="29"/>
        <v>5.0000000000000001E-3</v>
      </c>
      <c r="AS79" s="12">
        <f t="shared" si="29"/>
        <v>5.0000000000000001E-3</v>
      </c>
      <c r="AT79" s="12">
        <f t="shared" si="29"/>
        <v>5.0000000000000001E-3</v>
      </c>
      <c r="AU79" s="12">
        <f t="shared" si="29"/>
        <v>5.0000000000000001E-3</v>
      </c>
      <c r="AV79" s="12">
        <f t="shared" si="29"/>
        <v>5.0000000000000001E-3</v>
      </c>
      <c r="AW79" s="12">
        <f t="shared" si="29"/>
        <v>5.0000000000000001E-3</v>
      </c>
      <c r="AX79" s="12">
        <f t="shared" si="29"/>
        <v>5.0000000000000001E-3</v>
      </c>
      <c r="AY79" s="12">
        <f t="shared" si="29"/>
        <v>5.0000000000000001E-3</v>
      </c>
      <c r="AZ79" s="12">
        <f t="shared" si="29"/>
        <v>5.0000000000000001E-3</v>
      </c>
      <c r="BA79" s="12">
        <f t="shared" si="29"/>
        <v>5.0000000000000001E-3</v>
      </c>
      <c r="BB79" s="12">
        <f t="shared" si="29"/>
        <v>5.0000000000000001E-3</v>
      </c>
      <c r="BC79" s="12">
        <f t="shared" si="29"/>
        <v>5.0000000000000001E-3</v>
      </c>
      <c r="BD79" s="12">
        <f t="shared" si="29"/>
        <v>5.0000000000000001E-3</v>
      </c>
      <c r="BE79" s="12">
        <f t="shared" si="29"/>
        <v>5.0000000000000001E-3</v>
      </c>
      <c r="BF79" s="12">
        <f t="shared" si="29"/>
        <v>5.0000000000000001E-3</v>
      </c>
      <c r="BG79" s="12">
        <f t="shared" si="29"/>
        <v>5.0000000000000001E-3</v>
      </c>
      <c r="BH79" s="12">
        <f t="shared" si="29"/>
        <v>5.0000000000000001E-3</v>
      </c>
      <c r="BI79" s="12">
        <f t="shared" si="29"/>
        <v>5.0000000000000001E-3</v>
      </c>
      <c r="BJ79" s="12">
        <f t="shared" si="29"/>
        <v>5.0000000000000001E-3</v>
      </c>
      <c r="BK79" s="12">
        <f t="shared" si="29"/>
        <v>5.0000000000000001E-3</v>
      </c>
      <c r="BL79" s="12">
        <f t="shared" si="29"/>
        <v>5.0000000000000001E-3</v>
      </c>
    </row>
    <row r="80" spans="1:64" x14ac:dyDescent="0.35">
      <c r="A80" s="1"/>
      <c r="C80" s="2" t="s">
        <v>107</v>
      </c>
      <c r="E80" s="4">
        <f ca="1">D71*E79*$D$13</f>
        <v>1.1336525854807631</v>
      </c>
      <c r="F80" s="4">
        <f t="shared" ref="F80:BL80" ca="1" si="30">E71*F79*$D$13</f>
        <v>1.1467118288807499</v>
      </c>
      <c r="G80" s="4">
        <f t="shared" ca="1" si="30"/>
        <v>1.1599215052008578</v>
      </c>
      <c r="H80" s="4">
        <f t="shared" ca="1" si="30"/>
        <v>1.1732833418886472</v>
      </c>
      <c r="I80" s="4">
        <f t="shared" ca="1" si="30"/>
        <v>1.1867918988595241</v>
      </c>
      <c r="J80" s="4">
        <f t="shared" ca="1" si="30"/>
        <v>1.1977922694337104</v>
      </c>
      <c r="K80" s="4">
        <f t="shared" ca="1" si="30"/>
        <v>1.2062632096960857</v>
      </c>
      <c r="L80" s="4">
        <f t="shared" ca="1" si="30"/>
        <v>1.2248445785910762</v>
      </c>
      <c r="M80" s="4">
        <f t="shared" ca="1" si="30"/>
        <v>1.2433834766326393</v>
      </c>
      <c r="N80" s="4">
        <f t="shared" ca="1" si="30"/>
        <v>1.2545985018606598</v>
      </c>
      <c r="O80" s="4">
        <f t="shared" ca="1" si="30"/>
        <v>1.268666834989</v>
      </c>
      <c r="P80" s="4">
        <f t="shared" ca="1" si="30"/>
        <v>1.2828823461547476</v>
      </c>
      <c r="Q80" s="4">
        <f t="shared" ca="1" si="30"/>
        <v>1.2972463971124677</v>
      </c>
      <c r="R80" s="4">
        <f t="shared" ca="1" si="30"/>
        <v>1.3117603272698342</v>
      </c>
      <c r="S80" s="4">
        <f t="shared" ca="1" si="30"/>
        <v>1.3264255002842049</v>
      </c>
      <c r="T80" s="4">
        <f t="shared" ca="1" si="30"/>
        <v>1.3412433708511615</v>
      </c>
      <c r="U80" s="4">
        <f t="shared" ca="1" si="30"/>
        <v>1.3562366212948258</v>
      </c>
      <c r="V80" s="4">
        <f t="shared" ca="1" si="30"/>
        <v>1.3792998322672898</v>
      </c>
      <c r="W80" s="4">
        <f t="shared" ca="1" si="30"/>
        <v>1.4023593147632067</v>
      </c>
      <c r="X80" s="4">
        <f t="shared" ca="1" si="30"/>
        <v>1.4175120740172396</v>
      </c>
      <c r="Y80" s="4">
        <f t="shared" ca="1" si="30"/>
        <v>1.4328017820513008</v>
      </c>
      <c r="Z80" s="4">
        <f t="shared" ca="1" si="30"/>
        <v>1.4482290814092225</v>
      </c>
      <c r="AA80" s="4">
        <f t="shared" ca="1" si="30"/>
        <v>1.4637946349880731</v>
      </c>
      <c r="AB80" s="4">
        <f t="shared" ca="1" si="30"/>
        <v>1.4794991077009609</v>
      </c>
      <c r="AC80" s="4">
        <f t="shared" ca="1" si="30"/>
        <v>1.4953431146902048</v>
      </c>
      <c r="AD80" s="4">
        <f t="shared" ca="1" si="30"/>
        <v>1.5113272644704219</v>
      </c>
      <c r="AE80" s="4">
        <f t="shared" ca="1" si="30"/>
        <v>1.5274521589941723</v>
      </c>
      <c r="AF80" s="4">
        <f t="shared" ca="1" si="30"/>
        <v>1.5437184258340277</v>
      </c>
      <c r="AG80" s="4">
        <f t="shared" ca="1" si="30"/>
        <v>1.560126616046885</v>
      </c>
      <c r="AH80" s="4">
        <f t="shared" ca="1" si="30"/>
        <v>1.5766772680365539</v>
      </c>
      <c r="AI80" s="4">
        <f t="shared" ca="1" si="30"/>
        <v>1.5933709338421835</v>
      </c>
      <c r="AJ80" s="4">
        <f t="shared" ca="1" si="30"/>
        <v>1.6102081820662602</v>
      </c>
      <c r="AK80" s="4">
        <f t="shared" ca="1" si="30"/>
        <v>1.6271895123359321</v>
      </c>
      <c r="AL80" s="4">
        <f t="shared" ca="1" si="30"/>
        <v>1.6443153844122782</v>
      </c>
      <c r="AM80" s="4">
        <f t="shared" ca="1" si="30"/>
        <v>1.6615863101376989</v>
      </c>
      <c r="AN80" s="4">
        <f t="shared" ca="1" si="30"/>
        <v>1.6790027381668944</v>
      </c>
      <c r="AO80" s="4">
        <f t="shared" ca="1" si="30"/>
        <v>1.6965650854416807</v>
      </c>
      <c r="AP80" s="4">
        <f t="shared" ca="1" si="30"/>
        <v>1.7142673831994535</v>
      </c>
      <c r="AQ80" s="4">
        <f t="shared" ca="1" si="30"/>
        <v>1.7297483614320295</v>
      </c>
      <c r="AR80" s="4">
        <f t="shared" ca="1" si="30"/>
        <v>0.86817237194094865</v>
      </c>
      <c r="AS80" s="4">
        <f t="shared" ca="1" si="30"/>
        <v>0</v>
      </c>
      <c r="AT80" s="4">
        <f t="shared" ca="1" si="30"/>
        <v>0</v>
      </c>
      <c r="AU80" s="4">
        <f t="shared" ca="1" si="30"/>
        <v>0</v>
      </c>
      <c r="AV80" s="4">
        <f t="shared" ca="1" si="30"/>
        <v>0</v>
      </c>
      <c r="AW80" s="4">
        <f t="shared" ca="1" si="30"/>
        <v>0</v>
      </c>
      <c r="AX80" s="4">
        <f t="shared" ca="1" si="30"/>
        <v>0</v>
      </c>
      <c r="AY80" s="4">
        <f t="shared" ca="1" si="30"/>
        <v>0</v>
      </c>
      <c r="AZ80" s="4">
        <f t="shared" ca="1" si="30"/>
        <v>0</v>
      </c>
      <c r="BA80" s="4">
        <f t="shared" ca="1" si="30"/>
        <v>0</v>
      </c>
      <c r="BB80" s="4">
        <f t="shared" ca="1" si="30"/>
        <v>0</v>
      </c>
      <c r="BC80" s="4">
        <f t="shared" ca="1" si="30"/>
        <v>0</v>
      </c>
      <c r="BD80" s="4">
        <f t="shared" ca="1" si="30"/>
        <v>0</v>
      </c>
      <c r="BE80" s="4">
        <f t="shared" ca="1" si="30"/>
        <v>0</v>
      </c>
      <c r="BF80" s="4">
        <f t="shared" ca="1" si="30"/>
        <v>0</v>
      </c>
      <c r="BG80" s="4">
        <f t="shared" ca="1" si="30"/>
        <v>0</v>
      </c>
      <c r="BH80" s="4">
        <f t="shared" ca="1" si="30"/>
        <v>0</v>
      </c>
      <c r="BI80" s="4">
        <f t="shared" ca="1" si="30"/>
        <v>0</v>
      </c>
      <c r="BJ80" s="4">
        <f t="shared" ca="1" si="30"/>
        <v>0</v>
      </c>
      <c r="BK80" s="4">
        <f t="shared" ca="1" si="30"/>
        <v>0</v>
      </c>
      <c r="BL80" s="4">
        <f t="shared" ca="1" si="30"/>
        <v>0</v>
      </c>
    </row>
    <row r="81" spans="1:64" x14ac:dyDescent="0.35">
      <c r="A81" s="1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</row>
    <row r="82" spans="1:64" x14ac:dyDescent="0.35">
      <c r="A82" s="1"/>
      <c r="B82" s="2" t="s">
        <v>408</v>
      </c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</row>
    <row r="83" spans="1:64" x14ac:dyDescent="0.35">
      <c r="A83" s="1"/>
      <c r="C83" s="2" t="s">
        <v>104</v>
      </c>
      <c r="D83" s="4"/>
      <c r="E83" s="4">
        <f t="shared" ref="E83:AJ83" si="31">E39</f>
        <v>182.7</v>
      </c>
      <c r="F83" s="4">
        <f t="shared" si="31"/>
        <v>185.44049999999996</v>
      </c>
      <c r="G83" s="4">
        <f t="shared" si="31"/>
        <v>188.22210749999994</v>
      </c>
      <c r="H83" s="4">
        <f t="shared" si="31"/>
        <v>191.04543911249991</v>
      </c>
      <c r="I83" s="4">
        <f t="shared" si="31"/>
        <v>193.91112069918739</v>
      </c>
      <c r="J83" s="4">
        <f t="shared" si="31"/>
        <v>196.81978750967519</v>
      </c>
      <c r="K83" s="4">
        <f t="shared" si="31"/>
        <v>198.78798538477196</v>
      </c>
      <c r="L83" s="4">
        <f t="shared" si="31"/>
        <v>200.77586523861967</v>
      </c>
      <c r="M83" s="4">
        <f t="shared" si="31"/>
        <v>202.78362389100587</v>
      </c>
      <c r="N83" s="4">
        <f t="shared" si="31"/>
        <v>204.81146012991593</v>
      </c>
      <c r="O83" s="4">
        <f t="shared" si="31"/>
        <v>207.88363203186464</v>
      </c>
      <c r="P83" s="4">
        <f t="shared" si="31"/>
        <v>211.00188651234259</v>
      </c>
      <c r="Q83" s="4">
        <f t="shared" si="31"/>
        <v>214.16691481002772</v>
      </c>
      <c r="R83" s="4">
        <f t="shared" si="31"/>
        <v>217.37941853217811</v>
      </c>
      <c r="S83" s="4">
        <f t="shared" si="31"/>
        <v>220.64010981016077</v>
      </c>
      <c r="T83" s="4">
        <f t="shared" si="31"/>
        <v>223.94971145731316</v>
      </c>
      <c r="U83" s="4">
        <f t="shared" si="31"/>
        <v>227.30895712917282</v>
      </c>
      <c r="V83" s="4">
        <f t="shared" si="31"/>
        <v>230.7185914861104</v>
      </c>
      <c r="W83" s="4">
        <f t="shared" si="31"/>
        <v>234.17937035840202</v>
      </c>
      <c r="X83" s="4">
        <f t="shared" si="31"/>
        <v>237.69206091377802</v>
      </c>
      <c r="Y83" s="4">
        <f t="shared" si="31"/>
        <v>241.25744182748466</v>
      </c>
      <c r="Z83" s="4">
        <f t="shared" si="31"/>
        <v>244.87630345489691</v>
      </c>
      <c r="AA83" s="4">
        <f t="shared" si="31"/>
        <v>248.54944800672035</v>
      </c>
      <c r="AB83" s="4">
        <f t="shared" si="31"/>
        <v>252.27768972682114</v>
      </c>
      <c r="AC83" s="4">
        <f t="shared" si="31"/>
        <v>256.0618550727234</v>
      </c>
      <c r="AD83" s="4">
        <f t="shared" si="31"/>
        <v>259.90278289881422</v>
      </c>
      <c r="AE83" s="4">
        <f t="shared" si="31"/>
        <v>263.80132464229644</v>
      </c>
      <c r="AF83" s="4">
        <f t="shared" si="31"/>
        <v>267.75834451193083</v>
      </c>
      <c r="AG83" s="4">
        <f t="shared" si="31"/>
        <v>271.77471967960975</v>
      </c>
      <c r="AH83" s="4">
        <f t="shared" si="31"/>
        <v>275.85134047480386</v>
      </c>
      <c r="AI83" s="4">
        <f t="shared" si="31"/>
        <v>279.9891105819259</v>
      </c>
      <c r="AJ83" s="4">
        <f t="shared" si="31"/>
        <v>284.18894724065478</v>
      </c>
      <c r="AK83" s="4">
        <f t="shared" ref="AK83:BL83" si="32">AK39</f>
        <v>288.45178144926456</v>
      </c>
      <c r="AL83" s="4">
        <f t="shared" si="32"/>
        <v>292.77855817100351</v>
      </c>
      <c r="AM83" s="4">
        <f t="shared" si="32"/>
        <v>297.17023654356854</v>
      </c>
      <c r="AN83" s="4">
        <f t="shared" si="32"/>
        <v>301.62779009172203</v>
      </c>
      <c r="AO83" s="4">
        <f t="shared" si="32"/>
        <v>306.15220694309784</v>
      </c>
      <c r="AP83" s="4">
        <f t="shared" si="32"/>
        <v>310.74449004724426</v>
      </c>
      <c r="AQ83" s="4">
        <f t="shared" si="32"/>
        <v>315.40565739795289</v>
      </c>
      <c r="AR83" s="4">
        <f t="shared" si="32"/>
        <v>320.13674225892214</v>
      </c>
      <c r="AS83" s="4">
        <f t="shared" si="32"/>
        <v>324.93879339280596</v>
      </c>
      <c r="AT83" s="4">
        <f t="shared" si="32"/>
        <v>329.81287529369803</v>
      </c>
      <c r="AU83" s="4">
        <f t="shared" si="32"/>
        <v>334.76006842310346</v>
      </c>
      <c r="AV83" s="4">
        <f t="shared" si="32"/>
        <v>339.78146944944996</v>
      </c>
      <c r="AW83" s="4">
        <f t="shared" si="32"/>
        <v>344.87819149119167</v>
      </c>
      <c r="AX83" s="4">
        <f t="shared" si="32"/>
        <v>350.05136436355951</v>
      </c>
      <c r="AY83" s="4">
        <f t="shared" si="32"/>
        <v>355.30213482901286</v>
      </c>
      <c r="AZ83" s="4">
        <f t="shared" si="32"/>
        <v>360.63166685144802</v>
      </c>
      <c r="BA83" s="4">
        <f t="shared" si="32"/>
        <v>366.04114185421969</v>
      </c>
      <c r="BB83" s="4">
        <f t="shared" si="32"/>
        <v>371.53175898203295</v>
      </c>
      <c r="BC83" s="4">
        <f t="shared" si="32"/>
        <v>377.10473536676341</v>
      </c>
      <c r="BD83" s="4">
        <f t="shared" si="32"/>
        <v>382.76130639726483</v>
      </c>
      <c r="BE83" s="4">
        <f t="shared" si="32"/>
        <v>388.50272599322375</v>
      </c>
      <c r="BF83" s="4">
        <f t="shared" si="32"/>
        <v>394.33026688312208</v>
      </c>
      <c r="BG83" s="4">
        <f t="shared" si="32"/>
        <v>400.24522088636888</v>
      </c>
      <c r="BH83" s="4">
        <f t="shared" si="32"/>
        <v>406.24889919966438</v>
      </c>
      <c r="BI83" s="4">
        <f t="shared" si="32"/>
        <v>412.34263268765932</v>
      </c>
      <c r="BJ83" s="4">
        <f t="shared" si="32"/>
        <v>418.52777217797416</v>
      </c>
      <c r="BK83" s="4">
        <f t="shared" si="32"/>
        <v>424.8056887606437</v>
      </c>
      <c r="BL83" s="4">
        <f t="shared" si="32"/>
        <v>431.17777409205331</v>
      </c>
    </row>
    <row r="84" spans="1:64" x14ac:dyDescent="0.35">
      <c r="A84" s="1"/>
      <c r="C84" s="2" t="s">
        <v>105</v>
      </c>
      <c r="D84" s="4"/>
      <c r="E84" s="4">
        <f t="shared" ref="E84:AJ84" si="33">E40</f>
        <v>1.1336525678634644</v>
      </c>
      <c r="F84" s="4">
        <f t="shared" si="33"/>
        <v>1.1467118263244629</v>
      </c>
      <c r="G84" s="4">
        <f t="shared" si="33"/>
        <v>1.1599215269088745</v>
      </c>
      <c r="H84" s="4">
        <f t="shared" si="33"/>
        <v>1.1732833385467529</v>
      </c>
      <c r="I84" s="4">
        <f t="shared" si="33"/>
        <v>1.1867918968200684</v>
      </c>
      <c r="J84" s="4">
        <f t="shared" si="33"/>
        <v>1.1977922916412354</v>
      </c>
      <c r="K84" s="4">
        <f t="shared" si="33"/>
        <v>1.2062631845474243</v>
      </c>
      <c r="L84" s="4">
        <f t="shared" si="33"/>
        <v>1.2248444557189941</v>
      </c>
      <c r="M84" s="4">
        <f t="shared" si="33"/>
        <v>1.243383526802063</v>
      </c>
      <c r="N84" s="4">
        <f t="shared" si="33"/>
        <v>1.2545984983444214</v>
      </c>
      <c r="O84" s="4">
        <f t="shared" si="33"/>
        <v>1.2686668634414673</v>
      </c>
      <c r="P84" s="4">
        <f t="shared" si="33"/>
        <v>1.2828823328018188</v>
      </c>
      <c r="Q84" s="4">
        <f t="shared" si="33"/>
        <v>1.2972464561462402</v>
      </c>
      <c r="R84" s="4">
        <f t="shared" si="33"/>
        <v>1.3117603063583374</v>
      </c>
      <c r="S84" s="4">
        <f t="shared" si="33"/>
        <v>1.3264254331588745</v>
      </c>
      <c r="T84" s="4">
        <f t="shared" si="33"/>
        <v>1.3412432670593262</v>
      </c>
      <c r="U84" s="4">
        <f t="shared" si="33"/>
        <v>1.3562365770339966</v>
      </c>
      <c r="V84" s="4">
        <f t="shared" si="33"/>
        <v>1.3792997598648071</v>
      </c>
      <c r="W84" s="4">
        <f t="shared" si="33"/>
        <v>1.4023593664169312</v>
      </c>
      <c r="X84" s="4">
        <f t="shared" si="33"/>
        <v>1.417512059211731</v>
      </c>
      <c r="Y84" s="4">
        <f t="shared" si="33"/>
        <v>1.4328018426895142</v>
      </c>
      <c r="Z84" s="4">
        <f t="shared" si="33"/>
        <v>1.4482290744781494</v>
      </c>
      <c r="AA84" s="4">
        <f t="shared" si="33"/>
        <v>1.4637945890426636</v>
      </c>
      <c r="AB84" s="4">
        <f t="shared" si="33"/>
        <v>1.4794992208480835</v>
      </c>
      <c r="AC84" s="4">
        <f t="shared" si="33"/>
        <v>1.4953429698944092</v>
      </c>
      <c r="AD84" s="4">
        <f t="shared" si="33"/>
        <v>1.5113272666931152</v>
      </c>
      <c r="AE84" s="4">
        <f t="shared" si="33"/>
        <v>1.5274521112442017</v>
      </c>
      <c r="AF84" s="4">
        <f t="shared" si="33"/>
        <v>1.5437185764312744</v>
      </c>
      <c r="AG84" s="4">
        <f t="shared" si="33"/>
        <v>1.5601266622543335</v>
      </c>
      <c r="AH84" s="4">
        <f t="shared" si="33"/>
        <v>1.5766772031784058</v>
      </c>
      <c r="AI84" s="4">
        <f t="shared" si="33"/>
        <v>1.5933709144592285</v>
      </c>
      <c r="AJ84" s="4">
        <f t="shared" si="33"/>
        <v>1.6102081537246704</v>
      </c>
      <c r="AK84" s="4">
        <f t="shared" ref="AK84:BL84" si="34">AK40</f>
        <v>1.6271895170211792</v>
      </c>
      <c r="AL84" s="4">
        <f t="shared" si="34"/>
        <v>1.6443154811859131</v>
      </c>
      <c r="AM84" s="4">
        <f t="shared" si="34"/>
        <v>1.6615862846374512</v>
      </c>
      <c r="AN84" s="4">
        <f t="shared" si="34"/>
        <v>1.6790026426315308</v>
      </c>
      <c r="AO84" s="4">
        <f t="shared" si="34"/>
        <v>1.6965651512145996</v>
      </c>
      <c r="AP84" s="4">
        <f t="shared" si="34"/>
        <v>1.714267373085022</v>
      </c>
      <c r="AQ84" s="4">
        <f t="shared" si="34"/>
        <v>1.7297483682632446</v>
      </c>
      <c r="AR84" s="4">
        <f t="shared" si="34"/>
        <v>0.86817240715026855</v>
      </c>
      <c r="AS84" s="4">
        <f t="shared" si="34"/>
        <v>0</v>
      </c>
      <c r="AT84" s="4">
        <f t="shared" si="34"/>
        <v>0</v>
      </c>
      <c r="AU84" s="4">
        <f t="shared" si="34"/>
        <v>0</v>
      </c>
      <c r="AV84" s="4">
        <f t="shared" si="34"/>
        <v>0</v>
      </c>
      <c r="AW84" s="4">
        <f t="shared" si="34"/>
        <v>0</v>
      </c>
      <c r="AX84" s="4">
        <f t="shared" si="34"/>
        <v>0</v>
      </c>
      <c r="AY84" s="4">
        <f t="shared" si="34"/>
        <v>0</v>
      </c>
      <c r="AZ84" s="4">
        <f t="shared" si="34"/>
        <v>0</v>
      </c>
      <c r="BA84" s="4">
        <f t="shared" si="34"/>
        <v>0</v>
      </c>
      <c r="BB84" s="4">
        <f t="shared" si="34"/>
        <v>0</v>
      </c>
      <c r="BC84" s="4">
        <f t="shared" si="34"/>
        <v>0</v>
      </c>
      <c r="BD84" s="4">
        <f t="shared" si="34"/>
        <v>0</v>
      </c>
      <c r="BE84" s="4">
        <f t="shared" si="34"/>
        <v>0</v>
      </c>
      <c r="BF84" s="4">
        <f t="shared" si="34"/>
        <v>0</v>
      </c>
      <c r="BG84" s="4">
        <f t="shared" si="34"/>
        <v>0</v>
      </c>
      <c r="BH84" s="4">
        <f t="shared" si="34"/>
        <v>0</v>
      </c>
      <c r="BI84" s="4">
        <f t="shared" si="34"/>
        <v>0</v>
      </c>
      <c r="BJ84" s="4">
        <f t="shared" si="34"/>
        <v>0</v>
      </c>
      <c r="BK84" s="4">
        <f t="shared" si="34"/>
        <v>0</v>
      </c>
      <c r="BL84" s="4">
        <f t="shared" si="34"/>
        <v>0</v>
      </c>
    </row>
    <row r="85" spans="1:64" x14ac:dyDescent="0.35">
      <c r="A85" s="1"/>
      <c r="C85" s="2" t="s">
        <v>409</v>
      </c>
      <c r="D85" s="4"/>
      <c r="E85" s="4">
        <f>E69</f>
        <v>59.490975607419301</v>
      </c>
      <c r="F85" s="4">
        <f t="shared" ref="F85:BL85" ca="1" si="35">F69</f>
        <v>58.6925997140658</v>
      </c>
      <c r="G85" s="4">
        <f t="shared" ca="1" si="35"/>
        <v>57.862771480799289</v>
      </c>
      <c r="H85" s="4">
        <f t="shared" ca="1" si="35"/>
        <v>57.000794795346529</v>
      </c>
      <c r="I85" s="4">
        <f t="shared" ca="1" si="35"/>
        <v>56.105960459338903</v>
      </c>
      <c r="J85" s="4">
        <f t="shared" ca="1" si="35"/>
        <v>55.177546098500869</v>
      </c>
      <c r="K85" s="4">
        <f t="shared" ca="1" si="35"/>
        <v>54.214837361127927</v>
      </c>
      <c r="L85" s="4">
        <f t="shared" ca="1" si="35"/>
        <v>53.225055042094169</v>
      </c>
      <c r="M85" s="4">
        <f t="shared" ca="1" si="35"/>
        <v>60.908920471102682</v>
      </c>
      <c r="N85" s="4">
        <f t="shared" ca="1" si="35"/>
        <v>59.806286095522047</v>
      </c>
      <c r="O85" s="4">
        <f t="shared" ca="1" si="35"/>
        <v>58.669594417804376</v>
      </c>
      <c r="P85" s="4">
        <f t="shared" ca="1" si="35"/>
        <v>57.488519247992954</v>
      </c>
      <c r="Q85" s="4">
        <f t="shared" ca="1" si="35"/>
        <v>56.262027484494332</v>
      </c>
      <c r="R85" s="4">
        <f t="shared" ca="1" si="35"/>
        <v>54.989065604269868</v>
      </c>
      <c r="S85" s="4">
        <f t="shared" ca="1" si="35"/>
        <v>53.668559223654064</v>
      </c>
      <c r="T85" s="4">
        <f t="shared" ca="1" si="35"/>
        <v>52.299412893314113</v>
      </c>
      <c r="U85" s="4">
        <f t="shared" ca="1" si="35"/>
        <v>50.880509484706288</v>
      </c>
      <c r="V85" s="4">
        <f t="shared" ca="1" si="35"/>
        <v>49.410709736950402</v>
      </c>
      <c r="W85" s="4">
        <f t="shared" ca="1" si="35"/>
        <v>54.730031596061011</v>
      </c>
      <c r="X85" s="4">
        <f t="shared" ca="1" si="35"/>
        <v>53.034998054105813</v>
      </c>
      <c r="Y85" s="4">
        <f t="shared" ca="1" si="35"/>
        <v>51.275894930011518</v>
      </c>
      <c r="Z85" s="4">
        <f t="shared" ca="1" si="35"/>
        <v>49.451167617719193</v>
      </c>
      <c r="AA85" s="4">
        <f t="shared" ca="1" si="35"/>
        <v>47.559229052760934</v>
      </c>
      <c r="AB85" s="4">
        <f t="shared" ca="1" si="35"/>
        <v>45.598459225491908</v>
      </c>
      <c r="AC85" s="4">
        <f t="shared" ca="1" si="35"/>
        <v>43.567204278373694</v>
      </c>
      <c r="AD85" s="4">
        <f t="shared" ca="1" si="35"/>
        <v>41.463776064765383</v>
      </c>
      <c r="AE85" s="4">
        <f t="shared" ca="1" si="35"/>
        <v>39.286451426475658</v>
      </c>
      <c r="AF85" s="4">
        <f t="shared" ca="1" si="35"/>
        <v>37.033471556708513</v>
      </c>
      <c r="AG85" s="4">
        <f t="shared" ca="1" si="35"/>
        <v>34.703041250162656</v>
      </c>
      <c r="AH85" s="4">
        <f t="shared" ca="1" si="35"/>
        <v>32.293328109509829</v>
      </c>
      <c r="AI85" s="4">
        <f t="shared" ca="1" si="35"/>
        <v>29.802462173168564</v>
      </c>
      <c r="AJ85" s="4">
        <f t="shared" ca="1" si="35"/>
        <v>27.228534843017179</v>
      </c>
      <c r="AK85" s="4">
        <f t="shared" ca="1" si="35"/>
        <v>24.569598378123548</v>
      </c>
      <c r="AL85" s="4">
        <f t="shared" ca="1" si="35"/>
        <v>21.823664779174951</v>
      </c>
      <c r="AM85" s="4">
        <f t="shared" ca="1" si="35"/>
        <v>18.98870559192579</v>
      </c>
      <c r="AN85" s="4">
        <f t="shared" ca="1" si="35"/>
        <v>16.062650648947855</v>
      </c>
      <c r="AO85" s="4">
        <f t="shared" ca="1" si="35"/>
        <v>13.043387476192466</v>
      </c>
      <c r="AP85" s="4">
        <f t="shared" ca="1" si="35"/>
        <v>9.9287604587830831</v>
      </c>
      <c r="AQ85" s="4">
        <f t="shared" ca="1" si="35"/>
        <v>6.7165700931252541</v>
      </c>
      <c r="AR85" s="4">
        <f t="shared" ca="1" si="35"/>
        <v>3.4045975370234363</v>
      </c>
      <c r="AS85" s="4">
        <f t="shared" ca="1" si="35"/>
        <v>1.1084466677857563E-13</v>
      </c>
      <c r="AT85" s="4">
        <f t="shared" ca="1" si="35"/>
        <v>1.1306156011414715E-13</v>
      </c>
      <c r="AU85" s="4">
        <f t="shared" ca="1" si="35"/>
        <v>1.153227913164301E-13</v>
      </c>
      <c r="AV85" s="4">
        <f t="shared" ca="1" si="35"/>
        <v>1.176292471427587E-13</v>
      </c>
      <c r="AW85" s="4">
        <f t="shared" ca="1" si="35"/>
        <v>1.1998183208561386E-13</v>
      </c>
      <c r="AX85" s="4">
        <f t="shared" ca="1" si="35"/>
        <v>1.2238146872732614E-13</v>
      </c>
      <c r="AY85" s="4">
        <f t="shared" ca="1" si="35"/>
        <v>1.2482909810187267E-13</v>
      </c>
      <c r="AZ85" s="4">
        <f t="shared" ca="1" si="35"/>
        <v>1.2732568006391012E-13</v>
      </c>
      <c r="BA85" s="4">
        <f t="shared" ca="1" si="35"/>
        <v>1.2987219366518832E-13</v>
      </c>
      <c r="BB85" s="4">
        <f t="shared" ca="1" si="35"/>
        <v>1.324696375384921E-13</v>
      </c>
      <c r="BC85" s="4">
        <f t="shared" ca="1" si="35"/>
        <v>1.3511903028926196E-13</v>
      </c>
      <c r="BD85" s="4">
        <f t="shared" ca="1" si="35"/>
        <v>1.3782141089504719E-13</v>
      </c>
      <c r="BE85" s="4">
        <f t="shared" ca="1" si="35"/>
        <v>1.4057783911294813E-13</v>
      </c>
      <c r="BF85" s="4">
        <f t="shared" ca="1" si="35"/>
        <v>1.4338939589520708E-13</v>
      </c>
      <c r="BG85" s="4">
        <f t="shared" ca="1" si="35"/>
        <v>1.4625718381311123E-13</v>
      </c>
      <c r="BH85" s="4">
        <f t="shared" ca="1" si="35"/>
        <v>1.4918232748937345E-13</v>
      </c>
      <c r="BI85" s="4">
        <f t="shared" ca="1" si="35"/>
        <v>1.5216597403916093E-13</v>
      </c>
      <c r="BJ85" s="4">
        <f t="shared" ca="1" si="35"/>
        <v>1.5520929351994418E-13</v>
      </c>
      <c r="BK85" s="4">
        <f t="shared" ca="1" si="35"/>
        <v>1.5831347939034306E-13</v>
      </c>
      <c r="BL85" s="4">
        <f t="shared" ca="1" si="35"/>
        <v>1.6147974897814991E-13</v>
      </c>
    </row>
    <row r="86" spans="1:64" x14ac:dyDescent="0.35">
      <c r="A86" s="1"/>
      <c r="C86" s="2" t="s">
        <v>410</v>
      </c>
      <c r="D86" s="4"/>
      <c r="E86" s="4">
        <f t="shared" ref="E86:AJ86" si="36">E45</f>
        <v>0</v>
      </c>
      <c r="F86" s="4">
        <f t="shared" si="36"/>
        <v>0</v>
      </c>
      <c r="G86" s="4">
        <f t="shared" si="36"/>
        <v>0</v>
      </c>
      <c r="H86" s="4">
        <f t="shared" si="36"/>
        <v>0</v>
      </c>
      <c r="I86" s="4">
        <f t="shared" si="36"/>
        <v>0</v>
      </c>
      <c r="J86" s="4">
        <f t="shared" si="36"/>
        <v>0</v>
      </c>
      <c r="K86" s="4">
        <f t="shared" si="36"/>
        <v>0</v>
      </c>
      <c r="L86" s="4">
        <f t="shared" si="36"/>
        <v>0</v>
      </c>
      <c r="M86" s="4">
        <f t="shared" si="36"/>
        <v>0</v>
      </c>
      <c r="N86" s="4">
        <f t="shared" si="36"/>
        <v>0</v>
      </c>
      <c r="O86" s="4">
        <f t="shared" si="36"/>
        <v>0</v>
      </c>
      <c r="P86" s="4">
        <f t="shared" si="36"/>
        <v>0</v>
      </c>
      <c r="Q86" s="4">
        <f t="shared" si="36"/>
        <v>0</v>
      </c>
      <c r="R86" s="4">
        <f t="shared" si="36"/>
        <v>0</v>
      </c>
      <c r="S86" s="4">
        <f t="shared" si="36"/>
        <v>0</v>
      </c>
      <c r="T86" s="4">
        <f t="shared" si="36"/>
        <v>0</v>
      </c>
      <c r="U86" s="4">
        <f t="shared" si="36"/>
        <v>0</v>
      </c>
      <c r="V86" s="4">
        <f t="shared" si="36"/>
        <v>0</v>
      </c>
      <c r="W86" s="4">
        <f t="shared" si="36"/>
        <v>0</v>
      </c>
      <c r="X86" s="4">
        <f t="shared" si="36"/>
        <v>0</v>
      </c>
      <c r="Y86" s="4">
        <f t="shared" si="36"/>
        <v>0</v>
      </c>
      <c r="Z86" s="4">
        <f t="shared" si="36"/>
        <v>0</v>
      </c>
      <c r="AA86" s="4">
        <f t="shared" si="36"/>
        <v>0</v>
      </c>
      <c r="AB86" s="4">
        <f t="shared" si="36"/>
        <v>0</v>
      </c>
      <c r="AC86" s="4">
        <f t="shared" si="36"/>
        <v>0</v>
      </c>
      <c r="AD86" s="4">
        <f t="shared" si="36"/>
        <v>0</v>
      </c>
      <c r="AE86" s="4">
        <f t="shared" si="36"/>
        <v>0</v>
      </c>
      <c r="AF86" s="4">
        <f t="shared" si="36"/>
        <v>0</v>
      </c>
      <c r="AG86" s="4">
        <f t="shared" si="36"/>
        <v>0</v>
      </c>
      <c r="AH86" s="4">
        <f t="shared" si="36"/>
        <v>0</v>
      </c>
      <c r="AI86" s="4">
        <f t="shared" si="36"/>
        <v>0</v>
      </c>
      <c r="AJ86" s="4">
        <f t="shared" si="36"/>
        <v>0</v>
      </c>
      <c r="AK86" s="4">
        <f t="shared" ref="AK86:BL86" si="37">AK45</f>
        <v>0</v>
      </c>
      <c r="AL86" s="4">
        <f t="shared" si="37"/>
        <v>0</v>
      </c>
      <c r="AM86" s="4">
        <f t="shared" si="37"/>
        <v>0</v>
      </c>
      <c r="AN86" s="4">
        <f t="shared" si="37"/>
        <v>0</v>
      </c>
      <c r="AO86" s="4">
        <f t="shared" si="37"/>
        <v>0</v>
      </c>
      <c r="AP86" s="4">
        <f t="shared" si="37"/>
        <v>0</v>
      </c>
      <c r="AQ86" s="4">
        <f t="shared" si="37"/>
        <v>0</v>
      </c>
      <c r="AR86" s="4">
        <f t="shared" si="37"/>
        <v>0</v>
      </c>
      <c r="AS86" s="4">
        <f t="shared" si="37"/>
        <v>0</v>
      </c>
      <c r="AT86" s="4">
        <f t="shared" si="37"/>
        <v>0</v>
      </c>
      <c r="AU86" s="4">
        <f t="shared" si="37"/>
        <v>0</v>
      </c>
      <c r="AV86" s="4">
        <f t="shared" si="37"/>
        <v>0</v>
      </c>
      <c r="AW86" s="4">
        <f t="shared" si="37"/>
        <v>0</v>
      </c>
      <c r="AX86" s="4">
        <f t="shared" si="37"/>
        <v>0</v>
      </c>
      <c r="AY86" s="4">
        <f t="shared" si="37"/>
        <v>0</v>
      </c>
      <c r="AZ86" s="4">
        <f t="shared" si="37"/>
        <v>0</v>
      </c>
      <c r="BA86" s="4">
        <f t="shared" si="37"/>
        <v>0</v>
      </c>
      <c r="BB86" s="4">
        <f t="shared" si="37"/>
        <v>0</v>
      </c>
      <c r="BC86" s="4">
        <f t="shared" si="37"/>
        <v>0</v>
      </c>
      <c r="BD86" s="4">
        <f t="shared" si="37"/>
        <v>0</v>
      </c>
      <c r="BE86" s="4">
        <f t="shared" si="37"/>
        <v>0</v>
      </c>
      <c r="BF86" s="4">
        <f t="shared" si="37"/>
        <v>0</v>
      </c>
      <c r="BG86" s="4">
        <f t="shared" si="37"/>
        <v>0</v>
      </c>
      <c r="BH86" s="4">
        <f t="shared" si="37"/>
        <v>0</v>
      </c>
      <c r="BI86" s="4">
        <f t="shared" si="37"/>
        <v>0</v>
      </c>
      <c r="BJ86" s="4">
        <f t="shared" si="37"/>
        <v>0</v>
      </c>
      <c r="BK86" s="4">
        <f t="shared" si="37"/>
        <v>0</v>
      </c>
      <c r="BL86" s="4">
        <f t="shared" si="37"/>
        <v>0</v>
      </c>
    </row>
    <row r="87" spans="1:64" x14ac:dyDescent="0.35">
      <c r="A87" s="1"/>
      <c r="C87" s="2" t="s">
        <v>411</v>
      </c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</row>
    <row r="88" spans="1:64" ht="15" thickBot="1" x14ac:dyDescent="0.4">
      <c r="A88" s="1"/>
      <c r="C88" s="24" t="s">
        <v>412</v>
      </c>
      <c r="D88" s="25"/>
      <c r="E88" s="25">
        <f>E83+E84-E85-E86-E87</f>
        <v>124.34267696044415</v>
      </c>
      <c r="F88" s="25">
        <f t="shared" ref="F88:BL88" ca="1" si="38">F83+F84-F85-F86-F87</f>
        <v>127.89461211225861</v>
      </c>
      <c r="G88" s="25">
        <f t="shared" ca="1" si="38"/>
        <v>131.51925754610951</v>
      </c>
      <c r="H88" s="25">
        <f t="shared" ca="1" si="38"/>
        <v>135.21792765570012</v>
      </c>
      <c r="I88" s="25">
        <f t="shared" ca="1" si="38"/>
        <v>138.99195213666854</v>
      </c>
      <c r="J88" s="25">
        <f t="shared" ca="1" si="38"/>
        <v>142.84003370281556</v>
      </c>
      <c r="K88" s="25">
        <f t="shared" ca="1" si="38"/>
        <v>145.77941120819145</v>
      </c>
      <c r="L88" s="25">
        <f t="shared" ca="1" si="38"/>
        <v>148.7756546522445</v>
      </c>
      <c r="M88" s="25">
        <f t="shared" ca="1" si="38"/>
        <v>143.11808694670526</v>
      </c>
      <c r="N88" s="25">
        <f t="shared" ca="1" si="38"/>
        <v>146.25977253273831</v>
      </c>
      <c r="O88" s="25">
        <f t="shared" ca="1" si="38"/>
        <v>150.48270447750173</v>
      </c>
      <c r="P88" s="25">
        <f t="shared" ca="1" si="38"/>
        <v>154.79624959715147</v>
      </c>
      <c r="Q88" s="25">
        <f t="shared" ca="1" si="38"/>
        <v>159.20213378167963</v>
      </c>
      <c r="R88" s="25">
        <f t="shared" ca="1" si="38"/>
        <v>163.70211323426656</v>
      </c>
      <c r="S88" s="25">
        <f t="shared" ca="1" si="38"/>
        <v>168.29797601966558</v>
      </c>
      <c r="T88" s="25">
        <f t="shared" ca="1" si="38"/>
        <v>172.99154183105838</v>
      </c>
      <c r="U88" s="25">
        <f t="shared" ca="1" si="38"/>
        <v>177.78468422150053</v>
      </c>
      <c r="V88" s="25">
        <f t="shared" ca="1" si="38"/>
        <v>182.68718150902481</v>
      </c>
      <c r="W88" s="25">
        <f t="shared" ca="1" si="38"/>
        <v>180.85169812875796</v>
      </c>
      <c r="X88" s="25">
        <f t="shared" ca="1" si="38"/>
        <v>186.07457491888394</v>
      </c>
      <c r="Y88" s="25">
        <f t="shared" ca="1" si="38"/>
        <v>191.41434874016267</v>
      </c>
      <c r="Z88" s="25">
        <f t="shared" ca="1" si="38"/>
        <v>196.87336491165587</v>
      </c>
      <c r="AA88" s="25">
        <f t="shared" ca="1" si="38"/>
        <v>202.45401354300208</v>
      </c>
      <c r="AB88" s="25">
        <f t="shared" ca="1" si="38"/>
        <v>208.15872972217733</v>
      </c>
      <c r="AC88" s="25">
        <f t="shared" ca="1" si="38"/>
        <v>213.9899937642441</v>
      </c>
      <c r="AD88" s="25">
        <f t="shared" ca="1" si="38"/>
        <v>219.95033410074194</v>
      </c>
      <c r="AE88" s="25">
        <f t="shared" ca="1" si="38"/>
        <v>226.04232532706499</v>
      </c>
      <c r="AF88" s="25">
        <f t="shared" ca="1" si="38"/>
        <v>232.26859153165358</v>
      </c>
      <c r="AG88" s="25">
        <f t="shared" ca="1" si="38"/>
        <v>238.63180509170144</v>
      </c>
      <c r="AH88" s="25">
        <f t="shared" ca="1" si="38"/>
        <v>245.13468956847242</v>
      </c>
      <c r="AI88" s="25">
        <f t="shared" ca="1" si="38"/>
        <v>251.78001932321655</v>
      </c>
      <c r="AJ88" s="25">
        <f t="shared" ca="1" si="38"/>
        <v>258.57062055136225</v>
      </c>
      <c r="AK88" s="25">
        <f t="shared" ca="1" si="38"/>
        <v>265.50937258816219</v>
      </c>
      <c r="AL88" s="25">
        <f t="shared" ca="1" si="38"/>
        <v>272.59920887301445</v>
      </c>
      <c r="AM88" s="25">
        <f t="shared" ca="1" si="38"/>
        <v>279.84311723628019</v>
      </c>
      <c r="AN88" s="25">
        <f t="shared" ca="1" si="38"/>
        <v>287.24414208540571</v>
      </c>
      <c r="AO88" s="25">
        <f t="shared" ca="1" si="38"/>
        <v>294.80538461811994</v>
      </c>
      <c r="AP88" s="25">
        <f t="shared" ca="1" si="38"/>
        <v>302.5299969615462</v>
      </c>
      <c r="AQ88" s="25">
        <f t="shared" ca="1" si="38"/>
        <v>310.41883567309088</v>
      </c>
      <c r="AR88" s="25">
        <f t="shared" ca="1" si="38"/>
        <v>317.60031712904896</v>
      </c>
      <c r="AS88" s="25">
        <f t="shared" ca="1" si="38"/>
        <v>324.93879339280585</v>
      </c>
      <c r="AT88" s="25">
        <f t="shared" ca="1" si="38"/>
        <v>329.81287529369791</v>
      </c>
      <c r="AU88" s="25">
        <f t="shared" ca="1" si="38"/>
        <v>334.76006842310335</v>
      </c>
      <c r="AV88" s="25">
        <f t="shared" ca="1" si="38"/>
        <v>339.78146944944984</v>
      </c>
      <c r="AW88" s="25">
        <f t="shared" ca="1" si="38"/>
        <v>344.87819149119156</v>
      </c>
      <c r="AX88" s="25">
        <f t="shared" ca="1" si="38"/>
        <v>350.0513643635594</v>
      </c>
      <c r="AY88" s="25">
        <f t="shared" ca="1" si="38"/>
        <v>355.30213482901274</v>
      </c>
      <c r="AZ88" s="25">
        <f t="shared" ca="1" si="38"/>
        <v>360.6316668514479</v>
      </c>
      <c r="BA88" s="25">
        <f t="shared" ca="1" si="38"/>
        <v>366.04114185421957</v>
      </c>
      <c r="BB88" s="25">
        <f t="shared" ca="1" si="38"/>
        <v>371.53175898203284</v>
      </c>
      <c r="BC88" s="25">
        <f t="shared" ca="1" si="38"/>
        <v>377.10473536676329</v>
      </c>
      <c r="BD88" s="25">
        <f t="shared" ca="1" si="38"/>
        <v>382.76130639726472</v>
      </c>
      <c r="BE88" s="25">
        <f t="shared" ca="1" si="38"/>
        <v>388.50272599322363</v>
      </c>
      <c r="BF88" s="25">
        <f t="shared" ca="1" si="38"/>
        <v>394.33026688312191</v>
      </c>
      <c r="BG88" s="25">
        <f t="shared" ca="1" si="38"/>
        <v>400.24522088636871</v>
      </c>
      <c r="BH88" s="25">
        <f t="shared" ca="1" si="38"/>
        <v>406.24889919966421</v>
      </c>
      <c r="BI88" s="25">
        <f t="shared" ca="1" si="38"/>
        <v>412.34263268765915</v>
      </c>
      <c r="BJ88" s="25">
        <f t="shared" ca="1" si="38"/>
        <v>418.52777217797399</v>
      </c>
      <c r="BK88" s="25">
        <f t="shared" ca="1" si="38"/>
        <v>424.80568876064353</v>
      </c>
      <c r="BL88" s="25">
        <f t="shared" ca="1" si="38"/>
        <v>431.17777409205314</v>
      </c>
    </row>
    <row r="89" spans="1:64" x14ac:dyDescent="0.35">
      <c r="A89" s="1"/>
      <c r="C89" s="2" t="s">
        <v>413</v>
      </c>
      <c r="D89" s="12">
        <f>D30</f>
        <v>0.3</v>
      </c>
      <c r="E89" s="4">
        <f>$D$89*E88</f>
        <v>37.302803088133246</v>
      </c>
      <c r="F89" s="4">
        <f t="shared" ref="F89:BL89" ca="1" si="39">$D$89*F88</f>
        <v>38.368383633677581</v>
      </c>
      <c r="G89" s="4">
        <f t="shared" ca="1" si="39"/>
        <v>39.45577726383285</v>
      </c>
      <c r="H89" s="4">
        <f t="shared" ca="1" si="39"/>
        <v>40.565378296710037</v>
      </c>
      <c r="I89" s="4">
        <f t="shared" ca="1" si="39"/>
        <v>41.697585641000565</v>
      </c>
      <c r="J89" s="4">
        <f t="shared" ca="1" si="39"/>
        <v>42.852010110844667</v>
      </c>
      <c r="K89" s="4">
        <f t="shared" ca="1" si="39"/>
        <v>43.733823362457436</v>
      </c>
      <c r="L89" s="4">
        <f t="shared" ca="1" si="39"/>
        <v>44.632696395673349</v>
      </c>
      <c r="M89" s="4">
        <f t="shared" ca="1" si="39"/>
        <v>42.935426084011574</v>
      </c>
      <c r="N89" s="4">
        <f t="shared" ca="1" si="39"/>
        <v>43.877931759821493</v>
      </c>
      <c r="O89" s="4">
        <f t="shared" ca="1" si="39"/>
        <v>45.144811343250517</v>
      </c>
      <c r="P89" s="4">
        <f t="shared" ca="1" si="39"/>
        <v>46.438874879145438</v>
      </c>
      <c r="Q89" s="4">
        <f t="shared" ca="1" si="39"/>
        <v>47.760640134503888</v>
      </c>
      <c r="R89" s="4">
        <f t="shared" ca="1" si="39"/>
        <v>49.11063397027997</v>
      </c>
      <c r="S89" s="4">
        <f t="shared" ca="1" si="39"/>
        <v>50.489392805899676</v>
      </c>
      <c r="T89" s="4">
        <f t="shared" ca="1" si="39"/>
        <v>51.897462549317517</v>
      </c>
      <c r="U89" s="4">
        <f t="shared" ca="1" si="39"/>
        <v>53.335405266450159</v>
      </c>
      <c r="V89" s="4">
        <f t="shared" ca="1" si="39"/>
        <v>54.806154452707439</v>
      </c>
      <c r="W89" s="4">
        <f t="shared" ca="1" si="39"/>
        <v>54.255509438627385</v>
      </c>
      <c r="X89" s="4">
        <f t="shared" ca="1" si="39"/>
        <v>55.822372475665183</v>
      </c>
      <c r="Y89" s="4">
        <f t="shared" ca="1" si="39"/>
        <v>57.424304622048801</v>
      </c>
      <c r="Z89" s="4">
        <f t="shared" ca="1" si="39"/>
        <v>59.062009473496758</v>
      </c>
      <c r="AA89" s="4">
        <f t="shared" ca="1" si="39"/>
        <v>60.736204062900619</v>
      </c>
      <c r="AB89" s="4">
        <f t="shared" ca="1" si="39"/>
        <v>62.447618916653198</v>
      </c>
      <c r="AC89" s="4">
        <f t="shared" ca="1" si="39"/>
        <v>64.196998129273226</v>
      </c>
      <c r="AD89" s="4">
        <f t="shared" ca="1" si="39"/>
        <v>65.985100230222585</v>
      </c>
      <c r="AE89" s="4">
        <f t="shared" ca="1" si="39"/>
        <v>67.812697598119499</v>
      </c>
      <c r="AF89" s="4">
        <f t="shared" ca="1" si="39"/>
        <v>69.680577459496078</v>
      </c>
      <c r="AG89" s="4">
        <f t="shared" ca="1" si="39"/>
        <v>71.589541527510434</v>
      </c>
      <c r="AH89" s="4">
        <f t="shared" ca="1" si="39"/>
        <v>73.54040687054173</v>
      </c>
      <c r="AI89" s="4">
        <f t="shared" ca="1" si="39"/>
        <v>75.534005796964962</v>
      </c>
      <c r="AJ89" s="4">
        <f t="shared" ca="1" si="39"/>
        <v>77.571186165408676</v>
      </c>
      <c r="AK89" s="4">
        <f t="shared" ca="1" si="39"/>
        <v>79.652811776448658</v>
      </c>
      <c r="AL89" s="4">
        <f t="shared" ca="1" si="39"/>
        <v>81.779762661904329</v>
      </c>
      <c r="AM89" s="4">
        <f t="shared" ca="1" si="39"/>
        <v>83.952935170884061</v>
      </c>
      <c r="AN89" s="4">
        <f t="shared" ca="1" si="39"/>
        <v>86.173242625621711</v>
      </c>
      <c r="AO89" s="4">
        <f t="shared" ca="1" si="39"/>
        <v>88.441615385435981</v>
      </c>
      <c r="AP89" s="4">
        <f t="shared" ca="1" si="39"/>
        <v>90.758999088463852</v>
      </c>
      <c r="AQ89" s="4">
        <f t="shared" ca="1" si="39"/>
        <v>93.125650701927256</v>
      </c>
      <c r="AR89" s="4">
        <f t="shared" ca="1" si="39"/>
        <v>95.280095138714685</v>
      </c>
      <c r="AS89" s="4">
        <f t="shared" ca="1" si="39"/>
        <v>97.481638017841746</v>
      </c>
      <c r="AT89" s="4">
        <f t="shared" ca="1" si="39"/>
        <v>98.943862588109369</v>
      </c>
      <c r="AU89" s="4">
        <f t="shared" ca="1" si="39"/>
        <v>100.42802052693101</v>
      </c>
      <c r="AV89" s="4">
        <f t="shared" ca="1" si="39"/>
        <v>101.93444083483494</v>
      </c>
      <c r="AW89" s="4">
        <f t="shared" ca="1" si="39"/>
        <v>103.46345744735747</v>
      </c>
      <c r="AX89" s="4">
        <f t="shared" ca="1" si="39"/>
        <v>105.01540930906782</v>
      </c>
      <c r="AY89" s="4">
        <f t="shared" ca="1" si="39"/>
        <v>106.59064044870382</v>
      </c>
      <c r="AZ89" s="4">
        <f t="shared" ca="1" si="39"/>
        <v>108.18950005543437</v>
      </c>
      <c r="BA89" s="4">
        <f t="shared" ca="1" si="39"/>
        <v>109.81234255626588</v>
      </c>
      <c r="BB89" s="4">
        <f t="shared" ca="1" si="39"/>
        <v>111.45952769460985</v>
      </c>
      <c r="BC89" s="4">
        <f t="shared" ca="1" si="39"/>
        <v>113.13142061002898</v>
      </c>
      <c r="BD89" s="4">
        <f t="shared" ca="1" si="39"/>
        <v>114.82839191917941</v>
      </c>
      <c r="BE89" s="4">
        <f t="shared" ca="1" si="39"/>
        <v>116.55081779796708</v>
      </c>
      <c r="BF89" s="4">
        <f t="shared" ca="1" si="39"/>
        <v>118.29908006493656</v>
      </c>
      <c r="BG89" s="4">
        <f t="shared" ca="1" si="39"/>
        <v>120.07356626591061</v>
      </c>
      <c r="BH89" s="4">
        <f t="shared" ca="1" si="39"/>
        <v>121.87466975989926</v>
      </c>
      <c r="BI89" s="4">
        <f t="shared" ca="1" si="39"/>
        <v>123.70278980629774</v>
      </c>
      <c r="BJ89" s="4">
        <f t="shared" ca="1" si="39"/>
        <v>125.55833165339219</v>
      </c>
      <c r="BK89" s="4">
        <f t="shared" ca="1" si="39"/>
        <v>127.44170662819306</v>
      </c>
      <c r="BL89" s="4">
        <f t="shared" ca="1" si="39"/>
        <v>129.35333222761594</v>
      </c>
    </row>
    <row r="90" spans="1:64" x14ac:dyDescent="0.35">
      <c r="A90" s="1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</row>
    <row r="91" spans="1:64" x14ac:dyDescent="0.35">
      <c r="A91" s="1"/>
      <c r="B91" s="2" t="s">
        <v>209</v>
      </c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</row>
    <row r="92" spans="1:64" x14ac:dyDescent="0.35">
      <c r="A92" s="1"/>
      <c r="C92" s="60" t="s">
        <v>83</v>
      </c>
      <c r="D92" s="60"/>
      <c r="E92" s="61">
        <f t="array" ref="E92:BL100">sculpt_tax_function(35:35,39:39,D16,D8,D25,47:47,D27,79:79,D12,D18,D30)</f>
        <v>226.73051452636719</v>
      </c>
      <c r="F92" s="61">
        <v>226.73051452636719</v>
      </c>
      <c r="G92" s="61">
        <v>226.73051452636719</v>
      </c>
      <c r="H92" s="61">
        <v>226.73051452636719</v>
      </c>
      <c r="I92" s="61">
        <v>226.73051452636719</v>
      </c>
      <c r="J92" s="61">
        <v>226.73051452636719</v>
      </c>
      <c r="K92" s="61">
        <v>226.73051452636719</v>
      </c>
      <c r="L92" s="61">
        <v>226.73051452636719</v>
      </c>
      <c r="M92" s="61">
        <v>226.73051452636719</v>
      </c>
      <c r="N92" s="61">
        <v>226.73051452636719</v>
      </c>
      <c r="O92" s="61">
        <v>226.73051452636719</v>
      </c>
      <c r="P92" s="61">
        <v>226.73051452636719</v>
      </c>
      <c r="Q92" s="61">
        <v>226.73051452636719</v>
      </c>
      <c r="R92" s="61">
        <v>226.73051452636719</v>
      </c>
      <c r="S92" s="61">
        <v>226.73051452636719</v>
      </c>
      <c r="T92" s="61">
        <v>226.73051452636719</v>
      </c>
      <c r="U92" s="61">
        <v>226.73051452636719</v>
      </c>
      <c r="V92" s="61">
        <v>226.73051452636719</v>
      </c>
      <c r="W92" s="61">
        <v>226.73051452636719</v>
      </c>
      <c r="X92" s="61">
        <v>226.73051452636719</v>
      </c>
      <c r="Y92" s="61">
        <v>226.73051452636719</v>
      </c>
      <c r="Z92" s="61">
        <v>226.73051452636719</v>
      </c>
      <c r="AA92" s="61">
        <v>226.73051452636719</v>
      </c>
      <c r="AB92" s="61">
        <v>226.73051452636719</v>
      </c>
      <c r="AC92" s="61">
        <v>226.73051452636719</v>
      </c>
      <c r="AD92" s="61">
        <v>226.73051452636719</v>
      </c>
      <c r="AE92" s="61">
        <v>226.73051452636719</v>
      </c>
      <c r="AF92" s="61">
        <v>226.73051452636719</v>
      </c>
      <c r="AG92" s="61">
        <v>226.73051452636719</v>
      </c>
      <c r="AH92" s="61">
        <v>226.73051452636719</v>
      </c>
      <c r="AI92" s="61">
        <v>226.73051452636719</v>
      </c>
      <c r="AJ92" s="61">
        <v>226.73051452636719</v>
      </c>
      <c r="AK92" s="61">
        <v>226.73051452636719</v>
      </c>
      <c r="AL92" s="61">
        <v>226.73051452636719</v>
      </c>
      <c r="AM92" s="61">
        <v>226.73051452636719</v>
      </c>
      <c r="AN92" s="61">
        <v>226.73051452636719</v>
      </c>
      <c r="AO92" s="61">
        <v>226.73051452636719</v>
      </c>
      <c r="AP92" s="61">
        <v>226.73051452636719</v>
      </c>
      <c r="AQ92" s="61">
        <v>226.73051452636719</v>
      </c>
      <c r="AR92" s="61">
        <v>226.73051452636719</v>
      </c>
      <c r="AS92" s="61">
        <v>0</v>
      </c>
      <c r="AT92" s="61">
        <v>0</v>
      </c>
      <c r="AU92" s="61">
        <v>0</v>
      </c>
      <c r="AV92" s="61">
        <v>0</v>
      </c>
      <c r="AW92" s="61">
        <v>0</v>
      </c>
      <c r="AX92" s="61">
        <v>0</v>
      </c>
      <c r="AY92" s="61">
        <v>0</v>
      </c>
      <c r="AZ92" s="61">
        <v>0</v>
      </c>
      <c r="BA92" s="61">
        <v>0</v>
      </c>
      <c r="BB92" s="61">
        <v>0</v>
      </c>
      <c r="BC92" s="61">
        <v>0</v>
      </c>
      <c r="BD92" s="61">
        <v>0</v>
      </c>
      <c r="BE92" s="61">
        <v>0</v>
      </c>
      <c r="BF92" s="61">
        <v>0</v>
      </c>
      <c r="BG92" s="61">
        <v>0</v>
      </c>
      <c r="BH92" s="61">
        <v>0</v>
      </c>
      <c r="BI92" s="61">
        <v>0</v>
      </c>
      <c r="BJ92" s="61">
        <v>0</v>
      </c>
      <c r="BK92" s="61">
        <v>0</v>
      </c>
      <c r="BL92" s="61">
        <v>0</v>
      </c>
    </row>
    <row r="93" spans="1:64" x14ac:dyDescent="0.35">
      <c r="A93" s="1"/>
      <c r="C93" s="60" t="s">
        <v>148</v>
      </c>
      <c r="D93" s="60"/>
      <c r="E93" s="61">
        <v>1.1336525678634644</v>
      </c>
      <c r="F93" s="61">
        <v>1.1467118263244629</v>
      </c>
      <c r="G93" s="61">
        <v>1.1599215269088745</v>
      </c>
      <c r="H93" s="61">
        <v>1.1732833385467529</v>
      </c>
      <c r="I93" s="61">
        <v>1.1867918968200684</v>
      </c>
      <c r="J93" s="61">
        <v>1.1977922916412354</v>
      </c>
      <c r="K93" s="61">
        <v>1.2062631845474243</v>
      </c>
      <c r="L93" s="61">
        <v>1.2248444557189941</v>
      </c>
      <c r="M93" s="61">
        <v>1.243383526802063</v>
      </c>
      <c r="N93" s="61">
        <v>1.2545984983444214</v>
      </c>
      <c r="O93" s="61">
        <v>1.2686668634414673</v>
      </c>
      <c r="P93" s="61">
        <v>1.2828823328018188</v>
      </c>
      <c r="Q93" s="61">
        <v>1.2972464561462402</v>
      </c>
      <c r="R93" s="61">
        <v>1.3117603063583374</v>
      </c>
      <c r="S93" s="61">
        <v>1.3264254331588745</v>
      </c>
      <c r="T93" s="61">
        <v>1.3412432670593262</v>
      </c>
      <c r="U93" s="61">
        <v>1.3562365770339966</v>
      </c>
      <c r="V93" s="61">
        <v>1.3792997598648071</v>
      </c>
      <c r="W93" s="61">
        <v>1.4023593664169312</v>
      </c>
      <c r="X93" s="61">
        <v>1.417512059211731</v>
      </c>
      <c r="Y93" s="61">
        <v>1.4328018426895142</v>
      </c>
      <c r="Z93" s="61">
        <v>1.4482290744781494</v>
      </c>
      <c r="AA93" s="61">
        <v>1.4637945890426636</v>
      </c>
      <c r="AB93" s="61">
        <v>1.4794992208480835</v>
      </c>
      <c r="AC93" s="61">
        <v>1.4953429698944092</v>
      </c>
      <c r="AD93" s="61">
        <v>1.5113272666931152</v>
      </c>
      <c r="AE93" s="61">
        <v>1.5274521112442017</v>
      </c>
      <c r="AF93" s="61">
        <v>1.5437185764312744</v>
      </c>
      <c r="AG93" s="61">
        <v>1.5601266622543335</v>
      </c>
      <c r="AH93" s="61">
        <v>1.5766772031784058</v>
      </c>
      <c r="AI93" s="61">
        <v>1.5933709144592285</v>
      </c>
      <c r="AJ93" s="61">
        <v>1.6102081537246704</v>
      </c>
      <c r="AK93" s="61">
        <v>1.6271895170211792</v>
      </c>
      <c r="AL93" s="61">
        <v>1.6443154811859131</v>
      </c>
      <c r="AM93" s="61">
        <v>1.6615862846374512</v>
      </c>
      <c r="AN93" s="61">
        <v>1.6790026426315308</v>
      </c>
      <c r="AO93" s="61">
        <v>1.6965651512145996</v>
      </c>
      <c r="AP93" s="61">
        <v>1.714267373085022</v>
      </c>
      <c r="AQ93" s="61">
        <v>1.7297483682632446</v>
      </c>
      <c r="AR93" s="61">
        <v>0.86817240715026855</v>
      </c>
      <c r="AS93" s="61">
        <v>0</v>
      </c>
      <c r="AT93" s="61">
        <v>0</v>
      </c>
      <c r="AU93" s="61">
        <v>0</v>
      </c>
      <c r="AV93" s="61">
        <v>0</v>
      </c>
      <c r="AW93" s="61">
        <v>0</v>
      </c>
      <c r="AX93" s="61">
        <v>0</v>
      </c>
      <c r="AY93" s="61">
        <v>0</v>
      </c>
      <c r="AZ93" s="61">
        <v>0</v>
      </c>
      <c r="BA93" s="61">
        <v>0</v>
      </c>
      <c r="BB93" s="61">
        <v>0</v>
      </c>
      <c r="BC93" s="61">
        <v>0</v>
      </c>
      <c r="BD93" s="61">
        <v>0</v>
      </c>
      <c r="BE93" s="61">
        <v>0</v>
      </c>
      <c r="BF93" s="61">
        <v>0</v>
      </c>
      <c r="BG93" s="61">
        <v>0</v>
      </c>
      <c r="BH93" s="61">
        <v>0</v>
      </c>
      <c r="BI93" s="61">
        <v>0</v>
      </c>
      <c r="BJ93" s="61">
        <v>0</v>
      </c>
      <c r="BK93" s="61">
        <v>0</v>
      </c>
      <c r="BL93" s="61">
        <v>0</v>
      </c>
    </row>
    <row r="94" spans="1:64" x14ac:dyDescent="0.35">
      <c r="C94" s="60" t="s">
        <v>3</v>
      </c>
      <c r="D94" s="60"/>
      <c r="E94" s="61">
        <v>112.71603393554688</v>
      </c>
      <c r="F94" s="61">
        <v>114.01448059082031</v>
      </c>
      <c r="G94" s="61">
        <v>115.327880859375</v>
      </c>
      <c r="H94" s="61">
        <v>116.65641784667969</v>
      </c>
      <c r="I94" s="61">
        <v>118.00025177001953</v>
      </c>
      <c r="J94" s="61">
        <v>119.35813140869141</v>
      </c>
      <c r="K94" s="61">
        <v>120.20032501220703</v>
      </c>
      <c r="L94" s="61">
        <v>121.05231475830078</v>
      </c>
      <c r="M94" s="61">
        <v>123.91659545898438</v>
      </c>
      <c r="N94" s="61">
        <v>124.76009368896484</v>
      </c>
      <c r="O94" s="61">
        <v>126.15960693359375</v>
      </c>
      <c r="P94" s="61">
        <v>127.57376098632813</v>
      </c>
      <c r="Q94" s="61">
        <v>129.00270080566406</v>
      </c>
      <c r="R94" s="61">
        <v>130.44657897949219</v>
      </c>
      <c r="S94" s="61">
        <v>131.90548706054688</v>
      </c>
      <c r="T94" s="61">
        <v>133.37960815429688</v>
      </c>
      <c r="U94" s="61">
        <v>134.86906433105469</v>
      </c>
      <c r="V94" s="61">
        <v>136.37825012207031</v>
      </c>
      <c r="W94" s="61">
        <v>139.48170471191406</v>
      </c>
      <c r="X94" s="61">
        <v>140.99015808105469</v>
      </c>
      <c r="Y94" s="61">
        <v>142.51225280761719</v>
      </c>
      <c r="Z94" s="61">
        <v>144.048095703125</v>
      </c>
      <c r="AA94" s="61">
        <v>145.59771728515625</v>
      </c>
      <c r="AB94" s="61">
        <v>147.16120910644531</v>
      </c>
      <c r="AC94" s="61">
        <v>148.73861694335938</v>
      </c>
      <c r="AD94" s="61">
        <v>150.33000183105469</v>
      </c>
      <c r="AE94" s="61">
        <v>151.93544006347656</v>
      </c>
      <c r="AF94" s="61">
        <v>153.55499267578125</v>
      </c>
      <c r="AG94" s="61">
        <v>155.18870544433594</v>
      </c>
      <c r="AH94" s="61">
        <v>156.83662414550781</v>
      </c>
      <c r="AI94" s="61">
        <v>158.49882507324219</v>
      </c>
      <c r="AJ94" s="61">
        <v>160.17535400390625</v>
      </c>
      <c r="AK94" s="61">
        <v>161.86627197265625</v>
      </c>
      <c r="AL94" s="61">
        <v>163.57162475585938</v>
      </c>
      <c r="AM94" s="61">
        <v>165.29145812988281</v>
      </c>
      <c r="AN94" s="61">
        <v>167.02580261230469</v>
      </c>
      <c r="AO94" s="61">
        <v>168.77473449707031</v>
      </c>
      <c r="AP94" s="61">
        <v>170.53828430175781</v>
      </c>
      <c r="AQ94" s="61">
        <v>172.31520080566406</v>
      </c>
      <c r="AR94" s="61">
        <v>173.63447570800781</v>
      </c>
      <c r="AS94" s="61">
        <v>0</v>
      </c>
      <c r="AT94" s="61">
        <v>0</v>
      </c>
      <c r="AU94" s="61">
        <v>0</v>
      </c>
      <c r="AV94" s="61">
        <v>0</v>
      </c>
      <c r="AW94" s="61">
        <v>0</v>
      </c>
      <c r="AX94" s="61">
        <v>0</v>
      </c>
      <c r="AY94" s="61">
        <v>0</v>
      </c>
      <c r="AZ94" s="61">
        <v>0</v>
      </c>
      <c r="BA94" s="61">
        <v>0</v>
      </c>
      <c r="BB94" s="61">
        <v>0</v>
      </c>
      <c r="BC94" s="61">
        <v>0</v>
      </c>
      <c r="BD94" s="61">
        <v>0</v>
      </c>
      <c r="BE94" s="61">
        <v>0</v>
      </c>
      <c r="BF94" s="61">
        <v>0</v>
      </c>
      <c r="BG94" s="61">
        <v>0</v>
      </c>
      <c r="BH94" s="61">
        <v>0</v>
      </c>
      <c r="BI94" s="61">
        <v>0</v>
      </c>
      <c r="BJ94" s="61">
        <v>0</v>
      </c>
      <c r="BK94" s="61">
        <v>0</v>
      </c>
      <c r="BL94" s="61">
        <v>0</v>
      </c>
    </row>
    <row r="95" spans="1:64" x14ac:dyDescent="0.35">
      <c r="C95" s="60" t="s">
        <v>171</v>
      </c>
      <c r="D95" s="61"/>
      <c r="E95" s="61">
        <v>0</v>
      </c>
      <c r="F95" s="61">
        <v>0</v>
      </c>
      <c r="G95" s="61">
        <v>0</v>
      </c>
      <c r="H95" s="61">
        <v>0</v>
      </c>
      <c r="I95" s="61">
        <v>0</v>
      </c>
      <c r="J95" s="61">
        <v>0</v>
      </c>
      <c r="K95" s="61">
        <v>0</v>
      </c>
      <c r="L95" s="61">
        <v>0</v>
      </c>
      <c r="M95" s="61">
        <v>0</v>
      </c>
      <c r="N95" s="61">
        <v>0</v>
      </c>
      <c r="O95" s="61">
        <v>0</v>
      </c>
      <c r="P95" s="61">
        <v>0</v>
      </c>
      <c r="Q95" s="61">
        <v>0</v>
      </c>
      <c r="R95" s="61">
        <v>0</v>
      </c>
      <c r="S95" s="61">
        <v>0</v>
      </c>
      <c r="T95" s="61">
        <v>0</v>
      </c>
      <c r="U95" s="61">
        <v>0</v>
      </c>
      <c r="V95" s="61">
        <v>0</v>
      </c>
      <c r="W95" s="61">
        <v>0</v>
      </c>
      <c r="X95" s="61">
        <v>0</v>
      </c>
      <c r="Y95" s="61">
        <v>0</v>
      </c>
      <c r="Z95" s="61">
        <v>0</v>
      </c>
      <c r="AA95" s="61">
        <v>0</v>
      </c>
      <c r="AB95" s="61">
        <v>0</v>
      </c>
      <c r="AC95" s="61">
        <v>0</v>
      </c>
      <c r="AD95" s="61">
        <v>0</v>
      </c>
      <c r="AE95" s="61">
        <v>0</v>
      </c>
      <c r="AF95" s="61">
        <v>0</v>
      </c>
      <c r="AG95" s="61">
        <v>0</v>
      </c>
      <c r="AH95" s="61">
        <v>0</v>
      </c>
      <c r="AI95" s="61">
        <v>0</v>
      </c>
      <c r="AJ95" s="61">
        <v>0</v>
      </c>
      <c r="AK95" s="61">
        <v>0</v>
      </c>
      <c r="AL95" s="61">
        <v>0</v>
      </c>
      <c r="AM95" s="61">
        <v>0</v>
      </c>
      <c r="AN95" s="61">
        <v>0</v>
      </c>
      <c r="AO95" s="61">
        <v>0</v>
      </c>
      <c r="AP95" s="61">
        <v>0</v>
      </c>
      <c r="AQ95" s="61">
        <v>0</v>
      </c>
      <c r="AR95" s="61">
        <v>0</v>
      </c>
      <c r="AS95" s="61">
        <v>0</v>
      </c>
      <c r="AT95" s="61">
        <v>0</v>
      </c>
      <c r="AU95" s="61">
        <v>0</v>
      </c>
      <c r="AV95" s="61">
        <v>0</v>
      </c>
      <c r="AW95" s="61">
        <v>0</v>
      </c>
      <c r="AX95" s="61">
        <v>0</v>
      </c>
      <c r="AY95" s="61">
        <v>0</v>
      </c>
      <c r="AZ95" s="61">
        <v>0</v>
      </c>
      <c r="BA95" s="61">
        <v>0</v>
      </c>
      <c r="BB95" s="61">
        <v>0</v>
      </c>
      <c r="BC95" s="61">
        <v>0</v>
      </c>
      <c r="BD95" s="61">
        <v>0</v>
      </c>
      <c r="BE95" s="61">
        <v>0</v>
      </c>
      <c r="BF95" s="61">
        <v>0</v>
      </c>
      <c r="BG95" s="61">
        <v>0</v>
      </c>
      <c r="BH95" s="61">
        <v>0</v>
      </c>
      <c r="BI95" s="61">
        <v>0</v>
      </c>
      <c r="BJ95" s="61">
        <v>0</v>
      </c>
      <c r="BK95" s="61">
        <v>0</v>
      </c>
      <c r="BL95" s="61">
        <v>0</v>
      </c>
    </row>
    <row r="96" spans="1:64" x14ac:dyDescent="0.35">
      <c r="C96" s="60" t="s">
        <v>350</v>
      </c>
      <c r="D96" s="61"/>
      <c r="E96" s="61">
        <v>0</v>
      </c>
      <c r="F96" s="61">
        <v>0</v>
      </c>
      <c r="G96" s="61">
        <v>0</v>
      </c>
      <c r="H96" s="61">
        <v>0</v>
      </c>
      <c r="I96" s="61">
        <v>0</v>
      </c>
      <c r="J96" s="61">
        <v>0</v>
      </c>
      <c r="K96" s="61">
        <v>0</v>
      </c>
      <c r="L96" s="61">
        <v>0</v>
      </c>
      <c r="M96" s="61">
        <v>0</v>
      </c>
      <c r="N96" s="61">
        <v>0</v>
      </c>
      <c r="O96" s="61">
        <v>0</v>
      </c>
      <c r="P96" s="61">
        <v>0</v>
      </c>
      <c r="Q96" s="61">
        <v>0</v>
      </c>
      <c r="R96" s="61">
        <v>0</v>
      </c>
      <c r="S96" s="61">
        <v>0</v>
      </c>
      <c r="T96" s="61">
        <v>0</v>
      </c>
      <c r="U96" s="61">
        <v>0</v>
      </c>
      <c r="V96" s="61">
        <v>0</v>
      </c>
      <c r="W96" s="61">
        <v>0</v>
      </c>
      <c r="X96" s="61">
        <v>0</v>
      </c>
      <c r="Y96" s="61">
        <v>0</v>
      </c>
      <c r="Z96" s="61">
        <v>0</v>
      </c>
      <c r="AA96" s="61">
        <v>0</v>
      </c>
      <c r="AB96" s="61">
        <v>0</v>
      </c>
      <c r="AC96" s="61">
        <v>0</v>
      </c>
      <c r="AD96" s="61">
        <v>0</v>
      </c>
      <c r="AE96" s="61">
        <v>0</v>
      </c>
      <c r="AF96" s="61">
        <v>0</v>
      </c>
      <c r="AG96" s="61">
        <v>0</v>
      </c>
      <c r="AH96" s="61">
        <v>0</v>
      </c>
      <c r="AI96" s="61">
        <v>0</v>
      </c>
      <c r="AJ96" s="61">
        <v>0</v>
      </c>
      <c r="AK96" s="61">
        <v>0</v>
      </c>
      <c r="AL96" s="61">
        <v>0</v>
      </c>
      <c r="AM96" s="61">
        <v>0</v>
      </c>
      <c r="AN96" s="61">
        <v>0</v>
      </c>
      <c r="AO96" s="61">
        <v>0</v>
      </c>
      <c r="AP96" s="61">
        <v>0</v>
      </c>
      <c r="AQ96" s="61">
        <v>0</v>
      </c>
      <c r="AR96" s="61">
        <v>0</v>
      </c>
      <c r="AS96" s="61">
        <v>0</v>
      </c>
      <c r="AT96" s="61">
        <v>0</v>
      </c>
      <c r="AU96" s="61">
        <v>0</v>
      </c>
      <c r="AV96" s="61">
        <v>0</v>
      </c>
      <c r="AW96" s="61">
        <v>0</v>
      </c>
      <c r="AX96" s="61">
        <v>0</v>
      </c>
      <c r="AY96" s="61">
        <v>0</v>
      </c>
      <c r="AZ96" s="61">
        <v>0</v>
      </c>
      <c r="BA96" s="61">
        <v>0</v>
      </c>
      <c r="BB96" s="61">
        <v>0</v>
      </c>
      <c r="BC96" s="61">
        <v>0</v>
      </c>
      <c r="BD96" s="61">
        <v>0</v>
      </c>
      <c r="BE96" s="61">
        <v>0</v>
      </c>
      <c r="BF96" s="61">
        <v>0</v>
      </c>
      <c r="BG96" s="61">
        <v>0</v>
      </c>
      <c r="BH96" s="61">
        <v>0</v>
      </c>
      <c r="BI96" s="61">
        <v>0</v>
      </c>
      <c r="BJ96" s="61">
        <v>0</v>
      </c>
      <c r="BK96" s="61">
        <v>0</v>
      </c>
      <c r="BL96" s="61">
        <v>0</v>
      </c>
    </row>
    <row r="97" spans="1:64" x14ac:dyDescent="0.35">
      <c r="C97" s="60" t="s">
        <v>450</v>
      </c>
      <c r="D97" s="61"/>
      <c r="E97" s="61">
        <v>59.490966796875</v>
      </c>
      <c r="F97" s="61">
        <v>58.692588806152344</v>
      </c>
      <c r="G97" s="61">
        <v>57.862762451171875</v>
      </c>
      <c r="H97" s="61">
        <v>57.000785827636719</v>
      </c>
      <c r="I97" s="61">
        <v>56.105953216552734</v>
      </c>
      <c r="J97" s="61">
        <v>55.177539825439453</v>
      </c>
      <c r="K97" s="61">
        <v>54.214828491210938</v>
      </c>
      <c r="L97" s="61">
        <v>53.225048065185547</v>
      </c>
      <c r="M97" s="61">
        <v>60.908912658691406</v>
      </c>
      <c r="N97" s="61">
        <v>59.806278228759766</v>
      </c>
      <c r="O97" s="61">
        <v>58.669586181640625</v>
      </c>
      <c r="P97" s="61">
        <v>57.488513946533203</v>
      </c>
      <c r="Q97" s="61">
        <v>56.262020111083984</v>
      </c>
      <c r="R97" s="61">
        <v>54.989059448242188</v>
      </c>
      <c r="S97" s="61">
        <v>53.668552398681641</v>
      </c>
      <c r="T97" s="61">
        <v>52.299407958984375</v>
      </c>
      <c r="U97" s="61">
        <v>50.880508422851563</v>
      </c>
      <c r="V97" s="61">
        <v>49.41070556640625</v>
      </c>
      <c r="W97" s="61">
        <v>54.730030059814453</v>
      </c>
      <c r="X97" s="61">
        <v>53.034996032714844</v>
      </c>
      <c r="Y97" s="61">
        <v>51.275894165039063</v>
      </c>
      <c r="Z97" s="61">
        <v>49.451168060302734</v>
      </c>
      <c r="AA97" s="61">
        <v>47.559226989746094</v>
      </c>
      <c r="AB97" s="61">
        <v>45.598457336425781</v>
      </c>
      <c r="AC97" s="61">
        <v>43.567203521728516</v>
      </c>
      <c r="AD97" s="61">
        <v>41.463775634765625</v>
      </c>
      <c r="AE97" s="61">
        <v>39.286449432373047</v>
      </c>
      <c r="AF97" s="61">
        <v>37.033470153808594</v>
      </c>
      <c r="AG97" s="61">
        <v>34.703041076660156</v>
      </c>
      <c r="AH97" s="61">
        <v>32.293327331542969</v>
      </c>
      <c r="AI97" s="61">
        <v>29.802461624145508</v>
      </c>
      <c r="AJ97" s="61">
        <v>27.228532791137695</v>
      </c>
      <c r="AK97" s="61">
        <v>24.569597244262695</v>
      </c>
      <c r="AL97" s="61">
        <v>21.823663711547852</v>
      </c>
      <c r="AM97" s="61">
        <v>18.988706588745117</v>
      </c>
      <c r="AN97" s="61">
        <v>16.062650680541992</v>
      </c>
      <c r="AO97" s="61">
        <v>13.043388366699219</v>
      </c>
      <c r="AP97" s="61">
        <v>9.9287614822387695</v>
      </c>
      <c r="AQ97" s="61">
        <v>6.7165708541870117</v>
      </c>
      <c r="AR97" s="61">
        <v>3.4045984745025635</v>
      </c>
      <c r="AS97" s="61">
        <v>0</v>
      </c>
      <c r="AT97" s="61">
        <v>0</v>
      </c>
      <c r="AU97" s="61">
        <v>0</v>
      </c>
      <c r="AV97" s="61">
        <v>0</v>
      </c>
      <c r="AW97" s="61">
        <v>0</v>
      </c>
      <c r="AX97" s="61">
        <v>0</v>
      </c>
      <c r="AY97" s="61">
        <v>0</v>
      </c>
      <c r="AZ97" s="61">
        <v>0</v>
      </c>
      <c r="BA97" s="61">
        <v>0</v>
      </c>
      <c r="BB97" s="61">
        <v>0</v>
      </c>
      <c r="BC97" s="61">
        <v>0</v>
      </c>
      <c r="BD97" s="61">
        <v>0</v>
      </c>
      <c r="BE97" s="61">
        <v>0</v>
      </c>
      <c r="BF97" s="61">
        <v>0</v>
      </c>
      <c r="BG97" s="61">
        <v>0</v>
      </c>
      <c r="BH97" s="61">
        <v>0</v>
      </c>
      <c r="BI97" s="61">
        <v>0</v>
      </c>
      <c r="BJ97" s="61">
        <v>0</v>
      </c>
      <c r="BK97" s="61">
        <v>0</v>
      </c>
      <c r="BL97" s="61">
        <v>0</v>
      </c>
    </row>
    <row r="98" spans="1:64" x14ac:dyDescent="0.35">
      <c r="C98" s="60" t="s">
        <v>201</v>
      </c>
      <c r="D98" s="61"/>
      <c r="E98" s="61">
        <v>37.302806854248047</v>
      </c>
      <c r="F98" s="61">
        <v>38.368385314941406</v>
      </c>
      <c r="G98" s="61">
        <v>39.455780029296875</v>
      </c>
      <c r="H98" s="61">
        <v>40.565380096435547</v>
      </c>
      <c r="I98" s="61">
        <v>41.697586059570313</v>
      </c>
      <c r="J98" s="61">
        <v>42.852012634277344</v>
      </c>
      <c r="K98" s="61">
        <v>43.73382568359375</v>
      </c>
      <c r="L98" s="61">
        <v>44.632698059082031</v>
      </c>
      <c r="M98" s="61">
        <v>42.935428619384766</v>
      </c>
      <c r="N98" s="61">
        <v>43.877933502197266</v>
      </c>
      <c r="O98" s="61">
        <v>45.144813537597656</v>
      </c>
      <c r="P98" s="61">
        <v>46.438877105712891</v>
      </c>
      <c r="Q98" s="61">
        <v>47.760643005371094</v>
      </c>
      <c r="R98" s="61">
        <v>49.110633850097656</v>
      </c>
      <c r="S98" s="61">
        <v>50.489395141601563</v>
      </c>
      <c r="T98" s="61">
        <v>51.897464752197266</v>
      </c>
      <c r="U98" s="61">
        <v>53.335407257080078</v>
      </c>
      <c r="V98" s="61">
        <v>54.806156158447266</v>
      </c>
      <c r="W98" s="61">
        <v>54.255508422851563</v>
      </c>
      <c r="X98" s="61">
        <v>55.822372436523438</v>
      </c>
      <c r="Y98" s="61">
        <v>57.424304962158203</v>
      </c>
      <c r="Z98" s="61">
        <v>59.062007904052734</v>
      </c>
      <c r="AA98" s="61">
        <v>60.7362060546875</v>
      </c>
      <c r="AB98" s="61">
        <v>62.447620391845703</v>
      </c>
      <c r="AC98" s="61">
        <v>64.196998596191406</v>
      </c>
      <c r="AD98" s="61">
        <v>65.985099792480469</v>
      </c>
      <c r="AE98" s="61">
        <v>67.812698364257813</v>
      </c>
      <c r="AF98" s="61">
        <v>69.680580139160156</v>
      </c>
      <c r="AG98" s="61">
        <v>71.58953857421875</v>
      </c>
      <c r="AH98" s="61">
        <v>73.5404052734375</v>
      </c>
      <c r="AI98" s="61">
        <v>75.534004211425781</v>
      </c>
      <c r="AJ98" s="61">
        <v>77.571189880371094</v>
      </c>
      <c r="AK98" s="61">
        <v>79.652809143066406</v>
      </c>
      <c r="AL98" s="61">
        <v>81.779762268066406</v>
      </c>
      <c r="AM98" s="61">
        <v>83.952934265136719</v>
      </c>
      <c r="AN98" s="61">
        <v>86.173240661621094</v>
      </c>
      <c r="AO98" s="61">
        <v>88.441612243652344</v>
      </c>
      <c r="AP98" s="61">
        <v>90.758995056152344</v>
      </c>
      <c r="AQ98" s="61">
        <v>93.125648498535156</v>
      </c>
      <c r="AR98" s="61">
        <v>95.280097961425781</v>
      </c>
      <c r="AS98" s="61">
        <v>0</v>
      </c>
      <c r="AT98" s="61">
        <v>0</v>
      </c>
      <c r="AU98" s="61">
        <v>0</v>
      </c>
      <c r="AV98" s="61">
        <v>0</v>
      </c>
      <c r="AW98" s="61">
        <v>0</v>
      </c>
      <c r="AX98" s="61">
        <v>0</v>
      </c>
      <c r="AY98" s="61">
        <v>0</v>
      </c>
      <c r="AZ98" s="61">
        <v>0</v>
      </c>
      <c r="BA98" s="61">
        <v>0</v>
      </c>
      <c r="BB98" s="61">
        <v>0</v>
      </c>
      <c r="BC98" s="61">
        <v>0</v>
      </c>
      <c r="BD98" s="61">
        <v>0</v>
      </c>
      <c r="BE98" s="61">
        <v>0</v>
      </c>
      <c r="BF98" s="61">
        <v>0</v>
      </c>
      <c r="BG98" s="61">
        <v>0</v>
      </c>
      <c r="BH98" s="61">
        <v>0</v>
      </c>
      <c r="BI98" s="61">
        <v>0</v>
      </c>
      <c r="BJ98" s="61">
        <v>0</v>
      </c>
      <c r="BK98" s="61">
        <v>0</v>
      </c>
      <c r="BL98" s="60">
        <v>0</v>
      </c>
    </row>
    <row r="99" spans="1:64" x14ac:dyDescent="0.35">
      <c r="A99" s="1"/>
      <c r="C99" s="60" t="s">
        <v>451</v>
      </c>
      <c r="D99" s="60"/>
      <c r="E99" s="61">
        <v>3966.06494140625</v>
      </c>
      <c r="F99" s="61">
        <v>3966.06494140625</v>
      </c>
      <c r="G99" s="61">
        <v>3966.06494140625</v>
      </c>
      <c r="H99" s="61">
        <v>3966.06494140625</v>
      </c>
      <c r="I99" s="61">
        <v>3966.06494140625</v>
      </c>
      <c r="J99" s="61">
        <v>3966.06494140625</v>
      </c>
      <c r="K99" s="61">
        <v>3966.06494140625</v>
      </c>
      <c r="L99" s="61">
        <v>3966.06494140625</v>
      </c>
      <c r="M99" s="61">
        <v>3966.06494140625</v>
      </c>
      <c r="N99" s="61">
        <v>3966.06494140625</v>
      </c>
      <c r="O99" s="61">
        <v>3966.06494140625</v>
      </c>
      <c r="P99" s="61">
        <v>3966.06494140625</v>
      </c>
      <c r="Q99" s="61">
        <v>3966.06494140625</v>
      </c>
      <c r="R99" s="61">
        <v>3966.06494140625</v>
      </c>
      <c r="S99" s="61">
        <v>3966.06494140625</v>
      </c>
      <c r="T99" s="61">
        <v>3966.06494140625</v>
      </c>
      <c r="U99" s="61">
        <v>3966.06494140625</v>
      </c>
      <c r="V99" s="61">
        <v>3966.06494140625</v>
      </c>
      <c r="W99" s="61">
        <v>3966.06494140625</v>
      </c>
      <c r="X99" s="61">
        <v>3966.06494140625</v>
      </c>
      <c r="Y99" s="61">
        <v>3966.06494140625</v>
      </c>
      <c r="Z99" s="61">
        <v>3966.06494140625</v>
      </c>
      <c r="AA99" s="61">
        <v>3966.06494140625</v>
      </c>
      <c r="AB99" s="61">
        <v>3966.06494140625</v>
      </c>
      <c r="AC99" s="61">
        <v>3966.06494140625</v>
      </c>
      <c r="AD99" s="61">
        <v>3966.06494140625</v>
      </c>
      <c r="AE99" s="61">
        <v>3966.06494140625</v>
      </c>
      <c r="AF99" s="61">
        <v>3966.06494140625</v>
      </c>
      <c r="AG99" s="61">
        <v>3966.06494140625</v>
      </c>
      <c r="AH99" s="61">
        <v>3966.06494140625</v>
      </c>
      <c r="AI99" s="61">
        <v>3966.06494140625</v>
      </c>
      <c r="AJ99" s="61">
        <v>3966.06494140625</v>
      </c>
      <c r="AK99" s="61">
        <v>3966.06494140625</v>
      </c>
      <c r="AL99" s="61">
        <v>3966.06494140625</v>
      </c>
      <c r="AM99" s="61">
        <v>3966.06494140625</v>
      </c>
      <c r="AN99" s="61">
        <v>3966.06494140625</v>
      </c>
      <c r="AO99" s="61">
        <v>3966.06494140625</v>
      </c>
      <c r="AP99" s="61">
        <v>3966.06494140625</v>
      </c>
      <c r="AQ99" s="61">
        <v>3966.06494140625</v>
      </c>
      <c r="AR99" s="61">
        <v>3966.06494140625</v>
      </c>
      <c r="AS99" s="61">
        <v>0</v>
      </c>
      <c r="AT99" s="61">
        <v>0</v>
      </c>
      <c r="AU99" s="61">
        <v>0</v>
      </c>
      <c r="AV99" s="61">
        <v>0</v>
      </c>
      <c r="AW99" s="61">
        <v>0</v>
      </c>
      <c r="AX99" s="61">
        <v>0</v>
      </c>
      <c r="AY99" s="61">
        <v>0</v>
      </c>
      <c r="AZ99" s="61">
        <v>0</v>
      </c>
      <c r="BA99" s="61">
        <v>0</v>
      </c>
      <c r="BB99" s="61">
        <v>0</v>
      </c>
      <c r="BC99" s="61">
        <v>0</v>
      </c>
      <c r="BD99" s="61">
        <v>0</v>
      </c>
      <c r="BE99" s="61">
        <v>0</v>
      </c>
      <c r="BF99" s="61">
        <v>0</v>
      </c>
      <c r="BG99" s="61">
        <v>0</v>
      </c>
      <c r="BH99" s="61">
        <v>0</v>
      </c>
      <c r="BI99" s="61">
        <v>0</v>
      </c>
      <c r="BJ99" s="61">
        <v>0</v>
      </c>
      <c r="BK99" s="61">
        <v>0</v>
      </c>
      <c r="BL99" s="61">
        <v>0</v>
      </c>
    </row>
    <row r="100" spans="1:64" x14ac:dyDescent="0.35">
      <c r="A100" s="1"/>
      <c r="C100" s="60" t="s">
        <v>452</v>
      </c>
      <c r="D100" s="60"/>
      <c r="E100" s="61">
        <v>1.3</v>
      </c>
      <c r="F100" s="61">
        <v>1.3</v>
      </c>
      <c r="G100" s="61">
        <v>1.3</v>
      </c>
      <c r="H100" s="61">
        <v>1.3</v>
      </c>
      <c r="I100" s="61">
        <v>1.3</v>
      </c>
      <c r="J100" s="61">
        <v>1.3</v>
      </c>
      <c r="K100" s="61">
        <v>1.3</v>
      </c>
      <c r="L100" s="61">
        <v>1.3</v>
      </c>
      <c r="M100" s="61">
        <v>1.3</v>
      </c>
      <c r="N100" s="61">
        <v>1.3</v>
      </c>
      <c r="O100" s="61">
        <v>1.3</v>
      </c>
      <c r="P100" s="61">
        <v>1.3</v>
      </c>
      <c r="Q100" s="61">
        <v>1.3</v>
      </c>
      <c r="R100" s="61">
        <v>1.3</v>
      </c>
      <c r="S100" s="61">
        <v>1.3</v>
      </c>
      <c r="T100" s="61">
        <v>1.3</v>
      </c>
      <c r="U100" s="61">
        <v>1.3</v>
      </c>
      <c r="V100" s="61">
        <v>1.3</v>
      </c>
      <c r="W100" s="61">
        <v>1.3</v>
      </c>
      <c r="X100" s="61">
        <v>1.3</v>
      </c>
      <c r="Y100" s="61">
        <v>1.3</v>
      </c>
      <c r="Z100" s="61">
        <v>1.3</v>
      </c>
      <c r="AA100" s="61">
        <v>1.3</v>
      </c>
      <c r="AB100" s="61">
        <v>1.3</v>
      </c>
      <c r="AC100" s="61">
        <v>1.3</v>
      </c>
      <c r="AD100" s="61">
        <v>1.3</v>
      </c>
      <c r="AE100" s="61">
        <v>1.3</v>
      </c>
      <c r="AF100" s="61">
        <v>1.3</v>
      </c>
      <c r="AG100" s="61">
        <v>1.3</v>
      </c>
      <c r="AH100" s="61">
        <v>1.3</v>
      </c>
      <c r="AI100" s="61">
        <v>1.3</v>
      </c>
      <c r="AJ100" s="61">
        <v>1.3</v>
      </c>
      <c r="AK100" s="61">
        <v>1.3</v>
      </c>
      <c r="AL100" s="61">
        <v>1.3</v>
      </c>
      <c r="AM100" s="61">
        <v>1.3</v>
      </c>
      <c r="AN100" s="61">
        <v>1.3</v>
      </c>
      <c r="AO100" s="61">
        <v>1.3</v>
      </c>
      <c r="AP100" s="61">
        <v>1.3</v>
      </c>
      <c r="AQ100" s="61">
        <v>1.3</v>
      </c>
      <c r="AR100" s="61">
        <v>1.3</v>
      </c>
      <c r="AS100" s="61">
        <v>0</v>
      </c>
      <c r="AT100" s="61">
        <v>0</v>
      </c>
      <c r="AU100" s="61">
        <v>0</v>
      </c>
      <c r="AV100" s="61">
        <v>0</v>
      </c>
      <c r="AW100" s="61">
        <v>0</v>
      </c>
      <c r="AX100" s="61">
        <v>0</v>
      </c>
      <c r="AY100" s="61">
        <v>0</v>
      </c>
      <c r="AZ100" s="61">
        <v>0</v>
      </c>
      <c r="BA100" s="61">
        <v>0</v>
      </c>
      <c r="BB100" s="61">
        <v>0</v>
      </c>
      <c r="BC100" s="61">
        <v>0</v>
      </c>
      <c r="BD100" s="61">
        <v>0</v>
      </c>
      <c r="BE100" s="61">
        <v>0</v>
      </c>
      <c r="BF100" s="61">
        <v>0</v>
      </c>
      <c r="BG100" s="61">
        <v>0</v>
      </c>
      <c r="BH100" s="61">
        <v>0</v>
      </c>
      <c r="BI100" s="61">
        <v>0</v>
      </c>
      <c r="BJ100" s="61">
        <v>0</v>
      </c>
      <c r="BK100" s="61">
        <v>0</v>
      </c>
      <c r="BL100" s="61">
        <v>0</v>
      </c>
    </row>
    <row r="101" spans="1:64" x14ac:dyDescent="0.35">
      <c r="A101" s="1"/>
    </row>
    <row r="102" spans="1:64" x14ac:dyDescent="0.35">
      <c r="A102" s="1"/>
      <c r="B102" s="2" t="s">
        <v>434</v>
      </c>
    </row>
    <row r="103" spans="1:64" x14ac:dyDescent="0.35">
      <c r="A103" s="1"/>
      <c r="C103" s="2" t="s">
        <v>416</v>
      </c>
      <c r="E103" s="4">
        <f ca="1">E93-E80</f>
        <v>-1.761729873095419E-8</v>
      </c>
      <c r="F103" s="4">
        <f t="shared" ref="F103:BL103" ca="1" si="40">F93-F80</f>
        <v>-2.5562869598871885E-9</v>
      </c>
      <c r="G103" s="4">
        <f t="shared" ca="1" si="40"/>
        <v>2.1708016717525425E-8</v>
      </c>
      <c r="H103" s="4">
        <f t="shared" ca="1" si="40"/>
        <v>-3.3418943168328497E-9</v>
      </c>
      <c r="I103" s="4">
        <f t="shared" ca="1" si="40"/>
        <v>-2.0394557154190807E-9</v>
      </c>
      <c r="J103" s="4">
        <f t="shared" ca="1" si="40"/>
        <v>2.2207524930095701E-8</v>
      </c>
      <c r="K103" s="4">
        <f t="shared" ca="1" si="40"/>
        <v>-2.5148661375595793E-8</v>
      </c>
      <c r="L103" s="4">
        <f t="shared" ca="1" si="40"/>
        <v>-1.2287208206451794E-7</v>
      </c>
      <c r="M103" s="4">
        <f t="shared" ca="1" si="40"/>
        <v>5.0169423726487139E-8</v>
      </c>
      <c r="N103" s="4">
        <f t="shared" ca="1" si="40"/>
        <v>-3.516238411549466E-9</v>
      </c>
      <c r="O103" s="4">
        <f t="shared" ca="1" si="40"/>
        <v>2.8452467271122828E-8</v>
      </c>
      <c r="P103" s="4">
        <f t="shared" ca="1" si="40"/>
        <v>-1.3352928762699889E-8</v>
      </c>
      <c r="Q103" s="4">
        <f t="shared" ca="1" si="40"/>
        <v>5.9033772537020468E-8</v>
      </c>
      <c r="R103" s="4">
        <f t="shared" ca="1" si="40"/>
        <v>-2.0911496756426118E-8</v>
      </c>
      <c r="S103" s="4">
        <f t="shared" ca="1" si="40"/>
        <v>-6.7125330405204409E-8</v>
      </c>
      <c r="T103" s="4">
        <f t="shared" ca="1" si="40"/>
        <v>-1.0379183534858782E-7</v>
      </c>
      <c r="U103" s="4">
        <f t="shared" ca="1" si="40"/>
        <v>-4.4260829223929932E-8</v>
      </c>
      <c r="V103" s="4">
        <f t="shared" ca="1" si="40"/>
        <v>-7.2402482675926194E-8</v>
      </c>
      <c r="W103" s="4">
        <f t="shared" ca="1" si="40"/>
        <v>5.1653724408851076E-8</v>
      </c>
      <c r="X103" s="4">
        <f t="shared" ca="1" si="40"/>
        <v>-1.4805508596893446E-8</v>
      </c>
      <c r="Y103" s="4">
        <f t="shared" ca="1" si="40"/>
        <v>6.0638213339458957E-8</v>
      </c>
      <c r="Z103" s="4">
        <f t="shared" ca="1" si="40"/>
        <v>-6.9310730488325589E-9</v>
      </c>
      <c r="AA103" s="4">
        <f t="shared" ca="1" si="40"/>
        <v>-4.5945409476999544E-8</v>
      </c>
      <c r="AB103" s="4">
        <f t="shared" ca="1" si="40"/>
        <v>1.1314712256016435E-7</v>
      </c>
      <c r="AC103" s="4">
        <f t="shared" ca="1" si="40"/>
        <v>-1.447957955758028E-7</v>
      </c>
      <c r="AD103" s="4">
        <f t="shared" ca="1" si="40"/>
        <v>2.2226933626967593E-9</v>
      </c>
      <c r="AE103" s="4">
        <f t="shared" ca="1" si="40"/>
        <v>-4.7749970644161976E-8</v>
      </c>
      <c r="AF103" s="4">
        <f t="shared" ca="1" si="40"/>
        <v>1.5059724667310093E-7</v>
      </c>
      <c r="AG103" s="4">
        <f t="shared" ca="1" si="40"/>
        <v>4.6207448534119067E-8</v>
      </c>
      <c r="AH103" s="4">
        <f t="shared" ca="1" si="40"/>
        <v>-6.485814818546487E-8</v>
      </c>
      <c r="AI103" s="4">
        <f t="shared" ca="1" si="40"/>
        <v>-1.9382955018798498E-8</v>
      </c>
      <c r="AJ103" s="4">
        <f t="shared" ca="1" si="40"/>
        <v>-2.8341589741742723E-8</v>
      </c>
      <c r="AK103" s="4">
        <f t="shared" ca="1" si="40"/>
        <v>4.6852470791947098E-9</v>
      </c>
      <c r="AL103" s="4">
        <f t="shared" ca="1" si="40"/>
        <v>9.6773634883362547E-8</v>
      </c>
      <c r="AM103" s="4">
        <f t="shared" ca="1" si="40"/>
        <v>-2.5500247691212508E-8</v>
      </c>
      <c r="AN103" s="4">
        <f t="shared" ca="1" si="40"/>
        <v>-9.5535363620058433E-8</v>
      </c>
      <c r="AO103" s="4">
        <f t="shared" ca="1" si="40"/>
        <v>6.5772918889095422E-8</v>
      </c>
      <c r="AP103" s="4">
        <f t="shared" ca="1" si="40"/>
        <v>-1.0114431514551825E-8</v>
      </c>
      <c r="AQ103" s="4">
        <f t="shared" ca="1" si="40"/>
        <v>6.8312151491056738E-9</v>
      </c>
      <c r="AR103" s="4">
        <f t="shared" ca="1" si="40"/>
        <v>3.5209319904083713E-8</v>
      </c>
      <c r="AS103" s="4">
        <f t="shared" ca="1" si="40"/>
        <v>0</v>
      </c>
      <c r="AT103" s="4">
        <f t="shared" ca="1" si="40"/>
        <v>0</v>
      </c>
      <c r="AU103" s="4">
        <f t="shared" ca="1" si="40"/>
        <v>0</v>
      </c>
      <c r="AV103" s="4">
        <f t="shared" ca="1" si="40"/>
        <v>0</v>
      </c>
      <c r="AW103" s="4">
        <f t="shared" ca="1" si="40"/>
        <v>0</v>
      </c>
      <c r="AX103" s="4">
        <f t="shared" ca="1" si="40"/>
        <v>0</v>
      </c>
      <c r="AY103" s="4">
        <f t="shared" ca="1" si="40"/>
        <v>0</v>
      </c>
      <c r="AZ103" s="4">
        <f t="shared" ca="1" si="40"/>
        <v>0</v>
      </c>
      <c r="BA103" s="4">
        <f t="shared" ca="1" si="40"/>
        <v>0</v>
      </c>
      <c r="BB103" s="4">
        <f t="shared" ca="1" si="40"/>
        <v>0</v>
      </c>
      <c r="BC103" s="4">
        <f t="shared" ca="1" si="40"/>
        <v>0</v>
      </c>
      <c r="BD103" s="4">
        <f t="shared" ca="1" si="40"/>
        <v>0</v>
      </c>
      <c r="BE103" s="4">
        <f t="shared" ca="1" si="40"/>
        <v>0</v>
      </c>
      <c r="BF103" s="4">
        <f t="shared" ca="1" si="40"/>
        <v>0</v>
      </c>
      <c r="BG103" s="4">
        <f t="shared" ca="1" si="40"/>
        <v>0</v>
      </c>
      <c r="BH103" s="4">
        <f t="shared" ca="1" si="40"/>
        <v>0</v>
      </c>
      <c r="BI103" s="4">
        <f t="shared" ca="1" si="40"/>
        <v>0</v>
      </c>
      <c r="BJ103" s="4">
        <f t="shared" ca="1" si="40"/>
        <v>0</v>
      </c>
      <c r="BK103" s="4">
        <f t="shared" ca="1" si="40"/>
        <v>0</v>
      </c>
      <c r="BL103" s="4">
        <f t="shared" ca="1" si="40"/>
        <v>0</v>
      </c>
    </row>
    <row r="104" spans="1:64" x14ac:dyDescent="0.35">
      <c r="A104" s="1"/>
      <c r="C104" s="2" t="s">
        <v>417</v>
      </c>
      <c r="E104" s="4">
        <f>E94-E59</f>
        <v>-1.2287726605109128E-6</v>
      </c>
      <c r="F104" s="4">
        <f t="shared" ref="F104:BL104" si="41">F94-F59</f>
        <v>-1.3410127763791024E-6</v>
      </c>
      <c r="G104" s="4">
        <f t="shared" si="41"/>
        <v>-2.9849418723415511E-6</v>
      </c>
      <c r="H104" s="4">
        <f t="shared" si="41"/>
        <v>6.5082498679203127E-7</v>
      </c>
      <c r="I104" s="4">
        <f t="shared" si="41"/>
        <v>5.881448004174672E-7</v>
      </c>
      <c r="J104" s="4">
        <f t="shared" si="41"/>
        <v>2.8186613434399987E-6</v>
      </c>
      <c r="K104" s="4">
        <f t="shared" si="41"/>
        <v>-2.8450499200971535E-7</v>
      </c>
      <c r="L104" s="4">
        <f t="shared" si="41"/>
        <v>-1.8842043232325523E-6</v>
      </c>
      <c r="M104" s="4">
        <f t="shared" si="41"/>
        <v>-3.6167257491115379E-6</v>
      </c>
      <c r="N104" s="4">
        <f t="shared" si="41"/>
        <v>-2.5618529093662801E-6</v>
      </c>
      <c r="O104" s="4">
        <f t="shared" si="41"/>
        <v>2.8122795612262053E-6</v>
      </c>
      <c r="P104" s="4">
        <f t="shared" si="41"/>
        <v>-1.8901576623875371E-6</v>
      </c>
      <c r="Q104" s="4">
        <f t="shared" si="41"/>
        <v>-5.5487996633019065E-6</v>
      </c>
      <c r="R104" s="4">
        <f t="shared" si="41"/>
        <v>5.9114623525147181E-6</v>
      </c>
      <c r="S104" s="4">
        <f t="shared" si="41"/>
        <v>-5.3253901057814801E-6</v>
      </c>
      <c r="T104" s="4">
        <f t="shared" si="41"/>
        <v>4.8339285285692313E-7</v>
      </c>
      <c r="U104" s="4">
        <f t="shared" si="41"/>
        <v>-2.1682735678041354E-6</v>
      </c>
      <c r="V104" s="4">
        <f t="shared" si="41"/>
        <v>-7.6375665685191052E-6</v>
      </c>
      <c r="W104" s="4">
        <f t="shared" si="41"/>
        <v>-3.9819070138946699E-6</v>
      </c>
      <c r="X104" s="4">
        <f t="shared" si="41"/>
        <v>3.8222344471705583E-6</v>
      </c>
      <c r="Y104" s="4">
        <f t="shared" si="41"/>
        <v>-7.7370104634155723E-6</v>
      </c>
      <c r="Z104" s="4">
        <f t="shared" si="41"/>
        <v>-1.6250754697466618E-7</v>
      </c>
      <c r="AA104" s="4">
        <f t="shared" si="41"/>
        <v>-3.1310556778407772E-6</v>
      </c>
      <c r="AB104" s="4">
        <f t="shared" si="41"/>
        <v>2.5250426176626206E-6</v>
      </c>
      <c r="AC104" s="4">
        <f t="shared" si="41"/>
        <v>1.9845698489007191E-6</v>
      </c>
      <c r="AD104" s="4">
        <f t="shared" si="41"/>
        <v>-6.1481967463805631E-6</v>
      </c>
      <c r="AE104" s="4">
        <f t="shared" si="41"/>
        <v>-4.8513563797314418E-6</v>
      </c>
      <c r="AF104" s="4">
        <f t="shared" si="41"/>
        <v>5.7917797562367923E-6</v>
      </c>
      <c r="AG104" s="4">
        <f t="shared" si="41"/>
        <v>7.1615318404383288E-6</v>
      </c>
      <c r="AH104" s="4">
        <f t="shared" si="41"/>
        <v>-7.8106506862241076E-7</v>
      </c>
      <c r="AI104" s="4">
        <f t="shared" si="41"/>
        <v>-3.60749575634145E-6</v>
      </c>
      <c r="AJ104" s="4">
        <f t="shared" si="41"/>
        <v>-4.0837924757397559E-6</v>
      </c>
      <c r="AK104" s="4">
        <f t="shared" si="41"/>
        <v>-6.3528970883908187E-6</v>
      </c>
      <c r="AL104" s="4">
        <f t="shared" si="41"/>
        <v>6.1422628050422645E-7</v>
      </c>
      <c r="AM104" s="4">
        <f t="shared" si="41"/>
        <v>5.3890603055606334E-6</v>
      </c>
      <c r="AN104" s="4">
        <f t="shared" si="41"/>
        <v>-6.674412588836276E-6</v>
      </c>
      <c r="AO104" s="4">
        <f t="shared" si="41"/>
        <v>-3.8495912804137333E-6</v>
      </c>
      <c r="AP104" s="4">
        <f t="shared" si="41"/>
        <v>5.5600832524760335E-6</v>
      </c>
      <c r="AQ104" s="4">
        <f t="shared" si="41"/>
        <v>2.9074479357404925E-6</v>
      </c>
      <c r="AR104" s="4">
        <f t="shared" si="41"/>
        <v>1.3198180965900974E-6</v>
      </c>
      <c r="AS104" s="4">
        <f t="shared" si="41"/>
        <v>0</v>
      </c>
      <c r="AT104" s="4">
        <f t="shared" si="41"/>
        <v>0</v>
      </c>
      <c r="AU104" s="4">
        <f t="shared" si="41"/>
        <v>0</v>
      </c>
      <c r="AV104" s="4">
        <f t="shared" si="41"/>
        <v>0</v>
      </c>
      <c r="AW104" s="4">
        <f t="shared" si="41"/>
        <v>0</v>
      </c>
      <c r="AX104" s="4">
        <f t="shared" si="41"/>
        <v>0</v>
      </c>
      <c r="AY104" s="4">
        <f t="shared" si="41"/>
        <v>0</v>
      </c>
      <c r="AZ104" s="4">
        <f t="shared" si="41"/>
        <v>0</v>
      </c>
      <c r="BA104" s="4">
        <f t="shared" si="41"/>
        <v>0</v>
      </c>
      <c r="BB104" s="4">
        <f t="shared" si="41"/>
        <v>0</v>
      </c>
      <c r="BC104" s="4">
        <f t="shared" si="41"/>
        <v>0</v>
      </c>
      <c r="BD104" s="4">
        <f t="shared" si="41"/>
        <v>0</v>
      </c>
      <c r="BE104" s="4">
        <f t="shared" si="41"/>
        <v>0</v>
      </c>
      <c r="BF104" s="4">
        <f t="shared" si="41"/>
        <v>0</v>
      </c>
      <c r="BG104" s="4">
        <f t="shared" si="41"/>
        <v>0</v>
      </c>
      <c r="BH104" s="4">
        <f t="shared" si="41"/>
        <v>0</v>
      </c>
      <c r="BI104" s="4">
        <f t="shared" si="41"/>
        <v>0</v>
      </c>
      <c r="BJ104" s="4">
        <f t="shared" si="41"/>
        <v>0</v>
      </c>
      <c r="BK104" s="4">
        <f t="shared" si="41"/>
        <v>0</v>
      </c>
      <c r="BL104" s="4">
        <f t="shared" si="41"/>
        <v>0</v>
      </c>
    </row>
    <row r="105" spans="1:64" x14ac:dyDescent="0.35">
      <c r="A105" s="1"/>
      <c r="C105" s="2" t="s">
        <v>418</v>
      </c>
      <c r="E105" s="4">
        <f ca="1">E95-E77</f>
        <v>0</v>
      </c>
      <c r="F105" s="4">
        <f t="shared" ref="F105:BL105" ca="1" si="42">F95-F77</f>
        <v>0</v>
      </c>
      <c r="G105" s="4">
        <f t="shared" ca="1" si="42"/>
        <v>0</v>
      </c>
      <c r="H105" s="4">
        <f t="shared" ca="1" si="42"/>
        <v>0</v>
      </c>
      <c r="I105" s="4">
        <f t="shared" ca="1" si="42"/>
        <v>0</v>
      </c>
      <c r="J105" s="4">
        <f t="shared" ca="1" si="42"/>
        <v>0</v>
      </c>
      <c r="K105" s="4">
        <f t="shared" ca="1" si="42"/>
        <v>0</v>
      </c>
      <c r="L105" s="4">
        <f t="shared" ca="1" si="42"/>
        <v>0</v>
      </c>
      <c r="M105" s="4">
        <f t="shared" ca="1" si="42"/>
        <v>0</v>
      </c>
      <c r="N105" s="4">
        <f t="shared" ca="1" si="42"/>
        <v>0</v>
      </c>
      <c r="O105" s="4">
        <f t="shared" ca="1" si="42"/>
        <v>0</v>
      </c>
      <c r="P105" s="4">
        <f t="shared" ca="1" si="42"/>
        <v>0</v>
      </c>
      <c r="Q105" s="4">
        <f t="shared" ca="1" si="42"/>
        <v>0</v>
      </c>
      <c r="R105" s="4">
        <f t="shared" ca="1" si="42"/>
        <v>0</v>
      </c>
      <c r="S105" s="4">
        <f t="shared" ca="1" si="42"/>
        <v>0</v>
      </c>
      <c r="T105" s="4">
        <f t="shared" ca="1" si="42"/>
        <v>0</v>
      </c>
      <c r="U105" s="4">
        <f t="shared" ca="1" si="42"/>
        <v>0</v>
      </c>
      <c r="V105" s="4">
        <f t="shared" ca="1" si="42"/>
        <v>0</v>
      </c>
      <c r="W105" s="4">
        <f t="shared" ca="1" si="42"/>
        <v>0</v>
      </c>
      <c r="X105" s="4">
        <f t="shared" ca="1" si="42"/>
        <v>0</v>
      </c>
      <c r="Y105" s="4">
        <f t="shared" ca="1" si="42"/>
        <v>0</v>
      </c>
      <c r="Z105" s="4">
        <f t="shared" ca="1" si="42"/>
        <v>0</v>
      </c>
      <c r="AA105" s="4">
        <f t="shared" ca="1" si="42"/>
        <v>0</v>
      </c>
      <c r="AB105" s="4">
        <f t="shared" ca="1" si="42"/>
        <v>0</v>
      </c>
      <c r="AC105" s="4">
        <f t="shared" ca="1" si="42"/>
        <v>0</v>
      </c>
      <c r="AD105" s="4">
        <f t="shared" ca="1" si="42"/>
        <v>0</v>
      </c>
      <c r="AE105" s="4">
        <f t="shared" ca="1" si="42"/>
        <v>0</v>
      </c>
      <c r="AF105" s="4">
        <f t="shared" ca="1" si="42"/>
        <v>0</v>
      </c>
      <c r="AG105" s="4">
        <f t="shared" ca="1" si="42"/>
        <v>0</v>
      </c>
      <c r="AH105" s="4">
        <f t="shared" ca="1" si="42"/>
        <v>0</v>
      </c>
      <c r="AI105" s="4">
        <f t="shared" ca="1" si="42"/>
        <v>0</v>
      </c>
      <c r="AJ105" s="4">
        <f t="shared" ca="1" si="42"/>
        <v>0</v>
      </c>
      <c r="AK105" s="4">
        <f t="shared" ca="1" si="42"/>
        <v>0</v>
      </c>
      <c r="AL105" s="4">
        <f t="shared" ca="1" si="42"/>
        <v>0</v>
      </c>
      <c r="AM105" s="4">
        <f t="shared" ca="1" si="42"/>
        <v>0</v>
      </c>
      <c r="AN105" s="4">
        <f t="shared" ca="1" si="42"/>
        <v>0</v>
      </c>
      <c r="AO105" s="4">
        <f t="shared" ca="1" si="42"/>
        <v>0</v>
      </c>
      <c r="AP105" s="4">
        <f t="shared" ca="1" si="42"/>
        <v>0</v>
      </c>
      <c r="AQ105" s="4">
        <f t="shared" ca="1" si="42"/>
        <v>0</v>
      </c>
      <c r="AR105" s="4">
        <f t="shared" ca="1" si="42"/>
        <v>0</v>
      </c>
      <c r="AS105" s="4">
        <f t="shared" ca="1" si="42"/>
        <v>0</v>
      </c>
      <c r="AT105" s="4">
        <f t="shared" ca="1" si="42"/>
        <v>0</v>
      </c>
      <c r="AU105" s="4">
        <f t="shared" ca="1" si="42"/>
        <v>0</v>
      </c>
      <c r="AV105" s="4">
        <f t="shared" ca="1" si="42"/>
        <v>0</v>
      </c>
      <c r="AW105" s="4">
        <f t="shared" ca="1" si="42"/>
        <v>0</v>
      </c>
      <c r="AX105" s="4">
        <f t="shared" ca="1" si="42"/>
        <v>0</v>
      </c>
      <c r="AY105" s="4">
        <f t="shared" ca="1" si="42"/>
        <v>0</v>
      </c>
      <c r="AZ105" s="4">
        <f t="shared" ca="1" si="42"/>
        <v>0</v>
      </c>
      <c r="BA105" s="4">
        <f t="shared" ca="1" si="42"/>
        <v>0</v>
      </c>
      <c r="BB105" s="4">
        <f t="shared" ca="1" si="42"/>
        <v>0</v>
      </c>
      <c r="BC105" s="4">
        <f t="shared" ca="1" si="42"/>
        <v>0</v>
      </c>
      <c r="BD105" s="4">
        <f t="shared" ca="1" si="42"/>
        <v>0</v>
      </c>
      <c r="BE105" s="4">
        <f t="shared" ca="1" si="42"/>
        <v>0</v>
      </c>
      <c r="BF105" s="4">
        <f t="shared" ca="1" si="42"/>
        <v>0</v>
      </c>
      <c r="BG105" s="4">
        <f t="shared" ca="1" si="42"/>
        <v>0</v>
      </c>
      <c r="BH105" s="4">
        <f t="shared" ca="1" si="42"/>
        <v>0</v>
      </c>
      <c r="BI105" s="4">
        <f t="shared" ca="1" si="42"/>
        <v>0</v>
      </c>
      <c r="BJ105" s="4">
        <f t="shared" ca="1" si="42"/>
        <v>0</v>
      </c>
      <c r="BK105" s="4">
        <f t="shared" ca="1" si="42"/>
        <v>0</v>
      </c>
      <c r="BL105" s="4">
        <f t="shared" ca="1" si="42"/>
        <v>0</v>
      </c>
    </row>
    <row r="106" spans="1:64" x14ac:dyDescent="0.35">
      <c r="A106" s="1"/>
      <c r="C106" s="2" t="s">
        <v>419</v>
      </c>
      <c r="E106" s="4">
        <f>E89-E98</f>
        <v>-3.7661148013512502E-6</v>
      </c>
      <c r="F106" s="4">
        <f t="shared" ref="F106:BL106" ca="1" si="43">F89-F98</f>
        <v>-1.6812638250485179E-6</v>
      </c>
      <c r="G106" s="4">
        <f t="shared" ca="1" si="43"/>
        <v>-2.7654640248897522E-6</v>
      </c>
      <c r="H106" s="4">
        <f t="shared" ca="1" si="43"/>
        <v>-1.7997255099544418E-6</v>
      </c>
      <c r="I106" s="4">
        <f t="shared" ca="1" si="43"/>
        <v>-4.1856974775100753E-7</v>
      </c>
      <c r="J106" s="4">
        <f t="shared" ca="1" si="43"/>
        <v>-2.5234326770373627E-6</v>
      </c>
      <c r="K106" s="4">
        <f t="shared" ca="1" si="43"/>
        <v>-2.3211363142650043E-6</v>
      </c>
      <c r="L106" s="4">
        <f t="shared" ca="1" si="43"/>
        <v>-1.6634086819067306E-6</v>
      </c>
      <c r="M106" s="4">
        <f t="shared" ca="1" si="43"/>
        <v>-2.5353731913924094E-6</v>
      </c>
      <c r="N106" s="4">
        <f t="shared" ca="1" si="43"/>
        <v>-1.7423757725509859E-6</v>
      </c>
      <c r="O106" s="4">
        <f t="shared" ca="1" si="43"/>
        <v>-2.1943471395502456E-6</v>
      </c>
      <c r="P106" s="4">
        <f t="shared" ca="1" si="43"/>
        <v>-2.2265674530785873E-6</v>
      </c>
      <c r="Q106" s="4">
        <f t="shared" ca="1" si="43"/>
        <v>-2.8708672061839025E-6</v>
      </c>
      <c r="R106" s="4">
        <f t="shared" ca="1" si="43"/>
        <v>1.2018231387855849E-7</v>
      </c>
      <c r="S106" s="4">
        <f t="shared" ca="1" si="43"/>
        <v>-2.3357018861247525E-6</v>
      </c>
      <c r="T106" s="4">
        <f t="shared" ca="1" si="43"/>
        <v>-2.2028797488360397E-6</v>
      </c>
      <c r="U106" s="4">
        <f t="shared" ca="1" si="43"/>
        <v>-1.9906299186800425E-6</v>
      </c>
      <c r="V106" s="4">
        <f t="shared" ca="1" si="43"/>
        <v>-1.7057398267183999E-6</v>
      </c>
      <c r="W106" s="4">
        <f t="shared" ca="1" si="43"/>
        <v>1.0157758225659563E-6</v>
      </c>
      <c r="X106" s="4">
        <f t="shared" ca="1" si="43"/>
        <v>3.9141745844517573E-8</v>
      </c>
      <c r="Y106" s="4">
        <f t="shared" ca="1" si="43"/>
        <v>-3.4010940197504169E-7</v>
      </c>
      <c r="Z106" s="4">
        <f t="shared" ca="1" si="43"/>
        <v>1.5694440236302398E-6</v>
      </c>
      <c r="AA106" s="4">
        <f t="shared" ca="1" si="43"/>
        <v>-1.9917868812058259E-6</v>
      </c>
      <c r="AB106" s="4">
        <f t="shared" ca="1" si="43"/>
        <v>-1.4751925050404679E-6</v>
      </c>
      <c r="AC106" s="4">
        <f t="shared" ca="1" si="43"/>
        <v>-4.6691818056388001E-7</v>
      </c>
      <c r="AD106" s="4">
        <f t="shared" ca="1" si="43"/>
        <v>4.3774211633262894E-7</v>
      </c>
      <c r="AE106" s="4">
        <f t="shared" ca="1" si="43"/>
        <v>-7.6613831367922103E-7</v>
      </c>
      <c r="AF106" s="4">
        <f t="shared" ca="1" si="43"/>
        <v>-2.6796640781867609E-6</v>
      </c>
      <c r="AG106" s="4">
        <f t="shared" ca="1" si="43"/>
        <v>2.9532916840935286E-6</v>
      </c>
      <c r="AH106" s="4">
        <f t="shared" ca="1" si="43"/>
        <v>1.597104230199875E-6</v>
      </c>
      <c r="AI106" s="4">
        <f t="shared" ca="1" si="43"/>
        <v>1.5855391808372588E-6</v>
      </c>
      <c r="AJ106" s="4">
        <f t="shared" ca="1" si="43"/>
        <v>-3.7149624176890939E-6</v>
      </c>
      <c r="AK106" s="4">
        <f t="shared" ca="1" si="43"/>
        <v>2.6333822518154193E-6</v>
      </c>
      <c r="AL106" s="4">
        <f t="shared" ca="1" si="43"/>
        <v>3.9383792227454251E-7</v>
      </c>
      <c r="AM106" s="4">
        <f t="shared" ca="1" si="43"/>
        <v>9.0574734201709362E-7</v>
      </c>
      <c r="AN106" s="4">
        <f t="shared" ca="1" si="43"/>
        <v>1.9640006172494395E-6</v>
      </c>
      <c r="AO106" s="4">
        <f t="shared" ca="1" si="43"/>
        <v>3.1417836368063945E-6</v>
      </c>
      <c r="AP106" s="4">
        <f t="shared" ca="1" si="43"/>
        <v>4.0323115086948746E-6</v>
      </c>
      <c r="AQ106" s="4">
        <f t="shared" ca="1" si="43"/>
        <v>2.2033920998865142E-6</v>
      </c>
      <c r="AR106" s="4">
        <f t="shared" ca="1" si="43"/>
        <v>-2.8227110959733182E-6</v>
      </c>
      <c r="AS106" s="4">
        <f t="shared" ca="1" si="43"/>
        <v>97.481638017841746</v>
      </c>
      <c r="AT106" s="4">
        <f t="shared" ca="1" si="43"/>
        <v>98.943862588109369</v>
      </c>
      <c r="AU106" s="4">
        <f t="shared" ca="1" si="43"/>
        <v>100.42802052693101</v>
      </c>
      <c r="AV106" s="4">
        <f t="shared" ca="1" si="43"/>
        <v>101.93444083483494</v>
      </c>
      <c r="AW106" s="4">
        <f t="shared" ca="1" si="43"/>
        <v>103.46345744735747</v>
      </c>
      <c r="AX106" s="4">
        <f t="shared" ca="1" si="43"/>
        <v>105.01540930906782</v>
      </c>
      <c r="AY106" s="4">
        <f t="shared" ca="1" si="43"/>
        <v>106.59064044870382</v>
      </c>
      <c r="AZ106" s="4">
        <f t="shared" ca="1" si="43"/>
        <v>108.18950005543437</v>
      </c>
      <c r="BA106" s="4">
        <f t="shared" ca="1" si="43"/>
        <v>109.81234255626588</v>
      </c>
      <c r="BB106" s="4">
        <f t="shared" ca="1" si="43"/>
        <v>111.45952769460985</v>
      </c>
      <c r="BC106" s="4">
        <f t="shared" ca="1" si="43"/>
        <v>113.13142061002898</v>
      </c>
      <c r="BD106" s="4">
        <f t="shared" ca="1" si="43"/>
        <v>114.82839191917941</v>
      </c>
      <c r="BE106" s="4">
        <f t="shared" ca="1" si="43"/>
        <v>116.55081779796708</v>
      </c>
      <c r="BF106" s="4">
        <f t="shared" ca="1" si="43"/>
        <v>118.29908006493656</v>
      </c>
      <c r="BG106" s="4">
        <f t="shared" ca="1" si="43"/>
        <v>120.07356626591061</v>
      </c>
      <c r="BH106" s="4">
        <f t="shared" ca="1" si="43"/>
        <v>121.87466975989926</v>
      </c>
      <c r="BI106" s="4">
        <f t="shared" ca="1" si="43"/>
        <v>123.70278980629774</v>
      </c>
      <c r="BJ106" s="4">
        <f t="shared" ca="1" si="43"/>
        <v>125.55833165339219</v>
      </c>
      <c r="BK106" s="4">
        <f t="shared" ca="1" si="43"/>
        <v>127.44170662819306</v>
      </c>
      <c r="BL106" s="4">
        <f t="shared" ca="1" si="43"/>
        <v>129.35333222761594</v>
      </c>
    </row>
    <row r="107" spans="1:64" x14ac:dyDescent="0.35">
      <c r="A107" s="1"/>
    </row>
    <row r="108" spans="1:64" ht="15" thickBot="1" x14ac:dyDescent="0.4">
      <c r="A108" s="1"/>
      <c r="B108" s="2" t="s">
        <v>453</v>
      </c>
    </row>
    <row r="109" spans="1:64" ht="15" thickBot="1" x14ac:dyDescent="0.4">
      <c r="A109" s="1"/>
      <c r="C109" s="2" t="s">
        <v>94</v>
      </c>
      <c r="D109" s="33">
        <f>I26</f>
        <v>0</v>
      </c>
      <c r="E109" s="4">
        <f t="shared" ref="E109:AJ109" si="44">E35*E42</f>
        <v>146.53084571361541</v>
      </c>
      <c r="F109" s="4">
        <f t="shared" si="44"/>
        <v>148.21882651138301</v>
      </c>
      <c r="G109" s="4">
        <f t="shared" si="44"/>
        <v>149.92624899761194</v>
      </c>
      <c r="H109" s="4">
        <f t="shared" si="44"/>
        <v>151.65334235461111</v>
      </c>
      <c r="I109" s="4">
        <f t="shared" si="44"/>
        <v>153.40032653643715</v>
      </c>
      <c r="J109" s="4">
        <f t="shared" si="44"/>
        <v>155.16556716703909</v>
      </c>
      <c r="K109" s="4">
        <f t="shared" si="44"/>
        <v>156.26042288572563</v>
      </c>
      <c r="L109" s="4">
        <f t="shared" si="44"/>
        <v>157.36801163525664</v>
      </c>
      <c r="M109" s="4">
        <f t="shared" si="44"/>
        <v>161.09157879842317</v>
      </c>
      <c r="N109" s="4">
        <f t="shared" si="44"/>
        <v>162.18812512606308</v>
      </c>
      <c r="O109" s="4">
        <f t="shared" si="44"/>
        <v>164.00748535770845</v>
      </c>
      <c r="P109" s="4">
        <f t="shared" si="44"/>
        <v>165.84589173943152</v>
      </c>
      <c r="Q109" s="4">
        <f t="shared" si="44"/>
        <v>167.70351826080287</v>
      </c>
      <c r="R109" s="4">
        <f t="shared" si="44"/>
        <v>169.58054498843879</v>
      </c>
      <c r="S109" s="4">
        <f t="shared" si="44"/>
        <v>171.47714010171808</v>
      </c>
      <c r="T109" s="4">
        <f t="shared" si="44"/>
        <v>173.39348997217522</v>
      </c>
      <c r="U109" s="4">
        <f t="shared" si="44"/>
        <v>175.32978644912674</v>
      </c>
      <c r="V109" s="4">
        <f t="shared" si="44"/>
        <v>177.29173508752794</v>
      </c>
      <c r="W109" s="4">
        <f t="shared" si="44"/>
        <v>181.32622130196739</v>
      </c>
      <c r="X109" s="4">
        <f t="shared" si="44"/>
        <v>183.28720053646632</v>
      </c>
      <c r="Y109" s="4">
        <f t="shared" si="44"/>
        <v>185.26593870801597</v>
      </c>
      <c r="Z109" s="4">
        <f t="shared" si="44"/>
        <v>187.26252462532233</v>
      </c>
      <c r="AA109" s="4">
        <f t="shared" si="44"/>
        <v>189.27703654107552</v>
      </c>
      <c r="AB109" s="4">
        <f t="shared" si="44"/>
        <v>191.30956855582352</v>
      </c>
      <c r="AC109" s="4">
        <f t="shared" si="44"/>
        <v>193.36019944642641</v>
      </c>
      <c r="AD109" s="4">
        <f t="shared" si="44"/>
        <v>195.42901037302687</v>
      </c>
      <c r="AE109" s="4">
        <f t="shared" si="44"/>
        <v>197.51607838928282</v>
      </c>
      <c r="AF109" s="4">
        <f t="shared" si="44"/>
        <v>199.62148294920195</v>
      </c>
      <c r="AG109" s="4">
        <f t="shared" si="44"/>
        <v>201.74530776764533</v>
      </c>
      <c r="AH109" s="4">
        <f t="shared" si="44"/>
        <v>203.88761240454477</v>
      </c>
      <c r="AI109" s="4">
        <f t="shared" si="44"/>
        <v>206.04847728495935</v>
      </c>
      <c r="AJ109" s="4">
        <f t="shared" si="44"/>
        <v>208.22796551400836</v>
      </c>
      <c r="AK109" s="4">
        <f t="shared" ref="AK109:BL109" si="45">AK35*AK42</f>
        <v>210.42616182321933</v>
      </c>
      <c r="AL109" s="4">
        <f t="shared" si="45"/>
        <v>212.64311138412302</v>
      </c>
      <c r="AM109" s="4">
        <f t="shared" si="45"/>
        <v>214.87888856306927</v>
      </c>
      <c r="AN109" s="4">
        <f t="shared" si="45"/>
        <v>217.13355207273247</v>
      </c>
      <c r="AO109" s="4">
        <f t="shared" si="45"/>
        <v>219.40715985066009</v>
      </c>
      <c r="AP109" s="4">
        <f t="shared" si="45"/>
        <v>221.69976236417693</v>
      </c>
      <c r="AQ109" s="4">
        <f t="shared" si="45"/>
        <v>224.00975726768098</v>
      </c>
      <c r="AR109" s="4">
        <f t="shared" si="45"/>
        <v>225.72481670464663</v>
      </c>
      <c r="AS109" s="4">
        <f t="shared" si="45"/>
        <v>0</v>
      </c>
      <c r="AT109" s="4">
        <f t="shared" si="45"/>
        <v>0</v>
      </c>
      <c r="AU109" s="4">
        <f t="shared" si="45"/>
        <v>0</v>
      </c>
      <c r="AV109" s="4">
        <f t="shared" si="45"/>
        <v>0</v>
      </c>
      <c r="AW109" s="4">
        <f t="shared" si="45"/>
        <v>0</v>
      </c>
      <c r="AX109" s="4">
        <f t="shared" si="45"/>
        <v>0</v>
      </c>
      <c r="AY109" s="4">
        <f t="shared" si="45"/>
        <v>0</v>
      </c>
      <c r="AZ109" s="4">
        <f t="shared" si="45"/>
        <v>0</v>
      </c>
      <c r="BA109" s="4">
        <f t="shared" si="45"/>
        <v>0</v>
      </c>
      <c r="BB109" s="4">
        <f t="shared" si="45"/>
        <v>0</v>
      </c>
      <c r="BC109" s="4">
        <f t="shared" si="45"/>
        <v>0</v>
      </c>
      <c r="BD109" s="4">
        <f t="shared" si="45"/>
        <v>0</v>
      </c>
      <c r="BE109" s="4">
        <f t="shared" si="45"/>
        <v>0</v>
      </c>
      <c r="BF109" s="4">
        <f t="shared" si="45"/>
        <v>0</v>
      </c>
      <c r="BG109" s="4">
        <f t="shared" si="45"/>
        <v>0</v>
      </c>
      <c r="BH109" s="4">
        <f t="shared" si="45"/>
        <v>0</v>
      </c>
      <c r="BI109" s="4">
        <f t="shared" si="45"/>
        <v>0</v>
      </c>
      <c r="BJ109" s="4">
        <f t="shared" si="45"/>
        <v>0</v>
      </c>
      <c r="BK109" s="4">
        <f t="shared" si="45"/>
        <v>0</v>
      </c>
      <c r="BL109" s="4">
        <f t="shared" si="45"/>
        <v>0</v>
      </c>
    </row>
    <row r="110" spans="1:64" x14ac:dyDescent="0.35">
      <c r="A110" s="1"/>
      <c r="D110" s="12"/>
    </row>
    <row r="111" spans="1:64" x14ac:dyDescent="0.35">
      <c r="A111" s="1"/>
      <c r="C111" s="2" t="s">
        <v>104</v>
      </c>
      <c r="D111" s="12"/>
      <c r="E111" s="4">
        <f>E109</f>
        <v>146.53084571361541</v>
      </c>
      <c r="F111" s="4">
        <f t="shared" ref="F111:BL111" si="46">F109</f>
        <v>148.21882651138301</v>
      </c>
      <c r="G111" s="4">
        <f t="shared" si="46"/>
        <v>149.92624899761194</v>
      </c>
      <c r="H111" s="4">
        <f t="shared" si="46"/>
        <v>151.65334235461111</v>
      </c>
      <c r="I111" s="4">
        <f t="shared" si="46"/>
        <v>153.40032653643715</v>
      </c>
      <c r="J111" s="4">
        <f t="shared" si="46"/>
        <v>155.16556716703909</v>
      </c>
      <c r="K111" s="4">
        <f t="shared" si="46"/>
        <v>156.26042288572563</v>
      </c>
      <c r="L111" s="4">
        <f t="shared" si="46"/>
        <v>157.36801163525664</v>
      </c>
      <c r="M111" s="4">
        <f t="shared" si="46"/>
        <v>161.09157879842317</v>
      </c>
      <c r="N111" s="4">
        <f t="shared" si="46"/>
        <v>162.18812512606308</v>
      </c>
      <c r="O111" s="4">
        <f t="shared" si="46"/>
        <v>164.00748535770845</v>
      </c>
      <c r="P111" s="4">
        <f t="shared" si="46"/>
        <v>165.84589173943152</v>
      </c>
      <c r="Q111" s="4">
        <f t="shared" si="46"/>
        <v>167.70351826080287</v>
      </c>
      <c r="R111" s="4">
        <f t="shared" si="46"/>
        <v>169.58054498843879</v>
      </c>
      <c r="S111" s="4">
        <f t="shared" si="46"/>
        <v>171.47714010171808</v>
      </c>
      <c r="T111" s="4">
        <f t="shared" si="46"/>
        <v>173.39348997217522</v>
      </c>
      <c r="U111" s="4">
        <f t="shared" si="46"/>
        <v>175.32978644912674</v>
      </c>
      <c r="V111" s="4">
        <f t="shared" si="46"/>
        <v>177.29173508752794</v>
      </c>
      <c r="W111" s="4">
        <f t="shared" si="46"/>
        <v>181.32622130196739</v>
      </c>
      <c r="X111" s="4">
        <f t="shared" si="46"/>
        <v>183.28720053646632</v>
      </c>
      <c r="Y111" s="4">
        <f t="shared" si="46"/>
        <v>185.26593870801597</v>
      </c>
      <c r="Z111" s="4">
        <f t="shared" si="46"/>
        <v>187.26252462532233</v>
      </c>
      <c r="AA111" s="4">
        <f t="shared" si="46"/>
        <v>189.27703654107552</v>
      </c>
      <c r="AB111" s="4">
        <f t="shared" si="46"/>
        <v>191.30956855582352</v>
      </c>
      <c r="AC111" s="4">
        <f t="shared" si="46"/>
        <v>193.36019944642641</v>
      </c>
      <c r="AD111" s="4">
        <f t="shared" si="46"/>
        <v>195.42901037302687</v>
      </c>
      <c r="AE111" s="4">
        <f t="shared" si="46"/>
        <v>197.51607838928282</v>
      </c>
      <c r="AF111" s="4">
        <f t="shared" si="46"/>
        <v>199.62148294920195</v>
      </c>
      <c r="AG111" s="4">
        <f t="shared" si="46"/>
        <v>201.74530776764533</v>
      </c>
      <c r="AH111" s="4">
        <f t="shared" si="46"/>
        <v>203.88761240454477</v>
      </c>
      <c r="AI111" s="4">
        <f t="shared" si="46"/>
        <v>206.04847728495935</v>
      </c>
      <c r="AJ111" s="4">
        <f t="shared" si="46"/>
        <v>208.22796551400836</v>
      </c>
      <c r="AK111" s="4">
        <f t="shared" si="46"/>
        <v>210.42616182321933</v>
      </c>
      <c r="AL111" s="4">
        <f t="shared" si="46"/>
        <v>212.64311138412302</v>
      </c>
      <c r="AM111" s="4">
        <f t="shared" si="46"/>
        <v>214.87888856306927</v>
      </c>
      <c r="AN111" s="4">
        <f t="shared" si="46"/>
        <v>217.13355207273247</v>
      </c>
      <c r="AO111" s="4">
        <f t="shared" si="46"/>
        <v>219.40715985066009</v>
      </c>
      <c r="AP111" s="4">
        <f t="shared" si="46"/>
        <v>221.69976236417693</v>
      </c>
      <c r="AQ111" s="4">
        <f t="shared" si="46"/>
        <v>224.00975726768098</v>
      </c>
      <c r="AR111" s="4">
        <f t="shared" si="46"/>
        <v>225.72481670464663</v>
      </c>
      <c r="AS111" s="4">
        <f t="shared" si="46"/>
        <v>0</v>
      </c>
      <c r="AT111" s="4">
        <f t="shared" si="46"/>
        <v>0</v>
      </c>
      <c r="AU111" s="4">
        <f t="shared" si="46"/>
        <v>0</v>
      </c>
      <c r="AV111" s="4">
        <f t="shared" si="46"/>
        <v>0</v>
      </c>
      <c r="AW111" s="4">
        <f t="shared" si="46"/>
        <v>0</v>
      </c>
      <c r="AX111" s="4">
        <f t="shared" si="46"/>
        <v>0</v>
      </c>
      <c r="AY111" s="4">
        <f t="shared" si="46"/>
        <v>0</v>
      </c>
      <c r="AZ111" s="4">
        <f t="shared" si="46"/>
        <v>0</v>
      </c>
      <c r="BA111" s="4">
        <f t="shared" si="46"/>
        <v>0</v>
      </c>
      <c r="BB111" s="4">
        <f t="shared" si="46"/>
        <v>0</v>
      </c>
      <c r="BC111" s="4">
        <f t="shared" si="46"/>
        <v>0</v>
      </c>
      <c r="BD111" s="4">
        <f t="shared" si="46"/>
        <v>0</v>
      </c>
      <c r="BE111" s="4">
        <f t="shared" si="46"/>
        <v>0</v>
      </c>
      <c r="BF111" s="4">
        <f t="shared" si="46"/>
        <v>0</v>
      </c>
      <c r="BG111" s="4">
        <f t="shared" si="46"/>
        <v>0</v>
      </c>
      <c r="BH111" s="4">
        <f t="shared" si="46"/>
        <v>0</v>
      </c>
      <c r="BI111" s="4">
        <f t="shared" si="46"/>
        <v>0</v>
      </c>
      <c r="BJ111" s="4">
        <f t="shared" si="46"/>
        <v>0</v>
      </c>
      <c r="BK111" s="4">
        <f t="shared" si="46"/>
        <v>0</v>
      </c>
      <c r="BL111" s="4">
        <f t="shared" si="46"/>
        <v>0</v>
      </c>
    </row>
    <row r="112" spans="1:64" x14ac:dyDescent="0.35">
      <c r="A112" s="1"/>
      <c r="C112" s="2" t="s">
        <v>28</v>
      </c>
      <c r="D112" s="12"/>
      <c r="E112" s="4">
        <f t="shared" ref="E112:AJ112" ca="1" si="47">E67</f>
        <v>53.225059556900234</v>
      </c>
      <c r="F112" s="4">
        <f t="shared" ca="1" si="47"/>
        <v>55.321882217767289</v>
      </c>
      <c r="G112" s="4">
        <f t="shared" ca="1" si="47"/>
        <v>57.465112363517584</v>
      </c>
      <c r="H112" s="4">
        <f t="shared" ca="1" si="47"/>
        <v>59.655622400508172</v>
      </c>
      <c r="I112" s="4">
        <f t="shared" ca="1" si="47"/>
        <v>61.894290722535828</v>
      </c>
      <c r="J112" s="4">
        <f t="shared" ca="1" si="47"/>
        <v>64.180582491529194</v>
      </c>
      <c r="K112" s="4">
        <f t="shared" ca="1" si="47"/>
        <v>65.985487935584104</v>
      </c>
      <c r="L112" s="4">
        <f t="shared" ca="1" si="47"/>
        <v>67.827261600410935</v>
      </c>
      <c r="M112" s="4">
        <f t="shared" ca="1" si="47"/>
        <v>63.007678604607442</v>
      </c>
      <c r="N112" s="4">
        <f t="shared" ca="1" si="47"/>
        <v>64.953810155295713</v>
      </c>
      <c r="O112" s="4">
        <f t="shared" ca="1" si="47"/>
        <v>67.490009703509813</v>
      </c>
      <c r="P112" s="4">
        <f t="shared" ca="1" si="47"/>
        <v>70.085243628492833</v>
      </c>
      <c r="Q112" s="4">
        <f t="shared" ca="1" si="47"/>
        <v>72.7406788699694</v>
      </c>
      <c r="R112" s="4">
        <f t="shared" ca="1" si="47"/>
        <v>75.457507463759967</v>
      </c>
      <c r="S112" s="4">
        <f t="shared" ca="1" si="47"/>
        <v>78.236933162282924</v>
      </c>
      <c r="T112" s="4">
        <f t="shared" ca="1" si="47"/>
        <v>81.080194777589909</v>
      </c>
      <c r="U112" s="4">
        <f t="shared" ca="1" si="47"/>
        <v>83.988557014621961</v>
      </c>
      <c r="V112" s="4">
        <f t="shared" ca="1" si="47"/>
        <v>86.967548022686486</v>
      </c>
      <c r="W112" s="4">
        <f t="shared" ca="1" si="47"/>
        <v>84.751677097760066</v>
      </c>
      <c r="X112" s="4">
        <f t="shared" ca="1" si="47"/>
        <v>87.955156204714427</v>
      </c>
      <c r="Y112" s="4">
        <f t="shared" ca="1" si="47"/>
        <v>91.236365614616133</v>
      </c>
      <c r="Z112" s="4">
        <f t="shared" ca="1" si="47"/>
        <v>94.596928247913354</v>
      </c>
      <c r="AA112" s="4">
        <f t="shared" ca="1" si="47"/>
        <v>98.038491363450987</v>
      </c>
      <c r="AB112" s="4">
        <f t="shared" ca="1" si="47"/>
        <v>101.56274735591079</v>
      </c>
      <c r="AC112" s="4">
        <f t="shared" ca="1" si="47"/>
        <v>105.17141068041583</v>
      </c>
      <c r="AD112" s="4">
        <f t="shared" ca="1" si="47"/>
        <v>108.86623191448605</v>
      </c>
      <c r="AE112" s="4">
        <f t="shared" ca="1" si="47"/>
        <v>112.64899348835729</v>
      </c>
      <c r="AF112" s="4">
        <f t="shared" ca="1" si="47"/>
        <v>116.52151532729297</v>
      </c>
      <c r="AG112" s="4">
        <f t="shared" ca="1" si="47"/>
        <v>120.48565703264144</v>
      </c>
      <c r="AH112" s="4">
        <f t="shared" ca="1" si="47"/>
        <v>124.54329681706305</v>
      </c>
      <c r="AI112" s="4">
        <f t="shared" ca="1" si="47"/>
        <v>128.69636650756939</v>
      </c>
      <c r="AJ112" s="4">
        <f t="shared" ca="1" si="47"/>
        <v>132.94682324468155</v>
      </c>
      <c r="AK112" s="4">
        <f t="shared" ref="AK112:BL112" ca="1" si="48">AK67</f>
        <v>137.29667994742979</v>
      </c>
      <c r="AL112" s="4">
        <f t="shared" ca="1" si="48"/>
        <v>141.74795936245815</v>
      </c>
      <c r="AM112" s="4">
        <f t="shared" ca="1" si="48"/>
        <v>146.30274714889671</v>
      </c>
      <c r="AN112" s="4">
        <f t="shared" ca="1" si="48"/>
        <v>150.96315863776942</v>
      </c>
      <c r="AO112" s="4">
        <f t="shared" ca="1" si="48"/>
        <v>155.73135087046913</v>
      </c>
      <c r="AP112" s="4">
        <f t="shared" ca="1" si="48"/>
        <v>160.60951828289149</v>
      </c>
      <c r="AQ112" s="4">
        <f t="shared" ca="1" si="48"/>
        <v>165.59862780509087</v>
      </c>
      <c r="AR112" s="4">
        <f t="shared" ca="1" si="48"/>
        <v>170.22987685116627</v>
      </c>
      <c r="AS112" s="4">
        <f t="shared" ca="1" si="48"/>
        <v>-1.1084466677857563E-13</v>
      </c>
      <c r="AT112" s="4">
        <f t="shared" ca="1" si="48"/>
        <v>-1.1306156011414715E-13</v>
      </c>
      <c r="AU112" s="4">
        <f t="shared" ca="1" si="48"/>
        <v>-1.153227913164301E-13</v>
      </c>
      <c r="AV112" s="4">
        <f t="shared" ca="1" si="48"/>
        <v>-1.176292471427587E-13</v>
      </c>
      <c r="AW112" s="4">
        <f t="shared" ca="1" si="48"/>
        <v>-1.1998183208561386E-13</v>
      </c>
      <c r="AX112" s="4">
        <f t="shared" ca="1" si="48"/>
        <v>-1.2238146872732614E-13</v>
      </c>
      <c r="AY112" s="4">
        <f t="shared" ca="1" si="48"/>
        <v>-1.2482909810187267E-13</v>
      </c>
      <c r="AZ112" s="4">
        <f t="shared" ca="1" si="48"/>
        <v>-1.2732568006391012E-13</v>
      </c>
      <c r="BA112" s="4">
        <f t="shared" ca="1" si="48"/>
        <v>-1.2987219366518832E-13</v>
      </c>
      <c r="BB112" s="4">
        <f t="shared" ca="1" si="48"/>
        <v>-1.324696375384921E-13</v>
      </c>
      <c r="BC112" s="4">
        <f t="shared" ca="1" si="48"/>
        <v>-1.3511903028926196E-13</v>
      </c>
      <c r="BD112" s="4">
        <f t="shared" ca="1" si="48"/>
        <v>-1.3782141089504719E-13</v>
      </c>
      <c r="BE112" s="4">
        <f t="shared" ca="1" si="48"/>
        <v>-1.4057783911294813E-13</v>
      </c>
      <c r="BF112" s="4">
        <f t="shared" ca="1" si="48"/>
        <v>-1.4338939589520708E-13</v>
      </c>
      <c r="BG112" s="4">
        <f t="shared" ca="1" si="48"/>
        <v>-1.4625718381311123E-13</v>
      </c>
      <c r="BH112" s="4">
        <f t="shared" ca="1" si="48"/>
        <v>-1.4918232748937345E-13</v>
      </c>
      <c r="BI112" s="4">
        <f t="shared" ca="1" si="48"/>
        <v>-1.5216597403916093E-13</v>
      </c>
      <c r="BJ112" s="4">
        <f t="shared" ca="1" si="48"/>
        <v>-1.5520929351994418E-13</v>
      </c>
      <c r="BK112" s="4">
        <f t="shared" ca="1" si="48"/>
        <v>-1.5831347939034306E-13</v>
      </c>
      <c r="BL112" s="4">
        <f t="shared" ca="1" si="48"/>
        <v>-1.6147974897814991E-13</v>
      </c>
    </row>
    <row r="113" spans="1:64" x14ac:dyDescent="0.35">
      <c r="A113" s="1"/>
      <c r="C113" s="2" t="s">
        <v>310</v>
      </c>
      <c r="D113" s="12"/>
      <c r="E113" s="4">
        <f t="shared" ref="E113:AJ113" si="49">E69</f>
        <v>59.490975607419301</v>
      </c>
      <c r="F113" s="4">
        <f t="shared" ca="1" si="49"/>
        <v>58.6925997140658</v>
      </c>
      <c r="G113" s="4">
        <f t="shared" ca="1" si="49"/>
        <v>57.862771480799289</v>
      </c>
      <c r="H113" s="4">
        <f t="shared" ca="1" si="49"/>
        <v>57.000794795346529</v>
      </c>
      <c r="I113" s="4">
        <f t="shared" ca="1" si="49"/>
        <v>56.105960459338903</v>
      </c>
      <c r="J113" s="4">
        <f t="shared" ca="1" si="49"/>
        <v>55.177546098500869</v>
      </c>
      <c r="K113" s="4">
        <f t="shared" ca="1" si="49"/>
        <v>54.214837361127927</v>
      </c>
      <c r="L113" s="4">
        <f t="shared" ca="1" si="49"/>
        <v>53.225055042094169</v>
      </c>
      <c r="M113" s="4">
        <f t="shared" ca="1" si="49"/>
        <v>60.908920471102682</v>
      </c>
      <c r="N113" s="4">
        <f t="shared" ca="1" si="49"/>
        <v>59.806286095522047</v>
      </c>
      <c r="O113" s="4">
        <f t="shared" ca="1" si="49"/>
        <v>58.669594417804376</v>
      </c>
      <c r="P113" s="4">
        <f t="shared" ca="1" si="49"/>
        <v>57.488519247992954</v>
      </c>
      <c r="Q113" s="4">
        <f t="shared" ca="1" si="49"/>
        <v>56.262027484494332</v>
      </c>
      <c r="R113" s="4">
        <f t="shared" ca="1" si="49"/>
        <v>54.989065604269868</v>
      </c>
      <c r="S113" s="4">
        <f t="shared" ca="1" si="49"/>
        <v>53.668559223654064</v>
      </c>
      <c r="T113" s="4">
        <f t="shared" ca="1" si="49"/>
        <v>52.299412893314113</v>
      </c>
      <c r="U113" s="4">
        <f t="shared" ca="1" si="49"/>
        <v>50.880509484706288</v>
      </c>
      <c r="V113" s="4">
        <f t="shared" ca="1" si="49"/>
        <v>49.410709736950402</v>
      </c>
      <c r="W113" s="4">
        <f t="shared" ca="1" si="49"/>
        <v>54.730031596061011</v>
      </c>
      <c r="X113" s="4">
        <f t="shared" ca="1" si="49"/>
        <v>53.034998054105813</v>
      </c>
      <c r="Y113" s="4">
        <f t="shared" ca="1" si="49"/>
        <v>51.275894930011518</v>
      </c>
      <c r="Z113" s="4">
        <f t="shared" ca="1" si="49"/>
        <v>49.451167617719193</v>
      </c>
      <c r="AA113" s="4">
        <f t="shared" ca="1" si="49"/>
        <v>47.559229052760934</v>
      </c>
      <c r="AB113" s="4">
        <f t="shared" ca="1" si="49"/>
        <v>45.598459225491908</v>
      </c>
      <c r="AC113" s="4">
        <f t="shared" ca="1" si="49"/>
        <v>43.567204278373694</v>
      </c>
      <c r="AD113" s="4">
        <f t="shared" ca="1" si="49"/>
        <v>41.463776064765383</v>
      </c>
      <c r="AE113" s="4">
        <f t="shared" ca="1" si="49"/>
        <v>39.286451426475658</v>
      </c>
      <c r="AF113" s="4">
        <f t="shared" ca="1" si="49"/>
        <v>37.033471556708513</v>
      </c>
      <c r="AG113" s="4">
        <f t="shared" ca="1" si="49"/>
        <v>34.703041250162656</v>
      </c>
      <c r="AH113" s="4">
        <f t="shared" ca="1" si="49"/>
        <v>32.293328109509829</v>
      </c>
      <c r="AI113" s="4">
        <f t="shared" ca="1" si="49"/>
        <v>29.802462173168564</v>
      </c>
      <c r="AJ113" s="4">
        <f t="shared" ca="1" si="49"/>
        <v>27.228534843017179</v>
      </c>
      <c r="AK113" s="4">
        <f t="shared" ref="AK113:BL113" ca="1" si="50">AK69</f>
        <v>24.569598378123548</v>
      </c>
      <c r="AL113" s="4">
        <f t="shared" ca="1" si="50"/>
        <v>21.823664779174951</v>
      </c>
      <c r="AM113" s="4">
        <f t="shared" ca="1" si="50"/>
        <v>18.98870559192579</v>
      </c>
      <c r="AN113" s="4">
        <f t="shared" ca="1" si="50"/>
        <v>16.062650648947855</v>
      </c>
      <c r="AO113" s="4">
        <f t="shared" ca="1" si="50"/>
        <v>13.043387476192466</v>
      </c>
      <c r="AP113" s="4">
        <f t="shared" ca="1" si="50"/>
        <v>9.9287604587830831</v>
      </c>
      <c r="AQ113" s="4">
        <f t="shared" ca="1" si="50"/>
        <v>6.7165700931252541</v>
      </c>
      <c r="AR113" s="4">
        <f t="shared" ca="1" si="50"/>
        <v>3.4045975370234363</v>
      </c>
      <c r="AS113" s="4">
        <f t="shared" ca="1" si="50"/>
        <v>1.1084466677857563E-13</v>
      </c>
      <c r="AT113" s="4">
        <f t="shared" ca="1" si="50"/>
        <v>1.1306156011414715E-13</v>
      </c>
      <c r="AU113" s="4">
        <f t="shared" ca="1" si="50"/>
        <v>1.153227913164301E-13</v>
      </c>
      <c r="AV113" s="4">
        <f t="shared" ca="1" si="50"/>
        <v>1.176292471427587E-13</v>
      </c>
      <c r="AW113" s="4">
        <f t="shared" ca="1" si="50"/>
        <v>1.1998183208561386E-13</v>
      </c>
      <c r="AX113" s="4">
        <f t="shared" ca="1" si="50"/>
        <v>1.2238146872732614E-13</v>
      </c>
      <c r="AY113" s="4">
        <f t="shared" ca="1" si="50"/>
        <v>1.2482909810187267E-13</v>
      </c>
      <c r="AZ113" s="4">
        <f t="shared" ca="1" si="50"/>
        <v>1.2732568006391012E-13</v>
      </c>
      <c r="BA113" s="4">
        <f t="shared" ca="1" si="50"/>
        <v>1.2987219366518832E-13</v>
      </c>
      <c r="BB113" s="4">
        <f t="shared" ca="1" si="50"/>
        <v>1.324696375384921E-13</v>
      </c>
      <c r="BC113" s="4">
        <f t="shared" ca="1" si="50"/>
        <v>1.3511903028926196E-13</v>
      </c>
      <c r="BD113" s="4">
        <f t="shared" ca="1" si="50"/>
        <v>1.3782141089504719E-13</v>
      </c>
      <c r="BE113" s="4">
        <f t="shared" ca="1" si="50"/>
        <v>1.4057783911294813E-13</v>
      </c>
      <c r="BF113" s="4">
        <f t="shared" ca="1" si="50"/>
        <v>1.4338939589520708E-13</v>
      </c>
      <c r="BG113" s="4">
        <f t="shared" ca="1" si="50"/>
        <v>1.4625718381311123E-13</v>
      </c>
      <c r="BH113" s="4">
        <f t="shared" ca="1" si="50"/>
        <v>1.4918232748937345E-13</v>
      </c>
      <c r="BI113" s="4">
        <f t="shared" ca="1" si="50"/>
        <v>1.5216597403916093E-13</v>
      </c>
      <c r="BJ113" s="4">
        <f t="shared" ca="1" si="50"/>
        <v>1.5520929351994418E-13</v>
      </c>
      <c r="BK113" s="4">
        <f t="shared" ca="1" si="50"/>
        <v>1.5831347939034306E-13</v>
      </c>
      <c r="BL113" s="4">
        <f t="shared" ca="1" si="50"/>
        <v>1.6147974897814991E-13</v>
      </c>
    </row>
    <row r="114" spans="1:64" x14ac:dyDescent="0.35">
      <c r="A114" s="1"/>
      <c r="C114" s="2" t="s">
        <v>148</v>
      </c>
      <c r="D114" s="12"/>
      <c r="E114" s="4">
        <f t="shared" ref="E114:AJ114" ca="1" si="51">E80</f>
        <v>1.1336525854807631</v>
      </c>
      <c r="F114" s="4">
        <f t="shared" ca="1" si="51"/>
        <v>1.1467118288807499</v>
      </c>
      <c r="G114" s="4">
        <f t="shared" ca="1" si="51"/>
        <v>1.1599215052008578</v>
      </c>
      <c r="H114" s="4">
        <f t="shared" ca="1" si="51"/>
        <v>1.1732833418886472</v>
      </c>
      <c r="I114" s="4">
        <f t="shared" ca="1" si="51"/>
        <v>1.1867918988595241</v>
      </c>
      <c r="J114" s="4">
        <f t="shared" ca="1" si="51"/>
        <v>1.1977922694337104</v>
      </c>
      <c r="K114" s="4">
        <f t="shared" ca="1" si="51"/>
        <v>1.2062632096960857</v>
      </c>
      <c r="L114" s="4">
        <f t="shared" ca="1" si="51"/>
        <v>1.2248445785910762</v>
      </c>
      <c r="M114" s="4">
        <f t="shared" ca="1" si="51"/>
        <v>1.2433834766326393</v>
      </c>
      <c r="N114" s="4">
        <f t="shared" ca="1" si="51"/>
        <v>1.2545985018606598</v>
      </c>
      <c r="O114" s="4">
        <f t="shared" ca="1" si="51"/>
        <v>1.268666834989</v>
      </c>
      <c r="P114" s="4">
        <f t="shared" ca="1" si="51"/>
        <v>1.2828823461547476</v>
      </c>
      <c r="Q114" s="4">
        <f t="shared" ca="1" si="51"/>
        <v>1.2972463971124677</v>
      </c>
      <c r="R114" s="4">
        <f t="shared" ca="1" si="51"/>
        <v>1.3117603272698342</v>
      </c>
      <c r="S114" s="4">
        <f t="shared" ca="1" si="51"/>
        <v>1.3264255002842049</v>
      </c>
      <c r="T114" s="4">
        <f t="shared" ca="1" si="51"/>
        <v>1.3412433708511615</v>
      </c>
      <c r="U114" s="4">
        <f t="shared" ca="1" si="51"/>
        <v>1.3562366212948258</v>
      </c>
      <c r="V114" s="4">
        <f t="shared" ca="1" si="51"/>
        <v>1.3792998322672898</v>
      </c>
      <c r="W114" s="4">
        <f t="shared" ca="1" si="51"/>
        <v>1.4023593147632067</v>
      </c>
      <c r="X114" s="4">
        <f t="shared" ca="1" si="51"/>
        <v>1.4175120740172396</v>
      </c>
      <c r="Y114" s="4">
        <f t="shared" ca="1" si="51"/>
        <v>1.4328017820513008</v>
      </c>
      <c r="Z114" s="4">
        <f t="shared" ca="1" si="51"/>
        <v>1.4482290814092225</v>
      </c>
      <c r="AA114" s="4">
        <f t="shared" ca="1" si="51"/>
        <v>1.4637946349880731</v>
      </c>
      <c r="AB114" s="4">
        <f t="shared" ca="1" si="51"/>
        <v>1.4794991077009609</v>
      </c>
      <c r="AC114" s="4">
        <f t="shared" ca="1" si="51"/>
        <v>1.4953431146902048</v>
      </c>
      <c r="AD114" s="4">
        <f t="shared" ca="1" si="51"/>
        <v>1.5113272644704219</v>
      </c>
      <c r="AE114" s="4">
        <f t="shared" ca="1" si="51"/>
        <v>1.5274521589941723</v>
      </c>
      <c r="AF114" s="4">
        <f t="shared" ca="1" si="51"/>
        <v>1.5437184258340277</v>
      </c>
      <c r="AG114" s="4">
        <f t="shared" ca="1" si="51"/>
        <v>1.560126616046885</v>
      </c>
      <c r="AH114" s="4">
        <f t="shared" ca="1" si="51"/>
        <v>1.5766772680365539</v>
      </c>
      <c r="AI114" s="4">
        <f t="shared" ca="1" si="51"/>
        <v>1.5933709338421835</v>
      </c>
      <c r="AJ114" s="4">
        <f t="shared" ca="1" si="51"/>
        <v>1.6102081820662602</v>
      </c>
      <c r="AK114" s="4">
        <f t="shared" ref="AK114:BL114" ca="1" si="52">AK80</f>
        <v>1.6271895123359321</v>
      </c>
      <c r="AL114" s="4">
        <f t="shared" ca="1" si="52"/>
        <v>1.6443153844122782</v>
      </c>
      <c r="AM114" s="4">
        <f t="shared" ca="1" si="52"/>
        <v>1.6615863101376989</v>
      </c>
      <c r="AN114" s="4">
        <f t="shared" ca="1" si="52"/>
        <v>1.6790027381668944</v>
      </c>
      <c r="AO114" s="4">
        <f t="shared" ca="1" si="52"/>
        <v>1.6965650854416807</v>
      </c>
      <c r="AP114" s="4">
        <f t="shared" ca="1" si="52"/>
        <v>1.7142673831994535</v>
      </c>
      <c r="AQ114" s="4">
        <f t="shared" ca="1" si="52"/>
        <v>1.7297483614320295</v>
      </c>
      <c r="AR114" s="4">
        <f t="shared" ca="1" si="52"/>
        <v>0.86817237194094865</v>
      </c>
      <c r="AS114" s="4">
        <f t="shared" ca="1" si="52"/>
        <v>0</v>
      </c>
      <c r="AT114" s="4">
        <f t="shared" ca="1" si="52"/>
        <v>0</v>
      </c>
      <c r="AU114" s="4">
        <f t="shared" ca="1" si="52"/>
        <v>0</v>
      </c>
      <c r="AV114" s="4">
        <f t="shared" ca="1" si="52"/>
        <v>0</v>
      </c>
      <c r="AW114" s="4">
        <f t="shared" ca="1" si="52"/>
        <v>0</v>
      </c>
      <c r="AX114" s="4">
        <f t="shared" ca="1" si="52"/>
        <v>0</v>
      </c>
      <c r="AY114" s="4">
        <f t="shared" ca="1" si="52"/>
        <v>0</v>
      </c>
      <c r="AZ114" s="4">
        <f t="shared" ca="1" si="52"/>
        <v>0</v>
      </c>
      <c r="BA114" s="4">
        <f t="shared" ca="1" si="52"/>
        <v>0</v>
      </c>
      <c r="BB114" s="4">
        <f t="shared" ca="1" si="52"/>
        <v>0</v>
      </c>
      <c r="BC114" s="4">
        <f t="shared" ca="1" si="52"/>
        <v>0</v>
      </c>
      <c r="BD114" s="4">
        <f t="shared" ca="1" si="52"/>
        <v>0</v>
      </c>
      <c r="BE114" s="4">
        <f t="shared" ca="1" si="52"/>
        <v>0</v>
      </c>
      <c r="BF114" s="4">
        <f t="shared" ca="1" si="52"/>
        <v>0</v>
      </c>
      <c r="BG114" s="4">
        <f t="shared" ca="1" si="52"/>
        <v>0</v>
      </c>
      <c r="BH114" s="4">
        <f t="shared" ca="1" si="52"/>
        <v>0</v>
      </c>
      <c r="BI114" s="4">
        <f t="shared" ca="1" si="52"/>
        <v>0</v>
      </c>
      <c r="BJ114" s="4">
        <f t="shared" ca="1" si="52"/>
        <v>0</v>
      </c>
      <c r="BK114" s="4">
        <f t="shared" ca="1" si="52"/>
        <v>0</v>
      </c>
      <c r="BL114" s="4">
        <f t="shared" ca="1" si="52"/>
        <v>0</v>
      </c>
    </row>
    <row r="115" spans="1:64" x14ac:dyDescent="0.35">
      <c r="A115" s="1"/>
      <c r="C115" s="2" t="s">
        <v>103</v>
      </c>
      <c r="D115" s="12"/>
      <c r="E115" s="4">
        <f t="shared" ref="E115:AJ115" ca="1" si="53">E71-D71</f>
        <v>2.6118486799973368</v>
      </c>
      <c r="F115" s="4">
        <f t="shared" ca="1" si="53"/>
        <v>2.6419352640216118</v>
      </c>
      <c r="G115" s="4">
        <f t="shared" ca="1" si="53"/>
        <v>2.6723673375578585</v>
      </c>
      <c r="H115" s="4">
        <f t="shared" ca="1" si="53"/>
        <v>2.7017113941753621</v>
      </c>
      <c r="I115" s="4">
        <f t="shared" ca="1" si="53"/>
        <v>2.2000741148372924</v>
      </c>
      <c r="J115" s="4">
        <f t="shared" ca="1" si="53"/>
        <v>1.6941880524750559</v>
      </c>
      <c r="K115" s="4">
        <f t="shared" ca="1" si="53"/>
        <v>3.7162737789980724</v>
      </c>
      <c r="L115" s="4">
        <f t="shared" ca="1" si="53"/>
        <v>3.7077796083126486</v>
      </c>
      <c r="M115" s="4">
        <f t="shared" ca="1" si="53"/>
        <v>2.2430050456040931</v>
      </c>
      <c r="N115" s="4">
        <f t="shared" ca="1" si="53"/>
        <v>2.8136666256680201</v>
      </c>
      <c r="O115" s="4">
        <f t="shared" ca="1" si="53"/>
        <v>2.8431022331495228</v>
      </c>
      <c r="P115" s="4">
        <f t="shared" ca="1" si="53"/>
        <v>2.8728101915440334</v>
      </c>
      <c r="Q115" s="4">
        <f t="shared" ca="1" si="53"/>
        <v>2.9027860314732834</v>
      </c>
      <c r="R115" s="4">
        <f t="shared" ca="1" si="53"/>
        <v>2.9330346028741587</v>
      </c>
      <c r="S115" s="4">
        <f t="shared" ca="1" si="53"/>
        <v>2.9635741133913029</v>
      </c>
      <c r="T115" s="4">
        <f t="shared" ca="1" si="53"/>
        <v>2.9986500887328589</v>
      </c>
      <c r="U115" s="4">
        <f t="shared" ca="1" si="53"/>
        <v>4.6126421944928211</v>
      </c>
      <c r="V115" s="4">
        <f t="shared" ca="1" si="53"/>
        <v>4.6118964991833877</v>
      </c>
      <c r="W115" s="4">
        <f t="shared" ca="1" si="53"/>
        <v>3.0305518508065461</v>
      </c>
      <c r="X115" s="4">
        <f t="shared" ca="1" si="53"/>
        <v>3.0579416068122782</v>
      </c>
      <c r="Y115" s="4">
        <f t="shared" ca="1" si="53"/>
        <v>3.0854598715843053</v>
      </c>
      <c r="Z115" s="4">
        <f t="shared" ca="1" si="53"/>
        <v>3.1131107157701194</v>
      </c>
      <c r="AA115" s="4">
        <f t="shared" ca="1" si="53"/>
        <v>3.1408945425775983</v>
      </c>
      <c r="AB115" s="4">
        <f t="shared" ca="1" si="53"/>
        <v>3.1688013978487675</v>
      </c>
      <c r="AC115" s="4">
        <f t="shared" ca="1" si="53"/>
        <v>3.1968299560434161</v>
      </c>
      <c r="AD115" s="4">
        <f t="shared" ca="1" si="53"/>
        <v>3.2249789047500599</v>
      </c>
      <c r="AE115" s="4">
        <f t="shared" ca="1" si="53"/>
        <v>3.2532533679711264</v>
      </c>
      <c r="AF115" s="4">
        <f t="shared" ca="1" si="53"/>
        <v>3.2816380425714442</v>
      </c>
      <c r="AG115" s="4">
        <f t="shared" ca="1" si="53"/>
        <v>3.3101303979337899</v>
      </c>
      <c r="AH115" s="4">
        <f t="shared" ca="1" si="53"/>
        <v>3.3387331611259015</v>
      </c>
      <c r="AI115" s="4">
        <f t="shared" ca="1" si="53"/>
        <v>3.3674496448153377</v>
      </c>
      <c r="AJ115" s="4">
        <f t="shared" ca="1" si="53"/>
        <v>3.3962660539343688</v>
      </c>
      <c r="AK115" s="4">
        <f t="shared" ref="AK115:BL115" ca="1" si="54">AK71-AJ71</f>
        <v>3.4251744152692254</v>
      </c>
      <c r="AL115" s="4">
        <f t="shared" ca="1" si="54"/>
        <v>3.454185145084125</v>
      </c>
      <c r="AM115" s="4">
        <f t="shared" ca="1" si="54"/>
        <v>3.4832856058391144</v>
      </c>
      <c r="AN115" s="4">
        <f t="shared" ca="1" si="54"/>
        <v>3.5124694549572837</v>
      </c>
      <c r="AO115" s="4">
        <f t="shared" ca="1" si="54"/>
        <v>3.5404595515545338</v>
      </c>
      <c r="AP115" s="4">
        <f t="shared" ca="1" si="54"/>
        <v>3.0961956465151843</v>
      </c>
      <c r="AQ115" s="4">
        <f t="shared" ca="1" si="54"/>
        <v>-172.31519789821616</v>
      </c>
      <c r="AR115" s="4">
        <f t="shared" ca="1" si="54"/>
        <v>-173.63447438818972</v>
      </c>
      <c r="AS115" s="4">
        <f t="shared" ca="1" si="54"/>
        <v>0</v>
      </c>
      <c r="AT115" s="4">
        <f t="shared" ca="1" si="54"/>
        <v>0</v>
      </c>
      <c r="AU115" s="4">
        <f t="shared" ca="1" si="54"/>
        <v>0</v>
      </c>
      <c r="AV115" s="4">
        <f t="shared" ca="1" si="54"/>
        <v>0</v>
      </c>
      <c r="AW115" s="4">
        <f t="shared" ca="1" si="54"/>
        <v>0</v>
      </c>
      <c r="AX115" s="4">
        <f t="shared" ca="1" si="54"/>
        <v>0</v>
      </c>
      <c r="AY115" s="4">
        <f t="shared" ca="1" si="54"/>
        <v>0</v>
      </c>
      <c r="AZ115" s="4">
        <f t="shared" ca="1" si="54"/>
        <v>0</v>
      </c>
      <c r="BA115" s="4">
        <f t="shared" ca="1" si="54"/>
        <v>0</v>
      </c>
      <c r="BB115" s="4">
        <f t="shared" ca="1" si="54"/>
        <v>0</v>
      </c>
      <c r="BC115" s="4">
        <f t="shared" ca="1" si="54"/>
        <v>0</v>
      </c>
      <c r="BD115" s="4">
        <f t="shared" ca="1" si="54"/>
        <v>0</v>
      </c>
      <c r="BE115" s="4">
        <f t="shared" ca="1" si="54"/>
        <v>0</v>
      </c>
      <c r="BF115" s="4">
        <f t="shared" ca="1" si="54"/>
        <v>0</v>
      </c>
      <c r="BG115" s="4">
        <f t="shared" ca="1" si="54"/>
        <v>0</v>
      </c>
      <c r="BH115" s="4">
        <f t="shared" ca="1" si="54"/>
        <v>0</v>
      </c>
      <c r="BI115" s="4">
        <f t="shared" ca="1" si="54"/>
        <v>0</v>
      </c>
      <c r="BJ115" s="4">
        <f t="shared" ca="1" si="54"/>
        <v>0</v>
      </c>
      <c r="BK115" s="4">
        <f t="shared" ca="1" si="54"/>
        <v>0</v>
      </c>
      <c r="BL115" s="4">
        <f t="shared" ca="1" si="54"/>
        <v>0</v>
      </c>
    </row>
    <row r="116" spans="1:64" x14ac:dyDescent="0.35">
      <c r="A116" s="1"/>
      <c r="D116" s="4"/>
      <c r="AG116" s="4"/>
      <c r="AH116" s="4"/>
    </row>
    <row r="117" spans="1:64" ht="15" thickBot="1" x14ac:dyDescent="0.4">
      <c r="A117" s="1"/>
      <c r="C117" s="24" t="s">
        <v>101</v>
      </c>
      <c r="D117" s="25">
        <f>-D25-D26+D68</f>
        <v>-260.66547403174673</v>
      </c>
      <c r="E117" s="25">
        <f ca="1">E111-E112-E113+E114-E115</f>
        <v>32.336614454779294</v>
      </c>
      <c r="F117" s="25">
        <f t="shared" ref="F117:BL117" ca="1" si="55">F111-F112-F113+F114-F115</f>
        <v>32.709121144409053</v>
      </c>
      <c r="G117" s="25">
        <f t="shared" ca="1" si="55"/>
        <v>33.085919320938054</v>
      </c>
      <c r="H117" s="25">
        <f t="shared" ca="1" si="55"/>
        <v>33.468497106469691</v>
      </c>
      <c r="I117" s="25">
        <f t="shared" ca="1" si="55"/>
        <v>34.38679313858465</v>
      </c>
      <c r="J117" s="25">
        <f t="shared" ca="1" si="55"/>
        <v>35.31104279396768</v>
      </c>
      <c r="K117" s="25">
        <f t="shared" ca="1" si="55"/>
        <v>33.550087019711611</v>
      </c>
      <c r="L117" s="25">
        <f t="shared" ca="1" si="55"/>
        <v>33.832759963029957</v>
      </c>
      <c r="M117" s="25">
        <f t="shared" ca="1" si="55"/>
        <v>36.175358153741598</v>
      </c>
      <c r="N117" s="25">
        <f t="shared" ca="1" si="55"/>
        <v>35.868960751437967</v>
      </c>
      <c r="O117" s="25">
        <f t="shared" ca="1" si="55"/>
        <v>36.273445838233734</v>
      </c>
      <c r="P117" s="25">
        <f t="shared" ca="1" si="55"/>
        <v>36.682201017556451</v>
      </c>
      <c r="Q117" s="25">
        <f t="shared" ca="1" si="55"/>
        <v>37.095272271978317</v>
      </c>
      <c r="R117" s="25">
        <f t="shared" ca="1" si="55"/>
        <v>37.512697644804632</v>
      </c>
      <c r="S117" s="25">
        <f t="shared" ca="1" si="55"/>
        <v>37.934499102673989</v>
      </c>
      <c r="T117" s="25">
        <f t="shared" ca="1" si="55"/>
        <v>38.356475583389496</v>
      </c>
      <c r="U117" s="25">
        <f t="shared" ca="1" si="55"/>
        <v>37.2043143766005</v>
      </c>
      <c r="V117" s="25">
        <f t="shared" ca="1" si="55"/>
        <v>37.680880660974957</v>
      </c>
      <c r="W117" s="25">
        <f t="shared" ca="1" si="55"/>
        <v>40.216320072102981</v>
      </c>
      <c r="X117" s="25">
        <f t="shared" ca="1" si="55"/>
        <v>40.656616744851036</v>
      </c>
      <c r="Y117" s="25">
        <f t="shared" ca="1" si="55"/>
        <v>41.10102007385531</v>
      </c>
      <c r="Z117" s="25">
        <f t="shared" ca="1" si="55"/>
        <v>41.549547125328885</v>
      </c>
      <c r="AA117" s="25">
        <f t="shared" ca="1" si="55"/>
        <v>42.002216217274075</v>
      </c>
      <c r="AB117" s="25">
        <f t="shared" ca="1" si="55"/>
        <v>42.459059684273015</v>
      </c>
      <c r="AC117" s="25">
        <f t="shared" ca="1" si="55"/>
        <v>42.920097646283672</v>
      </c>
      <c r="AD117" s="25">
        <f t="shared" ca="1" si="55"/>
        <v>43.3853507534958</v>
      </c>
      <c r="AE117" s="25">
        <f t="shared" ca="1" si="55"/>
        <v>43.854832265472922</v>
      </c>
      <c r="AF117" s="25">
        <f t="shared" ca="1" si="55"/>
        <v>44.328576448463046</v>
      </c>
      <c r="AG117" s="25">
        <f t="shared" ca="1" si="55"/>
        <v>44.806605702954329</v>
      </c>
      <c r="AH117" s="25">
        <f t="shared" ca="1" si="55"/>
        <v>45.28893158488254</v>
      </c>
      <c r="AI117" s="25">
        <f t="shared" ca="1" si="55"/>
        <v>45.775569893248232</v>
      </c>
      <c r="AJ117" s="25">
        <f t="shared" ca="1" si="55"/>
        <v>46.266549554441518</v>
      </c>
      <c r="AK117" s="25">
        <f t="shared" ca="1" si="55"/>
        <v>46.761898594732699</v>
      </c>
      <c r="AL117" s="25">
        <f t="shared" ca="1" si="55"/>
        <v>47.261617481818078</v>
      </c>
      <c r="AM117" s="25">
        <f t="shared" ca="1" si="55"/>
        <v>47.765736526545346</v>
      </c>
      <c r="AN117" s="25">
        <f t="shared" ca="1" si="55"/>
        <v>48.274276069224804</v>
      </c>
      <c r="AO117" s="25">
        <f t="shared" ca="1" si="55"/>
        <v>48.78852703788565</v>
      </c>
      <c r="AP117" s="25">
        <f t="shared" ca="1" si="55"/>
        <v>49.779555359186638</v>
      </c>
      <c r="AQ117" s="25">
        <f t="shared" ca="1" si="55"/>
        <v>225.73950562911304</v>
      </c>
      <c r="AR117" s="25">
        <f t="shared" ca="1" si="55"/>
        <v>226.5929890765876</v>
      </c>
      <c r="AS117" s="25">
        <f t="shared" ca="1" si="55"/>
        <v>0</v>
      </c>
      <c r="AT117" s="25">
        <f t="shared" ca="1" si="55"/>
        <v>0</v>
      </c>
      <c r="AU117" s="25">
        <f t="shared" ca="1" si="55"/>
        <v>0</v>
      </c>
      <c r="AV117" s="25">
        <f t="shared" ca="1" si="55"/>
        <v>0</v>
      </c>
      <c r="AW117" s="25">
        <f t="shared" ca="1" si="55"/>
        <v>0</v>
      </c>
      <c r="AX117" s="25">
        <f t="shared" ca="1" si="55"/>
        <v>0</v>
      </c>
      <c r="AY117" s="25">
        <f t="shared" ca="1" si="55"/>
        <v>0</v>
      </c>
      <c r="AZ117" s="25">
        <f t="shared" ca="1" si="55"/>
        <v>0</v>
      </c>
      <c r="BA117" s="25">
        <f t="shared" ca="1" si="55"/>
        <v>0</v>
      </c>
      <c r="BB117" s="25">
        <f t="shared" ca="1" si="55"/>
        <v>0</v>
      </c>
      <c r="BC117" s="25">
        <f t="shared" ca="1" si="55"/>
        <v>0</v>
      </c>
      <c r="BD117" s="25">
        <f t="shared" ca="1" si="55"/>
        <v>0</v>
      </c>
      <c r="BE117" s="25">
        <f t="shared" ca="1" si="55"/>
        <v>0</v>
      </c>
      <c r="BF117" s="25">
        <f t="shared" ca="1" si="55"/>
        <v>0</v>
      </c>
      <c r="BG117" s="25">
        <f t="shared" ca="1" si="55"/>
        <v>0</v>
      </c>
      <c r="BH117" s="25">
        <f t="shared" ca="1" si="55"/>
        <v>0</v>
      </c>
      <c r="BI117" s="25">
        <f t="shared" ca="1" si="55"/>
        <v>0</v>
      </c>
      <c r="BJ117" s="25">
        <f t="shared" ca="1" si="55"/>
        <v>0</v>
      </c>
      <c r="BK117" s="25">
        <f t="shared" ca="1" si="55"/>
        <v>0</v>
      </c>
      <c r="BL117" s="25">
        <f t="shared" ca="1" si="55"/>
        <v>0</v>
      </c>
    </row>
    <row r="118" spans="1:64" x14ac:dyDescent="0.35">
      <c r="A118" s="1"/>
      <c r="C118" s="2" t="s">
        <v>100</v>
      </c>
      <c r="D118" s="12">
        <f ca="1">IRR(117:117)</f>
        <v>0.13547459344271973</v>
      </c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  <c r="AO118" s="4"/>
      <c r="AP118" s="4"/>
      <c r="AQ118" s="4"/>
      <c r="AR118" s="4"/>
      <c r="AS118" s="4"/>
      <c r="AT118" s="4"/>
      <c r="AU118" s="4"/>
      <c r="AV118" s="4"/>
      <c r="AW118" s="4"/>
      <c r="AX118" s="4"/>
      <c r="AY118" s="4"/>
      <c r="AZ118" s="4"/>
      <c r="BA118" s="4"/>
      <c r="BB118" s="4"/>
      <c r="BC118" s="4"/>
      <c r="BD118" s="4"/>
      <c r="BE118" s="4"/>
      <c r="BF118" s="4"/>
      <c r="BG118" s="4"/>
      <c r="BH118" s="4"/>
      <c r="BI118" s="4"/>
      <c r="BJ118" s="4"/>
      <c r="BK118" s="4"/>
      <c r="BL118" s="4"/>
    </row>
    <row r="120" spans="1:64" x14ac:dyDescent="0.35">
      <c r="C120" s="2" t="s">
        <v>306</v>
      </c>
    </row>
    <row r="121" spans="1:64" x14ac:dyDescent="0.35">
      <c r="C121" s="2" t="s">
        <v>307</v>
      </c>
      <c r="D121" s="4">
        <f>D64</f>
        <v>3966.0650404946205</v>
      </c>
    </row>
    <row r="122" spans="1:64" x14ac:dyDescent="0.35">
      <c r="C122" s="2" t="s">
        <v>308</v>
      </c>
      <c r="D122" s="4">
        <f>D25+D26</f>
        <v>4226.7305145263672</v>
      </c>
    </row>
    <row r="123" spans="1:64" x14ac:dyDescent="0.35">
      <c r="C123" s="2" t="s">
        <v>306</v>
      </c>
      <c r="D123" s="12">
        <f>D121/D122</f>
        <v>0.93832928947424132</v>
      </c>
    </row>
    <row r="125" spans="1:64" x14ac:dyDescent="0.35">
      <c r="C125" s="2" t="s">
        <v>202</v>
      </c>
    </row>
    <row r="126" spans="1:64" x14ac:dyDescent="0.35">
      <c r="C126" s="2" t="s">
        <v>311</v>
      </c>
      <c r="E126" s="4">
        <f t="shared" ref="E126:AJ126" si="56">E42</f>
        <v>146.53084571361541</v>
      </c>
      <c r="F126" s="4">
        <f t="shared" si="56"/>
        <v>148.21882651138301</v>
      </c>
      <c r="G126" s="4">
        <f t="shared" si="56"/>
        <v>149.92624899761194</v>
      </c>
      <c r="H126" s="4">
        <f t="shared" si="56"/>
        <v>151.65334235461111</v>
      </c>
      <c r="I126" s="4">
        <f t="shared" si="56"/>
        <v>153.40032653643715</v>
      </c>
      <c r="J126" s="4">
        <f t="shared" si="56"/>
        <v>155.16556716703909</v>
      </c>
      <c r="K126" s="4">
        <f t="shared" si="56"/>
        <v>156.26042288572563</v>
      </c>
      <c r="L126" s="4">
        <f t="shared" si="56"/>
        <v>157.36801163525664</v>
      </c>
      <c r="M126" s="4">
        <f t="shared" si="56"/>
        <v>161.09157879842317</v>
      </c>
      <c r="N126" s="4">
        <f t="shared" si="56"/>
        <v>162.18812512606308</v>
      </c>
      <c r="O126" s="4">
        <f t="shared" si="56"/>
        <v>164.00748535770845</v>
      </c>
      <c r="P126" s="4">
        <f t="shared" si="56"/>
        <v>165.84589173943152</v>
      </c>
      <c r="Q126" s="4">
        <f t="shared" si="56"/>
        <v>167.70351826080287</v>
      </c>
      <c r="R126" s="4">
        <f t="shared" si="56"/>
        <v>169.58054498843879</v>
      </c>
      <c r="S126" s="4">
        <f t="shared" si="56"/>
        <v>171.47714010171808</v>
      </c>
      <c r="T126" s="4">
        <f t="shared" si="56"/>
        <v>173.39348997217522</v>
      </c>
      <c r="U126" s="4">
        <f t="shared" si="56"/>
        <v>175.32978644912674</v>
      </c>
      <c r="V126" s="4">
        <f t="shared" si="56"/>
        <v>177.29173508752794</v>
      </c>
      <c r="W126" s="4">
        <f t="shared" si="56"/>
        <v>181.32622130196739</v>
      </c>
      <c r="X126" s="4">
        <f t="shared" si="56"/>
        <v>183.28720053646632</v>
      </c>
      <c r="Y126" s="4">
        <f t="shared" si="56"/>
        <v>185.26593870801597</v>
      </c>
      <c r="Z126" s="4">
        <f t="shared" si="56"/>
        <v>187.26252462532233</v>
      </c>
      <c r="AA126" s="4">
        <f t="shared" si="56"/>
        <v>189.27703654107552</v>
      </c>
      <c r="AB126" s="4">
        <f t="shared" si="56"/>
        <v>191.30956855582352</v>
      </c>
      <c r="AC126" s="4">
        <f t="shared" si="56"/>
        <v>193.36019944642641</v>
      </c>
      <c r="AD126" s="4">
        <f t="shared" si="56"/>
        <v>195.42901037302687</v>
      </c>
      <c r="AE126" s="4">
        <f t="shared" si="56"/>
        <v>197.51607838928282</v>
      </c>
      <c r="AF126" s="4">
        <f t="shared" si="56"/>
        <v>199.62148294920195</v>
      </c>
      <c r="AG126" s="4">
        <f t="shared" si="56"/>
        <v>201.74530776764533</v>
      </c>
      <c r="AH126" s="4">
        <f t="shared" si="56"/>
        <v>203.88761240454477</v>
      </c>
      <c r="AI126" s="4">
        <f t="shared" si="56"/>
        <v>206.04847728495935</v>
      </c>
      <c r="AJ126" s="4">
        <f t="shared" si="56"/>
        <v>208.22796551400836</v>
      </c>
      <c r="AK126" s="4">
        <f t="shared" ref="AK126:BL126" si="57">AK42</f>
        <v>210.42616182321933</v>
      </c>
      <c r="AL126" s="4">
        <f t="shared" si="57"/>
        <v>212.64311138412302</v>
      </c>
      <c r="AM126" s="4">
        <f t="shared" si="57"/>
        <v>214.87888856306927</v>
      </c>
      <c r="AN126" s="4">
        <f t="shared" si="57"/>
        <v>217.13355207273247</v>
      </c>
      <c r="AO126" s="4">
        <f t="shared" si="57"/>
        <v>219.40715985066009</v>
      </c>
      <c r="AP126" s="4">
        <f t="shared" si="57"/>
        <v>221.69976236417693</v>
      </c>
      <c r="AQ126" s="4">
        <f t="shared" si="57"/>
        <v>224.00975726768098</v>
      </c>
      <c r="AR126" s="4">
        <f t="shared" si="57"/>
        <v>225.72481670464663</v>
      </c>
      <c r="AS126" s="4">
        <f t="shared" si="57"/>
        <v>324.93879339280596</v>
      </c>
      <c r="AT126" s="4">
        <f t="shared" si="57"/>
        <v>329.81287529369803</v>
      </c>
      <c r="AU126" s="4">
        <f t="shared" si="57"/>
        <v>334.76006842310346</v>
      </c>
      <c r="AV126" s="4">
        <f t="shared" si="57"/>
        <v>339.78146944944996</v>
      </c>
      <c r="AW126" s="4">
        <f t="shared" si="57"/>
        <v>344.87819149119167</v>
      </c>
      <c r="AX126" s="4">
        <f t="shared" si="57"/>
        <v>350.05136436355951</v>
      </c>
      <c r="AY126" s="4">
        <f t="shared" si="57"/>
        <v>355.30213482901286</v>
      </c>
      <c r="AZ126" s="4">
        <f t="shared" si="57"/>
        <v>360.63166685144802</v>
      </c>
      <c r="BA126" s="4">
        <f t="shared" si="57"/>
        <v>366.04114185421969</v>
      </c>
      <c r="BB126" s="4">
        <f t="shared" si="57"/>
        <v>371.53175898203295</v>
      </c>
      <c r="BC126" s="4">
        <f t="shared" si="57"/>
        <v>377.10473536676341</v>
      </c>
      <c r="BD126" s="4">
        <f t="shared" si="57"/>
        <v>382.76130639726483</v>
      </c>
      <c r="BE126" s="4">
        <f t="shared" si="57"/>
        <v>388.50272599322375</v>
      </c>
      <c r="BF126" s="4">
        <f t="shared" si="57"/>
        <v>394.33026688312208</v>
      </c>
      <c r="BG126" s="4">
        <f t="shared" si="57"/>
        <v>400.24522088636888</v>
      </c>
      <c r="BH126" s="4">
        <f t="shared" si="57"/>
        <v>406.24889919966438</v>
      </c>
      <c r="BI126" s="4">
        <f t="shared" si="57"/>
        <v>412.34263268765932</v>
      </c>
      <c r="BJ126" s="4">
        <f t="shared" si="57"/>
        <v>418.52777217797416</v>
      </c>
      <c r="BK126" s="4">
        <f t="shared" si="57"/>
        <v>424.8056887606437</v>
      </c>
      <c r="BL126" s="4">
        <f t="shared" si="57"/>
        <v>431.17777409205331</v>
      </c>
    </row>
    <row r="127" spans="1:64" x14ac:dyDescent="0.35">
      <c r="C127" s="2" t="s">
        <v>312</v>
      </c>
      <c r="E127" s="4">
        <f t="shared" ref="E127:AJ127" ca="1" si="58">E69+E67+E60</f>
        <v>112.71603516431954</v>
      </c>
      <c r="F127" s="4">
        <f t="shared" ca="1" si="58"/>
        <v>114.01448193183309</v>
      </c>
      <c r="G127" s="4">
        <f t="shared" ca="1" si="58"/>
        <v>115.32788384431687</v>
      </c>
      <c r="H127" s="4">
        <f t="shared" ca="1" si="58"/>
        <v>116.6564171958547</v>
      </c>
      <c r="I127" s="4">
        <f t="shared" ca="1" si="58"/>
        <v>118.00025118187473</v>
      </c>
      <c r="J127" s="4">
        <f t="shared" ca="1" si="58"/>
        <v>119.35812859003006</v>
      </c>
      <c r="K127" s="4">
        <f t="shared" ca="1" si="58"/>
        <v>120.20032529671204</v>
      </c>
      <c r="L127" s="4">
        <f t="shared" ca="1" si="58"/>
        <v>121.0523166425051</v>
      </c>
      <c r="M127" s="4">
        <f t="shared" ca="1" si="58"/>
        <v>123.91659907571012</v>
      </c>
      <c r="N127" s="4">
        <f t="shared" ca="1" si="58"/>
        <v>124.76009625081775</v>
      </c>
      <c r="O127" s="4">
        <f t="shared" ca="1" si="58"/>
        <v>126.15960412131419</v>
      </c>
      <c r="P127" s="4">
        <f t="shared" ca="1" si="58"/>
        <v>127.57376287648579</v>
      </c>
      <c r="Q127" s="4">
        <f t="shared" ca="1" si="58"/>
        <v>129.00270635446373</v>
      </c>
      <c r="R127" s="4">
        <f t="shared" ca="1" si="58"/>
        <v>130.44657306802983</v>
      </c>
      <c r="S127" s="4">
        <f t="shared" ca="1" si="58"/>
        <v>131.90549238593698</v>
      </c>
      <c r="T127" s="4">
        <f t="shared" ca="1" si="58"/>
        <v>133.37960767090402</v>
      </c>
      <c r="U127" s="4">
        <f t="shared" ca="1" si="58"/>
        <v>134.86906649932826</v>
      </c>
      <c r="V127" s="4">
        <f t="shared" ca="1" si="58"/>
        <v>136.37825775963688</v>
      </c>
      <c r="W127" s="4">
        <f t="shared" ca="1" si="58"/>
        <v>139.48170869382108</v>
      </c>
      <c r="X127" s="4">
        <f t="shared" ca="1" si="58"/>
        <v>140.99015425882024</v>
      </c>
      <c r="Y127" s="4">
        <f t="shared" ca="1" si="58"/>
        <v>142.51226054462765</v>
      </c>
      <c r="Z127" s="4">
        <f t="shared" ca="1" si="58"/>
        <v>144.04809586563255</v>
      </c>
      <c r="AA127" s="4">
        <f t="shared" ca="1" si="58"/>
        <v>145.59772041621193</v>
      </c>
      <c r="AB127" s="4">
        <f t="shared" ca="1" si="58"/>
        <v>147.16120658140269</v>
      </c>
      <c r="AC127" s="4">
        <f t="shared" ca="1" si="58"/>
        <v>148.73861495878953</v>
      </c>
      <c r="AD127" s="4">
        <f t="shared" ca="1" si="58"/>
        <v>150.33000797925143</v>
      </c>
      <c r="AE127" s="4">
        <f t="shared" ca="1" si="58"/>
        <v>151.93544491483294</v>
      </c>
      <c r="AF127" s="4">
        <f t="shared" ca="1" si="58"/>
        <v>153.55498688400149</v>
      </c>
      <c r="AG127" s="4">
        <f t="shared" ca="1" si="58"/>
        <v>155.1886982828041</v>
      </c>
      <c r="AH127" s="4">
        <f t="shared" ca="1" si="58"/>
        <v>156.83662492657288</v>
      </c>
      <c r="AI127" s="4">
        <f t="shared" ca="1" si="58"/>
        <v>158.49882868073797</v>
      </c>
      <c r="AJ127" s="4">
        <f t="shared" ca="1" si="58"/>
        <v>160.17535808769873</v>
      </c>
      <c r="AK127" s="4">
        <f t="shared" ref="AK127:BL127" ca="1" si="59">AK69+AK67+AK60</f>
        <v>161.86627832555334</v>
      </c>
      <c r="AL127" s="4">
        <f t="shared" ca="1" si="59"/>
        <v>163.57162414163309</v>
      </c>
      <c r="AM127" s="4">
        <f t="shared" ca="1" si="59"/>
        <v>165.29145274082251</v>
      </c>
      <c r="AN127" s="4">
        <f t="shared" ca="1" si="59"/>
        <v>167.02580928671728</v>
      </c>
      <c r="AO127" s="4">
        <f t="shared" ca="1" si="59"/>
        <v>168.77473834666159</v>
      </c>
      <c r="AP127" s="4">
        <f t="shared" ca="1" si="59"/>
        <v>170.53827874167456</v>
      </c>
      <c r="AQ127" s="4">
        <f t="shared" ca="1" si="59"/>
        <v>172.31519789821613</v>
      </c>
      <c r="AR127" s="4">
        <f t="shared" ca="1" si="59"/>
        <v>173.63447438818972</v>
      </c>
      <c r="AS127" s="4">
        <f t="shared" ca="1" si="59"/>
        <v>0</v>
      </c>
      <c r="AT127" s="4">
        <f t="shared" ca="1" si="59"/>
        <v>0</v>
      </c>
      <c r="AU127" s="4">
        <f t="shared" ca="1" si="59"/>
        <v>0</v>
      </c>
      <c r="AV127" s="4">
        <f t="shared" ca="1" si="59"/>
        <v>0</v>
      </c>
      <c r="AW127" s="4">
        <f t="shared" ca="1" si="59"/>
        <v>0</v>
      </c>
      <c r="AX127" s="4">
        <f t="shared" ca="1" si="59"/>
        <v>0</v>
      </c>
      <c r="AY127" s="4">
        <f t="shared" ca="1" si="59"/>
        <v>0</v>
      </c>
      <c r="AZ127" s="4">
        <f t="shared" ca="1" si="59"/>
        <v>0</v>
      </c>
      <c r="BA127" s="4">
        <f t="shared" ca="1" si="59"/>
        <v>0</v>
      </c>
      <c r="BB127" s="4">
        <f t="shared" ca="1" si="59"/>
        <v>0</v>
      </c>
      <c r="BC127" s="4">
        <f t="shared" ca="1" si="59"/>
        <v>0</v>
      </c>
      <c r="BD127" s="4">
        <f t="shared" ca="1" si="59"/>
        <v>0</v>
      </c>
      <c r="BE127" s="4">
        <f t="shared" ca="1" si="59"/>
        <v>0</v>
      </c>
      <c r="BF127" s="4">
        <f t="shared" ca="1" si="59"/>
        <v>0</v>
      </c>
      <c r="BG127" s="4">
        <f t="shared" ca="1" si="59"/>
        <v>0</v>
      </c>
      <c r="BH127" s="4">
        <f t="shared" ca="1" si="59"/>
        <v>0</v>
      </c>
      <c r="BI127" s="4">
        <f t="shared" ca="1" si="59"/>
        <v>0</v>
      </c>
      <c r="BJ127" s="4">
        <f t="shared" ca="1" si="59"/>
        <v>0</v>
      </c>
      <c r="BK127" s="4">
        <f t="shared" ca="1" si="59"/>
        <v>0</v>
      </c>
      <c r="BL127" s="4">
        <f t="shared" ca="1" si="59"/>
        <v>0</v>
      </c>
    </row>
    <row r="128" spans="1:64" x14ac:dyDescent="0.35">
      <c r="C128" s="2" t="s">
        <v>313</v>
      </c>
      <c r="E128" s="4">
        <f ca="1">IF(E127,E126/E127)</f>
        <v>1.3</v>
      </c>
      <c r="F128" s="4">
        <f t="shared" ref="F128:BL128" ca="1" si="60">IF(F127,F126/F127)</f>
        <v>1.3</v>
      </c>
      <c r="G128" s="4">
        <f t="shared" ca="1" si="60"/>
        <v>1.3</v>
      </c>
      <c r="H128" s="4">
        <f t="shared" ca="1" si="60"/>
        <v>1.3</v>
      </c>
      <c r="I128" s="4">
        <f t="shared" ca="1" si="60"/>
        <v>1.3</v>
      </c>
      <c r="J128" s="4">
        <f t="shared" ca="1" si="60"/>
        <v>1.3</v>
      </c>
      <c r="K128" s="4">
        <f t="shared" ca="1" si="60"/>
        <v>1.2999999999999998</v>
      </c>
      <c r="L128" s="4">
        <f t="shared" ca="1" si="60"/>
        <v>1.3</v>
      </c>
      <c r="M128" s="4">
        <f t="shared" ca="1" si="60"/>
        <v>1.3</v>
      </c>
      <c r="N128" s="4">
        <f t="shared" ca="1" si="60"/>
        <v>1.3</v>
      </c>
      <c r="O128" s="4">
        <f t="shared" ca="1" si="60"/>
        <v>1.3</v>
      </c>
      <c r="P128" s="4">
        <f t="shared" ca="1" si="60"/>
        <v>1.3</v>
      </c>
      <c r="Q128" s="4">
        <f t="shared" ca="1" si="60"/>
        <v>1.3000000000000003</v>
      </c>
      <c r="R128" s="4">
        <f t="shared" ca="1" si="60"/>
        <v>1.3</v>
      </c>
      <c r="S128" s="4">
        <f t="shared" ca="1" si="60"/>
        <v>1.3</v>
      </c>
      <c r="T128" s="4">
        <f t="shared" ca="1" si="60"/>
        <v>1.2999999999999998</v>
      </c>
      <c r="U128" s="4">
        <f t="shared" ca="1" si="60"/>
        <v>1.3</v>
      </c>
      <c r="V128" s="4">
        <f t="shared" ca="1" si="60"/>
        <v>1.3</v>
      </c>
      <c r="W128" s="4">
        <f t="shared" ca="1" si="60"/>
        <v>1.3</v>
      </c>
      <c r="X128" s="4">
        <f t="shared" ca="1" si="60"/>
        <v>1.3</v>
      </c>
      <c r="Y128" s="4">
        <f t="shared" ca="1" si="60"/>
        <v>1.3</v>
      </c>
      <c r="Z128" s="4">
        <f t="shared" ca="1" si="60"/>
        <v>1.3</v>
      </c>
      <c r="AA128" s="4">
        <f t="shared" ca="1" si="60"/>
        <v>1.3</v>
      </c>
      <c r="AB128" s="4">
        <f t="shared" ca="1" si="60"/>
        <v>1.3</v>
      </c>
      <c r="AC128" s="4">
        <f t="shared" ca="1" si="60"/>
        <v>1.3</v>
      </c>
      <c r="AD128" s="4">
        <f t="shared" ca="1" si="60"/>
        <v>1.3</v>
      </c>
      <c r="AE128" s="4">
        <f t="shared" ca="1" si="60"/>
        <v>1.3</v>
      </c>
      <c r="AF128" s="4">
        <f t="shared" ca="1" si="60"/>
        <v>1.3</v>
      </c>
      <c r="AG128" s="4">
        <f t="shared" ca="1" si="60"/>
        <v>1.3</v>
      </c>
      <c r="AH128" s="4">
        <f t="shared" ca="1" si="60"/>
        <v>1.3</v>
      </c>
      <c r="AI128" s="4">
        <f t="shared" ca="1" si="60"/>
        <v>1.2999999999999998</v>
      </c>
      <c r="AJ128" s="4">
        <f t="shared" ca="1" si="60"/>
        <v>1.3</v>
      </c>
      <c r="AK128" s="4">
        <f t="shared" ca="1" si="60"/>
        <v>1.3</v>
      </c>
      <c r="AL128" s="4">
        <f t="shared" ca="1" si="60"/>
        <v>1.3</v>
      </c>
      <c r="AM128" s="4">
        <f t="shared" ca="1" si="60"/>
        <v>1.3</v>
      </c>
      <c r="AN128" s="4">
        <f t="shared" ca="1" si="60"/>
        <v>1.3</v>
      </c>
      <c r="AO128" s="4">
        <f t="shared" ca="1" si="60"/>
        <v>1.3</v>
      </c>
      <c r="AP128" s="4">
        <f t="shared" ca="1" si="60"/>
        <v>1.3</v>
      </c>
      <c r="AQ128" s="4">
        <f t="shared" ca="1" si="60"/>
        <v>1.3</v>
      </c>
      <c r="AR128" s="4">
        <f t="shared" ca="1" si="60"/>
        <v>1.3</v>
      </c>
      <c r="AS128" s="4" t="b">
        <f t="shared" ca="1" si="60"/>
        <v>0</v>
      </c>
      <c r="AT128" s="4" t="b">
        <f t="shared" ca="1" si="60"/>
        <v>0</v>
      </c>
      <c r="AU128" s="4" t="b">
        <f t="shared" ca="1" si="60"/>
        <v>0</v>
      </c>
      <c r="AV128" s="4" t="b">
        <f t="shared" ca="1" si="60"/>
        <v>0</v>
      </c>
      <c r="AW128" s="4" t="b">
        <f t="shared" ca="1" si="60"/>
        <v>0</v>
      </c>
      <c r="AX128" s="4" t="b">
        <f t="shared" ca="1" si="60"/>
        <v>0</v>
      </c>
      <c r="AY128" s="4" t="b">
        <f t="shared" ca="1" si="60"/>
        <v>0</v>
      </c>
      <c r="AZ128" s="4" t="b">
        <f t="shared" ca="1" si="60"/>
        <v>0</v>
      </c>
      <c r="BA128" s="4" t="b">
        <f t="shared" ca="1" si="60"/>
        <v>0</v>
      </c>
      <c r="BB128" s="4" t="b">
        <f t="shared" ca="1" si="60"/>
        <v>0</v>
      </c>
      <c r="BC128" s="4" t="b">
        <f t="shared" ca="1" si="60"/>
        <v>0</v>
      </c>
      <c r="BD128" s="4" t="b">
        <f t="shared" ca="1" si="60"/>
        <v>0</v>
      </c>
      <c r="BE128" s="4" t="b">
        <f t="shared" ca="1" si="60"/>
        <v>0</v>
      </c>
      <c r="BF128" s="4" t="b">
        <f t="shared" ca="1" si="60"/>
        <v>0</v>
      </c>
      <c r="BG128" s="4" t="b">
        <f t="shared" ca="1" si="60"/>
        <v>0</v>
      </c>
      <c r="BH128" s="4" t="b">
        <f t="shared" ca="1" si="60"/>
        <v>0</v>
      </c>
      <c r="BI128" s="4" t="b">
        <f t="shared" ca="1" si="60"/>
        <v>0</v>
      </c>
      <c r="BJ128" s="4" t="b">
        <f t="shared" ca="1" si="60"/>
        <v>0</v>
      </c>
      <c r="BK128" s="4" t="b">
        <f t="shared" ca="1" si="60"/>
        <v>0</v>
      </c>
      <c r="BL128" s="4" t="b">
        <f t="shared" ca="1" si="60"/>
        <v>0</v>
      </c>
    </row>
    <row r="129" spans="3:4" x14ac:dyDescent="0.35">
      <c r="C129" s="2" t="s">
        <v>300</v>
      </c>
      <c r="D129" s="4">
        <f ca="1">MIN(128:128)</f>
        <v>1.2999999999999998</v>
      </c>
    </row>
    <row r="130" spans="3:4" x14ac:dyDescent="0.35">
      <c r="C130" s="2" t="s">
        <v>314</v>
      </c>
      <c r="D130" s="4">
        <f ca="1">AVERAGE(128:128)</f>
        <v>1.2999999999999992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3" name="Button 1">
              <controlPr defaultSize="0" print="0" autoFill="0" autoPict="0" macro="[0]!sculpt_tax_func">
                <anchor moveWithCells="1" sizeWithCells="1">
                  <from>
                    <xdr:col>9</xdr:col>
                    <xdr:colOff>495300</xdr:colOff>
                    <xdr:row>2</xdr:row>
                    <xdr:rowOff>38100</xdr:rowOff>
                  </from>
                  <to>
                    <xdr:col>11</xdr:col>
                    <xdr:colOff>514350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6" r:id="rId4" name="Check Box 2">
              <controlPr defaultSize="0" autoFill="0" autoLine="0" autoPict="0">
                <anchor moveWithCells="1">
                  <from>
                    <xdr:col>4</xdr:col>
                    <xdr:colOff>12700</xdr:colOff>
                    <xdr:row>11</xdr:row>
                    <xdr:rowOff>12700</xdr:rowOff>
                  </from>
                  <to>
                    <xdr:col>5</xdr:col>
                    <xdr:colOff>228600</xdr:colOff>
                    <xdr:row>12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6"/>
  <dimension ref="A1:BL142"/>
  <sheetViews>
    <sheetView zoomScale="80" zoomScaleNormal="80" workbookViewId="0">
      <pane xSplit="4" ySplit="8" topLeftCell="E9" activePane="bottomRight" state="frozen"/>
      <selection pane="topRight" activeCell="E1" sqref="E1"/>
      <selection pane="bottomLeft" activeCell="A9" sqref="A9"/>
      <selection pane="bottomRight" activeCell="F12" sqref="F12"/>
    </sheetView>
  </sheetViews>
  <sheetFormatPr defaultColWidth="9.1796875" defaultRowHeight="14.5" outlineLevelRow="1" x14ac:dyDescent="0.35"/>
  <cols>
    <col min="1" max="2" width="1.26953125" style="2" customWidth="1"/>
    <col min="3" max="3" width="38.81640625" style="2" customWidth="1"/>
    <col min="4" max="4" width="12.7265625" style="2" customWidth="1"/>
    <col min="5" max="64" width="10.81640625" style="2" customWidth="1"/>
    <col min="65" max="16384" width="9.1796875" style="2"/>
  </cols>
  <sheetData>
    <row r="1" spans="1:18" ht="26" x14ac:dyDescent="0.6">
      <c r="C1" s="89" t="s">
        <v>503</v>
      </c>
      <c r="M1" s="2" t="s">
        <v>449</v>
      </c>
    </row>
    <row r="2" spans="1:18" ht="26" x14ac:dyDescent="0.6">
      <c r="C2" s="89" t="s">
        <v>504</v>
      </c>
    </row>
    <row r="3" spans="1:18" ht="26" x14ac:dyDescent="0.6">
      <c r="C3" s="89" t="s">
        <v>505</v>
      </c>
    </row>
    <row r="5" spans="1:18" s="40" customFormat="1" x14ac:dyDescent="0.35">
      <c r="A5" s="40" t="s">
        <v>77</v>
      </c>
    </row>
    <row r="6" spans="1:18" x14ac:dyDescent="0.35">
      <c r="A6" s="1"/>
      <c r="B6" s="2" t="s">
        <v>65</v>
      </c>
      <c r="D6" s="13">
        <v>1</v>
      </c>
      <c r="E6" s="13">
        <v>5</v>
      </c>
      <c r="F6" s="13">
        <v>10</v>
      </c>
      <c r="K6" s="2" t="s">
        <v>132</v>
      </c>
    </row>
    <row r="7" spans="1:18" x14ac:dyDescent="0.35">
      <c r="A7" s="1"/>
      <c r="B7" s="2" t="s">
        <v>24</v>
      </c>
      <c r="D7" s="157">
        <v>0.03</v>
      </c>
      <c r="E7" s="157">
        <v>3.5000000000000003E-2</v>
      </c>
      <c r="F7" s="157">
        <v>0.04</v>
      </c>
      <c r="K7" s="2" t="s">
        <v>133</v>
      </c>
      <c r="R7" s="2" t="s">
        <v>129</v>
      </c>
    </row>
    <row r="8" spans="1:18" x14ac:dyDescent="0.35">
      <c r="A8" s="1"/>
      <c r="B8" s="2" t="s">
        <v>84</v>
      </c>
      <c r="D8" s="15">
        <v>1.35</v>
      </c>
      <c r="E8" s="4"/>
      <c r="F8" s="4"/>
      <c r="K8" s="2" t="s">
        <v>134</v>
      </c>
      <c r="R8" s="2" t="s">
        <v>126</v>
      </c>
    </row>
    <row r="9" spans="1:18" x14ac:dyDescent="0.35">
      <c r="A9" s="1"/>
      <c r="D9" s="4"/>
      <c r="E9" s="12"/>
      <c r="F9" s="12"/>
      <c r="R9" s="2" t="s">
        <v>127</v>
      </c>
    </row>
    <row r="10" spans="1:18" x14ac:dyDescent="0.35">
      <c r="A10" s="1"/>
      <c r="B10" s="2" t="s">
        <v>85</v>
      </c>
      <c r="D10" s="13">
        <v>20</v>
      </c>
      <c r="K10" s="2" t="s">
        <v>140</v>
      </c>
      <c r="R10" s="2" t="s">
        <v>128</v>
      </c>
    </row>
    <row r="11" spans="1:18" x14ac:dyDescent="0.35">
      <c r="H11" s="12"/>
      <c r="K11" s="2" t="s">
        <v>456</v>
      </c>
    </row>
    <row r="12" spans="1:18" x14ac:dyDescent="0.35">
      <c r="B12" s="2" t="s">
        <v>222</v>
      </c>
      <c r="D12" s="13" t="b">
        <v>1</v>
      </c>
      <c r="G12" s="1" t="s">
        <v>320</v>
      </c>
      <c r="H12" s="12"/>
      <c r="K12" s="2" t="s">
        <v>142</v>
      </c>
      <c r="R12" s="2" t="s">
        <v>130</v>
      </c>
    </row>
    <row r="13" spans="1:18" x14ac:dyDescent="0.35">
      <c r="B13" s="2" t="s">
        <v>229</v>
      </c>
      <c r="D13" s="2" t="b">
        <f>NOT(D12)</f>
        <v>0</v>
      </c>
      <c r="G13" s="115" t="s">
        <v>304</v>
      </c>
      <c r="H13" s="116">
        <f ca="1">D80</f>
        <v>-1.0638697518174922E-3</v>
      </c>
      <c r="K13" s="2" t="s">
        <v>457</v>
      </c>
      <c r="R13" s="2" t="s">
        <v>131</v>
      </c>
    </row>
    <row r="14" spans="1:18" x14ac:dyDescent="0.35">
      <c r="A14" s="1"/>
      <c r="G14" s="117" t="s">
        <v>305</v>
      </c>
      <c r="H14" s="118">
        <f ca="1">D79</f>
        <v>-2.5849236777792422E-2</v>
      </c>
      <c r="R14" s="2" t="s">
        <v>137</v>
      </c>
    </row>
    <row r="15" spans="1:18" x14ac:dyDescent="0.35">
      <c r="A15" s="1"/>
      <c r="B15" s="2" t="s">
        <v>78</v>
      </c>
      <c r="D15" s="13">
        <v>12</v>
      </c>
      <c r="G15" s="117" t="s">
        <v>315</v>
      </c>
      <c r="H15" s="119">
        <f>D142</f>
        <v>0.95000000000000018</v>
      </c>
      <c r="I15" s="3">
        <f>D33</f>
        <v>0.95</v>
      </c>
    </row>
    <row r="16" spans="1:18" x14ac:dyDescent="0.35">
      <c r="A16" s="1"/>
      <c r="B16" s="2" t="s">
        <v>82</v>
      </c>
      <c r="D16" s="2">
        <f>D15/6</f>
        <v>2</v>
      </c>
      <c r="G16" s="117" t="s">
        <v>300</v>
      </c>
      <c r="H16" s="118">
        <f ca="1">D136</f>
        <v>1.3612558098336496</v>
      </c>
      <c r="I16" s="4">
        <f>D8</f>
        <v>1.35</v>
      </c>
      <c r="K16" s="2" t="s">
        <v>182</v>
      </c>
      <c r="L16" s="12">
        <f>D36</f>
        <v>0.3</v>
      </c>
    </row>
    <row r="17" spans="1:16" x14ac:dyDescent="0.35">
      <c r="A17" s="1"/>
      <c r="B17" s="2" t="s">
        <v>454</v>
      </c>
      <c r="D17" s="157">
        <v>0.01</v>
      </c>
      <c r="G17" s="117" t="s">
        <v>301</v>
      </c>
      <c r="H17" s="118">
        <f ca="1">D137</f>
        <v>1.3612558098336505</v>
      </c>
    </row>
    <row r="18" spans="1:16" x14ac:dyDescent="0.35">
      <c r="A18" s="1"/>
      <c r="B18" s="2" t="s">
        <v>171</v>
      </c>
      <c r="D18" s="157">
        <v>2.5000000000000001E-3</v>
      </c>
      <c r="G18" s="117" t="s">
        <v>309</v>
      </c>
      <c r="H18" s="119">
        <f ca="1">D130</f>
        <v>0.18830534908139662</v>
      </c>
    </row>
    <row r="19" spans="1:16" x14ac:dyDescent="0.35">
      <c r="A19" s="1"/>
      <c r="G19" s="120" t="s">
        <v>321</v>
      </c>
      <c r="H19" s="121">
        <f>D69</f>
        <v>4219.9239858118854</v>
      </c>
      <c r="I19" s="4">
        <f>D56</f>
        <v>5744.3960427428001</v>
      </c>
    </row>
    <row r="20" spans="1:16" x14ac:dyDescent="0.35">
      <c r="A20" s="1"/>
      <c r="B20" s="2" t="s">
        <v>415</v>
      </c>
      <c r="D20" s="13">
        <v>150</v>
      </c>
    </row>
    <row r="21" spans="1:16" x14ac:dyDescent="0.35">
      <c r="A21" s="1"/>
    </row>
    <row r="22" spans="1:16" x14ac:dyDescent="0.35">
      <c r="A22" s="1"/>
      <c r="B22" s="2" t="s">
        <v>30</v>
      </c>
      <c r="D22" s="13">
        <v>1</v>
      </c>
      <c r="E22" s="13">
        <v>4</v>
      </c>
      <c r="F22" s="13">
        <v>6</v>
      </c>
    </row>
    <row r="23" spans="1:16" x14ac:dyDescent="0.35">
      <c r="A23" s="1"/>
      <c r="B23" s="2" t="s">
        <v>38</v>
      </c>
      <c r="D23" s="14">
        <v>0.05</v>
      </c>
      <c r="E23" s="14">
        <v>0.05</v>
      </c>
      <c r="F23" s="14">
        <v>0.03</v>
      </c>
    </row>
    <row r="24" spans="1:16" x14ac:dyDescent="0.35">
      <c r="A24" s="1"/>
      <c r="D24" s="3"/>
      <c r="E24" s="3"/>
      <c r="F24" s="3"/>
    </row>
    <row r="25" spans="1:16" x14ac:dyDescent="0.35">
      <c r="A25" s="1"/>
      <c r="B25" s="158" t="s">
        <v>490</v>
      </c>
      <c r="C25" s="159"/>
      <c r="D25" s="163">
        <f>1/40</f>
        <v>2.5000000000000001E-2</v>
      </c>
      <c r="E25" s="3"/>
      <c r="F25" s="3"/>
    </row>
    <row r="26" spans="1:16" x14ac:dyDescent="0.35">
      <c r="A26" s="1"/>
      <c r="B26" s="160" t="s">
        <v>491</v>
      </c>
      <c r="C26" s="161"/>
      <c r="D26" s="164">
        <v>0.1</v>
      </c>
      <c r="E26" s="3"/>
      <c r="F26" s="3"/>
    </row>
    <row r="27" spans="1:16" x14ac:dyDescent="0.35">
      <c r="A27" s="1"/>
    </row>
    <row r="28" spans="1:16" x14ac:dyDescent="0.35">
      <c r="A28" s="1"/>
      <c r="B28" s="2" t="s">
        <v>12</v>
      </c>
      <c r="D28" s="15">
        <v>4000</v>
      </c>
      <c r="G28" s="32" t="s">
        <v>97</v>
      </c>
      <c r="H28" s="32" t="s">
        <v>10</v>
      </c>
      <c r="I28" s="32" t="s">
        <v>15</v>
      </c>
      <c r="J28" s="32"/>
    </row>
    <row r="29" spans="1:16" x14ac:dyDescent="0.35">
      <c r="A29" s="1"/>
      <c r="B29" s="2" t="s">
        <v>95</v>
      </c>
      <c r="D29" s="4">
        <f>G29</f>
        <v>0</v>
      </c>
      <c r="G29" s="31">
        <f>E104</f>
        <v>0</v>
      </c>
      <c r="H29" s="30"/>
      <c r="I29" s="30"/>
      <c r="J29" s="28"/>
      <c r="N29" s="4"/>
      <c r="O29" s="4"/>
      <c r="P29" s="4"/>
    </row>
    <row r="30" spans="1:16" x14ac:dyDescent="0.35">
      <c r="A30" s="1"/>
      <c r="B30" s="2" t="s">
        <v>500</v>
      </c>
      <c r="D30" s="4">
        <f>E113</f>
        <v>419.90937500000001</v>
      </c>
      <c r="G30" s="165"/>
      <c r="H30" s="105"/>
      <c r="I30" s="105"/>
      <c r="J30" s="105"/>
      <c r="N30" s="4"/>
      <c r="O30" s="4"/>
      <c r="P30" s="4"/>
    </row>
    <row r="31" spans="1:16" ht="15" thickBot="1" x14ac:dyDescent="0.4">
      <c r="A31" s="1"/>
      <c r="B31" s="24" t="s">
        <v>501</v>
      </c>
      <c r="C31" s="24"/>
      <c r="D31" s="25">
        <f>D28+D29+D30</f>
        <v>4419.9093750000002</v>
      </c>
      <c r="G31" s="165"/>
      <c r="H31" s="105"/>
      <c r="I31" s="105"/>
      <c r="J31" s="105"/>
      <c r="N31" s="4"/>
      <c r="O31" s="4"/>
      <c r="P31" s="4"/>
    </row>
    <row r="32" spans="1:16" x14ac:dyDescent="0.35">
      <c r="A32" s="1"/>
      <c r="D32" s="4"/>
      <c r="G32" s="165"/>
      <c r="H32" s="105"/>
      <c r="I32" s="105"/>
      <c r="J32" s="105"/>
      <c r="N32" s="4"/>
      <c r="O32" s="4"/>
      <c r="P32" s="4"/>
    </row>
    <row r="33" spans="1:64" outlineLevel="1" x14ac:dyDescent="0.35">
      <c r="A33" s="1"/>
      <c r="B33" s="2" t="s">
        <v>86</v>
      </c>
      <c r="D33" s="14">
        <v>0.95</v>
      </c>
      <c r="I33" s="26"/>
    </row>
    <row r="34" spans="1:64" outlineLevel="1" x14ac:dyDescent="0.35">
      <c r="A34" s="1"/>
      <c r="B34" s="2" t="s">
        <v>329</v>
      </c>
      <c r="D34" s="4">
        <f>D31*D33</f>
        <v>4198.9139062499999</v>
      </c>
    </row>
    <row r="35" spans="1:64" outlineLevel="1" x14ac:dyDescent="0.35">
      <c r="A35" s="1"/>
      <c r="D35" s="4"/>
    </row>
    <row r="36" spans="1:64" outlineLevel="1" x14ac:dyDescent="0.35">
      <c r="A36" s="1"/>
      <c r="B36" s="2" t="s">
        <v>182</v>
      </c>
      <c r="D36" s="157">
        <f>F36/100</f>
        <v>0.3</v>
      </c>
      <c r="F36" s="2">
        <v>30</v>
      </c>
    </row>
    <row r="37" spans="1:64" s="10" customFormat="1" outlineLevel="1" x14ac:dyDescent="0.35">
      <c r="A37" s="22"/>
    </row>
    <row r="38" spans="1:64" s="98" customFormat="1" outlineLevel="1" x14ac:dyDescent="0.35">
      <c r="A38" s="98" t="s">
        <v>210</v>
      </c>
    </row>
    <row r="39" spans="1:64" x14ac:dyDescent="0.35">
      <c r="A39" s="1"/>
      <c r="B39" s="2" t="s">
        <v>65</v>
      </c>
      <c r="E39" s="13">
        <v>1</v>
      </c>
      <c r="F39" s="13">
        <v>2</v>
      </c>
      <c r="G39" s="13">
        <v>3</v>
      </c>
      <c r="H39" s="13">
        <v>4</v>
      </c>
      <c r="I39" s="13">
        <v>5</v>
      </c>
      <c r="J39" s="13">
        <v>6</v>
      </c>
      <c r="K39" s="13">
        <v>7</v>
      </c>
      <c r="L39" s="13">
        <v>8</v>
      </c>
      <c r="M39" s="13">
        <v>9</v>
      </c>
      <c r="N39" s="13">
        <v>10</v>
      </c>
      <c r="O39" s="13">
        <v>11</v>
      </c>
      <c r="P39" s="13">
        <v>12</v>
      </c>
      <c r="Q39" s="13">
        <v>13</v>
      </c>
      <c r="R39" s="13">
        <v>14</v>
      </c>
      <c r="S39" s="13">
        <v>15</v>
      </c>
      <c r="T39" s="13">
        <v>16</v>
      </c>
      <c r="U39" s="13">
        <v>17</v>
      </c>
      <c r="V39" s="13">
        <v>18</v>
      </c>
      <c r="W39" s="13">
        <v>19</v>
      </c>
      <c r="X39" s="13">
        <v>20</v>
      </c>
      <c r="Y39" s="13">
        <v>21</v>
      </c>
      <c r="Z39" s="13">
        <v>22</v>
      </c>
      <c r="AA39" s="13">
        <v>23</v>
      </c>
      <c r="AB39" s="13">
        <v>24</v>
      </c>
      <c r="AC39" s="13">
        <v>25</v>
      </c>
      <c r="AD39" s="13">
        <v>26</v>
      </c>
      <c r="AE39" s="13">
        <v>27</v>
      </c>
      <c r="AF39" s="13">
        <v>28</v>
      </c>
      <c r="AG39" s="13">
        <v>29</v>
      </c>
      <c r="AH39" s="13">
        <v>30</v>
      </c>
      <c r="AI39" s="13">
        <v>31</v>
      </c>
      <c r="AJ39" s="13">
        <v>32</v>
      </c>
      <c r="AK39" s="13">
        <v>33</v>
      </c>
      <c r="AL39" s="13">
        <v>34</v>
      </c>
      <c r="AM39" s="13">
        <v>35</v>
      </c>
      <c r="AN39" s="13">
        <v>36</v>
      </c>
      <c r="AO39" s="13">
        <v>37</v>
      </c>
      <c r="AP39" s="13">
        <v>38</v>
      </c>
      <c r="AQ39" s="13">
        <v>39</v>
      </c>
      <c r="AR39" s="13">
        <v>40</v>
      </c>
      <c r="AS39" s="13">
        <v>41</v>
      </c>
      <c r="AT39" s="13">
        <v>42</v>
      </c>
      <c r="AU39" s="13">
        <v>43</v>
      </c>
      <c r="AV39" s="13">
        <v>44</v>
      </c>
      <c r="AW39" s="13">
        <v>45</v>
      </c>
      <c r="AX39" s="13">
        <v>46</v>
      </c>
      <c r="AY39" s="13">
        <v>47</v>
      </c>
      <c r="AZ39" s="13">
        <v>48</v>
      </c>
      <c r="BA39" s="13">
        <v>49</v>
      </c>
      <c r="BB39" s="13">
        <v>50</v>
      </c>
      <c r="BC39" s="13">
        <v>51</v>
      </c>
      <c r="BD39" s="13">
        <v>52</v>
      </c>
      <c r="BE39" s="13">
        <v>53</v>
      </c>
      <c r="BF39" s="13">
        <v>54</v>
      </c>
      <c r="BG39" s="13">
        <v>55</v>
      </c>
      <c r="BH39" s="13">
        <v>56</v>
      </c>
      <c r="BI39" s="13">
        <v>57</v>
      </c>
      <c r="BJ39" s="13">
        <v>58</v>
      </c>
      <c r="BK39" s="13">
        <v>59</v>
      </c>
      <c r="BL39" s="13">
        <v>60</v>
      </c>
    </row>
    <row r="40" spans="1:64" x14ac:dyDescent="0.35">
      <c r="A40" s="1"/>
      <c r="B40" s="2" t="s">
        <v>30</v>
      </c>
      <c r="E40" s="2">
        <f t="shared" ref="E40:BL40" si="0">ROUNDUP(E39/2,0)</f>
        <v>1</v>
      </c>
      <c r="F40" s="2">
        <f t="shared" si="0"/>
        <v>1</v>
      </c>
      <c r="G40" s="2">
        <f t="shared" si="0"/>
        <v>2</v>
      </c>
      <c r="H40" s="2">
        <f t="shared" si="0"/>
        <v>2</v>
      </c>
      <c r="I40" s="2">
        <f t="shared" si="0"/>
        <v>3</v>
      </c>
      <c r="J40" s="2">
        <f t="shared" si="0"/>
        <v>3</v>
      </c>
      <c r="K40" s="2">
        <f t="shared" si="0"/>
        <v>4</v>
      </c>
      <c r="L40" s="2">
        <f t="shared" si="0"/>
        <v>4</v>
      </c>
      <c r="M40" s="2">
        <f t="shared" si="0"/>
        <v>5</v>
      </c>
      <c r="N40" s="2">
        <f t="shared" si="0"/>
        <v>5</v>
      </c>
      <c r="O40" s="2">
        <f t="shared" si="0"/>
        <v>6</v>
      </c>
      <c r="P40" s="2">
        <f t="shared" si="0"/>
        <v>6</v>
      </c>
      <c r="Q40" s="2">
        <f t="shared" si="0"/>
        <v>7</v>
      </c>
      <c r="R40" s="2">
        <f t="shared" si="0"/>
        <v>7</v>
      </c>
      <c r="S40" s="2">
        <f t="shared" si="0"/>
        <v>8</v>
      </c>
      <c r="T40" s="2">
        <f t="shared" si="0"/>
        <v>8</v>
      </c>
      <c r="U40" s="2">
        <f t="shared" si="0"/>
        <v>9</v>
      </c>
      <c r="V40" s="2">
        <f t="shared" si="0"/>
        <v>9</v>
      </c>
      <c r="W40" s="2">
        <f t="shared" si="0"/>
        <v>10</v>
      </c>
      <c r="X40" s="2">
        <f t="shared" si="0"/>
        <v>10</v>
      </c>
      <c r="Y40" s="2">
        <f t="shared" si="0"/>
        <v>11</v>
      </c>
      <c r="Z40" s="2">
        <f t="shared" si="0"/>
        <v>11</v>
      </c>
      <c r="AA40" s="2">
        <f t="shared" si="0"/>
        <v>12</v>
      </c>
      <c r="AB40" s="2">
        <f t="shared" si="0"/>
        <v>12</v>
      </c>
      <c r="AC40" s="2">
        <f t="shared" si="0"/>
        <v>13</v>
      </c>
      <c r="AD40" s="2">
        <f t="shared" si="0"/>
        <v>13</v>
      </c>
      <c r="AE40" s="2">
        <f t="shared" si="0"/>
        <v>14</v>
      </c>
      <c r="AF40" s="2">
        <f t="shared" si="0"/>
        <v>14</v>
      </c>
      <c r="AG40" s="2">
        <f t="shared" si="0"/>
        <v>15</v>
      </c>
      <c r="AH40" s="2">
        <f t="shared" si="0"/>
        <v>15</v>
      </c>
      <c r="AI40" s="2">
        <f t="shared" si="0"/>
        <v>16</v>
      </c>
      <c r="AJ40" s="2">
        <f t="shared" si="0"/>
        <v>16</v>
      </c>
      <c r="AK40" s="2">
        <f t="shared" si="0"/>
        <v>17</v>
      </c>
      <c r="AL40" s="2">
        <f t="shared" si="0"/>
        <v>17</v>
      </c>
      <c r="AM40" s="2">
        <f t="shared" si="0"/>
        <v>18</v>
      </c>
      <c r="AN40" s="2">
        <f t="shared" si="0"/>
        <v>18</v>
      </c>
      <c r="AO40" s="2">
        <f t="shared" si="0"/>
        <v>19</v>
      </c>
      <c r="AP40" s="2">
        <f t="shared" si="0"/>
        <v>19</v>
      </c>
      <c r="AQ40" s="2">
        <f t="shared" si="0"/>
        <v>20</v>
      </c>
      <c r="AR40" s="2">
        <f t="shared" si="0"/>
        <v>20</v>
      </c>
      <c r="AS40" s="2">
        <f t="shared" si="0"/>
        <v>21</v>
      </c>
      <c r="AT40" s="2">
        <f t="shared" si="0"/>
        <v>21</v>
      </c>
      <c r="AU40" s="2">
        <f t="shared" si="0"/>
        <v>22</v>
      </c>
      <c r="AV40" s="2">
        <f t="shared" si="0"/>
        <v>22</v>
      </c>
      <c r="AW40" s="2">
        <f t="shared" si="0"/>
        <v>23</v>
      </c>
      <c r="AX40" s="2">
        <f t="shared" si="0"/>
        <v>23</v>
      </c>
      <c r="AY40" s="2">
        <f t="shared" si="0"/>
        <v>24</v>
      </c>
      <c r="AZ40" s="2">
        <f t="shared" si="0"/>
        <v>24</v>
      </c>
      <c r="BA40" s="2">
        <f t="shared" si="0"/>
        <v>25</v>
      </c>
      <c r="BB40" s="2">
        <f t="shared" si="0"/>
        <v>25</v>
      </c>
      <c r="BC40" s="2">
        <f t="shared" si="0"/>
        <v>26</v>
      </c>
      <c r="BD40" s="2">
        <f t="shared" si="0"/>
        <v>26</v>
      </c>
      <c r="BE40" s="2">
        <f t="shared" si="0"/>
        <v>27</v>
      </c>
      <c r="BF40" s="2">
        <f t="shared" si="0"/>
        <v>27</v>
      </c>
      <c r="BG40" s="2">
        <f t="shared" si="0"/>
        <v>28</v>
      </c>
      <c r="BH40" s="2">
        <f t="shared" si="0"/>
        <v>28</v>
      </c>
      <c r="BI40" s="2">
        <f t="shared" si="0"/>
        <v>29</v>
      </c>
      <c r="BJ40" s="2">
        <f t="shared" si="0"/>
        <v>29</v>
      </c>
      <c r="BK40" s="2">
        <f t="shared" si="0"/>
        <v>30</v>
      </c>
      <c r="BL40" s="2">
        <f t="shared" si="0"/>
        <v>30</v>
      </c>
    </row>
    <row r="41" spans="1:64" x14ac:dyDescent="0.35">
      <c r="A41" s="1"/>
      <c r="C41" s="2" t="s">
        <v>80</v>
      </c>
      <c r="E41" s="2" t="b">
        <f t="shared" ref="E41:BL41" si="1">E39&lt;=$D$10*2</f>
        <v>1</v>
      </c>
      <c r="F41" s="2" t="b">
        <f t="shared" si="1"/>
        <v>1</v>
      </c>
      <c r="G41" s="2" t="b">
        <f t="shared" si="1"/>
        <v>1</v>
      </c>
      <c r="H41" s="2" t="b">
        <f t="shared" si="1"/>
        <v>1</v>
      </c>
      <c r="I41" s="2" t="b">
        <f t="shared" si="1"/>
        <v>1</v>
      </c>
      <c r="J41" s="2" t="b">
        <f t="shared" si="1"/>
        <v>1</v>
      </c>
      <c r="K41" s="2" t="b">
        <f t="shared" si="1"/>
        <v>1</v>
      </c>
      <c r="L41" s="2" t="b">
        <f t="shared" si="1"/>
        <v>1</v>
      </c>
      <c r="M41" s="2" t="b">
        <f t="shared" si="1"/>
        <v>1</v>
      </c>
      <c r="N41" s="2" t="b">
        <f t="shared" si="1"/>
        <v>1</v>
      </c>
      <c r="O41" s="2" t="b">
        <f t="shared" si="1"/>
        <v>1</v>
      </c>
      <c r="P41" s="2" t="b">
        <f t="shared" si="1"/>
        <v>1</v>
      </c>
      <c r="Q41" s="2" t="b">
        <f t="shared" si="1"/>
        <v>1</v>
      </c>
      <c r="R41" s="2" t="b">
        <f t="shared" si="1"/>
        <v>1</v>
      </c>
      <c r="S41" s="2" t="b">
        <f t="shared" si="1"/>
        <v>1</v>
      </c>
      <c r="T41" s="2" t="b">
        <f t="shared" si="1"/>
        <v>1</v>
      </c>
      <c r="U41" s="2" t="b">
        <f t="shared" si="1"/>
        <v>1</v>
      </c>
      <c r="V41" s="2" t="b">
        <f t="shared" si="1"/>
        <v>1</v>
      </c>
      <c r="W41" s="2" t="b">
        <f t="shared" si="1"/>
        <v>1</v>
      </c>
      <c r="X41" s="2" t="b">
        <f t="shared" si="1"/>
        <v>1</v>
      </c>
      <c r="Y41" s="2" t="b">
        <f t="shared" si="1"/>
        <v>1</v>
      </c>
      <c r="Z41" s="2" t="b">
        <f t="shared" si="1"/>
        <v>1</v>
      </c>
      <c r="AA41" s="2" t="b">
        <f t="shared" si="1"/>
        <v>1</v>
      </c>
      <c r="AB41" s="2" t="b">
        <f t="shared" si="1"/>
        <v>1</v>
      </c>
      <c r="AC41" s="2" t="b">
        <f t="shared" si="1"/>
        <v>1</v>
      </c>
      <c r="AD41" s="2" t="b">
        <f t="shared" si="1"/>
        <v>1</v>
      </c>
      <c r="AE41" s="2" t="b">
        <f t="shared" si="1"/>
        <v>1</v>
      </c>
      <c r="AF41" s="2" t="b">
        <f t="shared" si="1"/>
        <v>1</v>
      </c>
      <c r="AG41" s="2" t="b">
        <f t="shared" si="1"/>
        <v>1</v>
      </c>
      <c r="AH41" s="2" t="b">
        <f t="shared" si="1"/>
        <v>1</v>
      </c>
      <c r="AI41" s="2" t="b">
        <f t="shared" si="1"/>
        <v>1</v>
      </c>
      <c r="AJ41" s="2" t="b">
        <f t="shared" si="1"/>
        <v>1</v>
      </c>
      <c r="AK41" s="2" t="b">
        <f t="shared" si="1"/>
        <v>1</v>
      </c>
      <c r="AL41" s="2" t="b">
        <f t="shared" si="1"/>
        <v>1</v>
      </c>
      <c r="AM41" s="2" t="b">
        <f t="shared" si="1"/>
        <v>1</v>
      </c>
      <c r="AN41" s="2" t="b">
        <f t="shared" si="1"/>
        <v>1</v>
      </c>
      <c r="AO41" s="2" t="b">
        <f t="shared" si="1"/>
        <v>1</v>
      </c>
      <c r="AP41" s="2" t="b">
        <f t="shared" si="1"/>
        <v>1</v>
      </c>
      <c r="AQ41" s="2" t="b">
        <f t="shared" si="1"/>
        <v>1</v>
      </c>
      <c r="AR41" s="2" t="b">
        <f t="shared" si="1"/>
        <v>1</v>
      </c>
      <c r="AS41" s="2" t="b">
        <f t="shared" si="1"/>
        <v>0</v>
      </c>
      <c r="AT41" s="2" t="b">
        <f t="shared" si="1"/>
        <v>0</v>
      </c>
      <c r="AU41" s="2" t="b">
        <f t="shared" si="1"/>
        <v>0</v>
      </c>
      <c r="AV41" s="2" t="b">
        <f t="shared" si="1"/>
        <v>0</v>
      </c>
      <c r="AW41" s="2" t="b">
        <f t="shared" si="1"/>
        <v>0</v>
      </c>
      <c r="AX41" s="2" t="b">
        <f t="shared" si="1"/>
        <v>0</v>
      </c>
      <c r="AY41" s="2" t="b">
        <f t="shared" si="1"/>
        <v>0</v>
      </c>
      <c r="AZ41" s="2" t="b">
        <f t="shared" si="1"/>
        <v>0</v>
      </c>
      <c r="BA41" s="2" t="b">
        <f t="shared" si="1"/>
        <v>0</v>
      </c>
      <c r="BB41" s="2" t="b">
        <f t="shared" si="1"/>
        <v>0</v>
      </c>
      <c r="BC41" s="2" t="b">
        <f t="shared" si="1"/>
        <v>0</v>
      </c>
      <c r="BD41" s="2" t="b">
        <f t="shared" si="1"/>
        <v>0</v>
      </c>
      <c r="BE41" s="2" t="b">
        <f t="shared" si="1"/>
        <v>0</v>
      </c>
      <c r="BF41" s="2" t="b">
        <f t="shared" si="1"/>
        <v>0</v>
      </c>
      <c r="BG41" s="2" t="b">
        <f t="shared" si="1"/>
        <v>0</v>
      </c>
      <c r="BH41" s="2" t="b">
        <f t="shared" si="1"/>
        <v>0</v>
      </c>
      <c r="BI41" s="2" t="b">
        <f t="shared" si="1"/>
        <v>0</v>
      </c>
      <c r="BJ41" s="2" t="b">
        <f t="shared" si="1"/>
        <v>0</v>
      </c>
      <c r="BK41" s="2" t="b">
        <f t="shared" si="1"/>
        <v>0</v>
      </c>
      <c r="BL41" s="2" t="b">
        <f t="shared" si="1"/>
        <v>0</v>
      </c>
    </row>
    <row r="42" spans="1:64" x14ac:dyDescent="0.35">
      <c r="A42" s="1"/>
      <c r="C42" s="2" t="s">
        <v>144</v>
      </c>
      <c r="E42" s="13" t="b">
        <v>1</v>
      </c>
      <c r="F42" s="13" t="b">
        <v>1</v>
      </c>
      <c r="G42" s="13" t="b">
        <v>1</v>
      </c>
      <c r="H42" s="13" t="b">
        <v>1</v>
      </c>
      <c r="I42" s="13" t="b">
        <v>1</v>
      </c>
      <c r="J42" s="13" t="b">
        <v>1</v>
      </c>
      <c r="K42" s="13" t="b">
        <v>1</v>
      </c>
      <c r="L42" s="13" t="b">
        <v>1</v>
      </c>
      <c r="M42" s="13" t="b">
        <v>1</v>
      </c>
      <c r="N42" s="13" t="b">
        <v>1</v>
      </c>
      <c r="O42" s="13" t="b">
        <v>1</v>
      </c>
      <c r="P42" s="13" t="b">
        <v>1</v>
      </c>
      <c r="Q42" s="13" t="b">
        <v>1</v>
      </c>
      <c r="R42" s="13" t="b">
        <v>1</v>
      </c>
      <c r="S42" s="13" t="b">
        <v>1</v>
      </c>
      <c r="T42" s="13" t="b">
        <v>1</v>
      </c>
      <c r="U42" s="13" t="b">
        <v>1</v>
      </c>
      <c r="V42" s="13" t="b">
        <v>1</v>
      </c>
      <c r="W42" s="13" t="b">
        <v>1</v>
      </c>
      <c r="X42" s="13" t="b">
        <v>1</v>
      </c>
      <c r="Y42" s="13" t="b">
        <v>1</v>
      </c>
      <c r="Z42" s="13" t="b">
        <v>1</v>
      </c>
      <c r="AA42" s="13" t="b">
        <v>1</v>
      </c>
      <c r="AB42" s="13" t="b">
        <v>1</v>
      </c>
      <c r="AC42" s="13" t="b">
        <v>1</v>
      </c>
      <c r="AD42" s="13" t="b">
        <v>1</v>
      </c>
      <c r="AE42" s="13" t="b">
        <v>1</v>
      </c>
      <c r="AF42" s="13" t="b">
        <v>1</v>
      </c>
      <c r="AG42" s="13" t="b">
        <v>1</v>
      </c>
      <c r="AH42" s="13" t="b">
        <v>1</v>
      </c>
      <c r="AI42" s="13" t="b">
        <v>1</v>
      </c>
      <c r="AJ42" s="13" t="b">
        <v>1</v>
      </c>
      <c r="AK42" s="13" t="b">
        <v>1</v>
      </c>
      <c r="AL42" s="13" t="b">
        <v>1</v>
      </c>
      <c r="AM42" s="13" t="b">
        <v>1</v>
      </c>
      <c r="AN42" s="13" t="b">
        <v>1</v>
      </c>
      <c r="AO42" s="13" t="b">
        <v>1</v>
      </c>
      <c r="AP42" s="13" t="b">
        <v>1</v>
      </c>
      <c r="AQ42" s="13" t="b">
        <v>1</v>
      </c>
      <c r="AR42" s="13" t="b">
        <v>1</v>
      </c>
      <c r="AS42" s="13" t="b">
        <v>1</v>
      </c>
      <c r="AT42" s="13" t="b">
        <v>1</v>
      </c>
      <c r="AU42" s="13" t="b">
        <v>1</v>
      </c>
      <c r="AV42" s="13" t="b">
        <v>1</v>
      </c>
      <c r="AW42" s="13" t="b">
        <v>1</v>
      </c>
      <c r="AX42" s="13" t="b">
        <v>1</v>
      </c>
      <c r="AY42" s="13" t="b">
        <v>1</v>
      </c>
      <c r="AZ42" s="13" t="b">
        <v>1</v>
      </c>
      <c r="BA42" s="13" t="b">
        <v>1</v>
      </c>
      <c r="BB42" s="13" t="b">
        <v>1</v>
      </c>
      <c r="BC42" s="13" t="b">
        <v>1</v>
      </c>
      <c r="BD42" s="13" t="b">
        <v>1</v>
      </c>
      <c r="BE42" s="13" t="b">
        <v>1</v>
      </c>
      <c r="BF42" s="13" t="b">
        <v>1</v>
      </c>
      <c r="BG42" s="13" t="b">
        <v>1</v>
      </c>
      <c r="BH42" s="13" t="b">
        <v>1</v>
      </c>
      <c r="BI42" s="13" t="b">
        <v>1</v>
      </c>
      <c r="BJ42" s="13" t="b">
        <v>1</v>
      </c>
      <c r="BK42" s="13" t="b">
        <v>1</v>
      </c>
      <c r="BL42" s="13" t="b">
        <v>1</v>
      </c>
    </row>
    <row r="43" spans="1:64" x14ac:dyDescent="0.35">
      <c r="A43" s="1"/>
    </row>
    <row r="44" spans="1:64" x14ac:dyDescent="0.35">
      <c r="A44" s="1"/>
      <c r="C44" s="2" t="s">
        <v>38</v>
      </c>
      <c r="E44" s="12">
        <f t="shared" ref="E44:BL44" si="2">LOOKUP(E40,22:22,23:23)/2</f>
        <v>2.5000000000000001E-2</v>
      </c>
      <c r="F44" s="12">
        <f t="shared" si="2"/>
        <v>2.5000000000000001E-2</v>
      </c>
      <c r="G44" s="12">
        <f t="shared" si="2"/>
        <v>2.5000000000000001E-2</v>
      </c>
      <c r="H44" s="12">
        <f t="shared" si="2"/>
        <v>2.5000000000000001E-2</v>
      </c>
      <c r="I44" s="12">
        <f t="shared" si="2"/>
        <v>2.5000000000000001E-2</v>
      </c>
      <c r="J44" s="12">
        <f t="shared" si="2"/>
        <v>2.5000000000000001E-2</v>
      </c>
      <c r="K44" s="12">
        <f t="shared" si="2"/>
        <v>2.5000000000000001E-2</v>
      </c>
      <c r="L44" s="12">
        <f t="shared" si="2"/>
        <v>2.5000000000000001E-2</v>
      </c>
      <c r="M44" s="12">
        <f t="shared" si="2"/>
        <v>2.5000000000000001E-2</v>
      </c>
      <c r="N44" s="12">
        <f t="shared" si="2"/>
        <v>2.5000000000000001E-2</v>
      </c>
      <c r="O44" s="12">
        <f t="shared" si="2"/>
        <v>1.4999999999999999E-2</v>
      </c>
      <c r="P44" s="12">
        <f t="shared" si="2"/>
        <v>1.4999999999999999E-2</v>
      </c>
      <c r="Q44" s="12">
        <f t="shared" si="2"/>
        <v>1.4999999999999999E-2</v>
      </c>
      <c r="R44" s="12">
        <f t="shared" si="2"/>
        <v>1.4999999999999999E-2</v>
      </c>
      <c r="S44" s="12">
        <f t="shared" si="2"/>
        <v>1.4999999999999999E-2</v>
      </c>
      <c r="T44" s="12">
        <f t="shared" si="2"/>
        <v>1.4999999999999999E-2</v>
      </c>
      <c r="U44" s="12">
        <f t="shared" si="2"/>
        <v>1.4999999999999999E-2</v>
      </c>
      <c r="V44" s="12">
        <f t="shared" si="2"/>
        <v>1.4999999999999999E-2</v>
      </c>
      <c r="W44" s="12">
        <f t="shared" si="2"/>
        <v>1.4999999999999999E-2</v>
      </c>
      <c r="X44" s="12">
        <f t="shared" si="2"/>
        <v>1.4999999999999999E-2</v>
      </c>
      <c r="Y44" s="12">
        <f t="shared" si="2"/>
        <v>1.4999999999999999E-2</v>
      </c>
      <c r="Z44" s="12">
        <f t="shared" si="2"/>
        <v>1.4999999999999999E-2</v>
      </c>
      <c r="AA44" s="12">
        <f t="shared" si="2"/>
        <v>1.4999999999999999E-2</v>
      </c>
      <c r="AB44" s="12">
        <f t="shared" si="2"/>
        <v>1.4999999999999999E-2</v>
      </c>
      <c r="AC44" s="12">
        <f t="shared" si="2"/>
        <v>1.4999999999999999E-2</v>
      </c>
      <c r="AD44" s="12">
        <f t="shared" si="2"/>
        <v>1.4999999999999999E-2</v>
      </c>
      <c r="AE44" s="12">
        <f t="shared" si="2"/>
        <v>1.4999999999999999E-2</v>
      </c>
      <c r="AF44" s="12">
        <f t="shared" si="2"/>
        <v>1.4999999999999999E-2</v>
      </c>
      <c r="AG44" s="12">
        <f t="shared" si="2"/>
        <v>1.4999999999999999E-2</v>
      </c>
      <c r="AH44" s="12">
        <f t="shared" si="2"/>
        <v>1.4999999999999999E-2</v>
      </c>
      <c r="AI44" s="12">
        <f t="shared" si="2"/>
        <v>1.4999999999999999E-2</v>
      </c>
      <c r="AJ44" s="12">
        <f t="shared" si="2"/>
        <v>1.4999999999999999E-2</v>
      </c>
      <c r="AK44" s="12">
        <f t="shared" si="2"/>
        <v>1.4999999999999999E-2</v>
      </c>
      <c r="AL44" s="12">
        <f t="shared" si="2"/>
        <v>1.4999999999999999E-2</v>
      </c>
      <c r="AM44" s="12">
        <f t="shared" si="2"/>
        <v>1.4999999999999999E-2</v>
      </c>
      <c r="AN44" s="12">
        <f t="shared" si="2"/>
        <v>1.4999999999999999E-2</v>
      </c>
      <c r="AO44" s="12">
        <f t="shared" si="2"/>
        <v>1.4999999999999999E-2</v>
      </c>
      <c r="AP44" s="12">
        <f t="shared" si="2"/>
        <v>1.4999999999999999E-2</v>
      </c>
      <c r="AQ44" s="12">
        <f t="shared" si="2"/>
        <v>1.4999999999999999E-2</v>
      </c>
      <c r="AR44" s="12">
        <f t="shared" si="2"/>
        <v>1.4999999999999999E-2</v>
      </c>
      <c r="AS44" s="12">
        <f t="shared" si="2"/>
        <v>1.4999999999999999E-2</v>
      </c>
      <c r="AT44" s="12">
        <f t="shared" si="2"/>
        <v>1.4999999999999999E-2</v>
      </c>
      <c r="AU44" s="12">
        <f t="shared" si="2"/>
        <v>1.4999999999999999E-2</v>
      </c>
      <c r="AV44" s="12">
        <f t="shared" si="2"/>
        <v>1.4999999999999999E-2</v>
      </c>
      <c r="AW44" s="12">
        <f t="shared" si="2"/>
        <v>1.4999999999999999E-2</v>
      </c>
      <c r="AX44" s="12">
        <f t="shared" si="2"/>
        <v>1.4999999999999999E-2</v>
      </c>
      <c r="AY44" s="12">
        <f t="shared" si="2"/>
        <v>1.4999999999999999E-2</v>
      </c>
      <c r="AZ44" s="12">
        <f t="shared" si="2"/>
        <v>1.4999999999999999E-2</v>
      </c>
      <c r="BA44" s="12">
        <f t="shared" si="2"/>
        <v>1.4999999999999999E-2</v>
      </c>
      <c r="BB44" s="12">
        <f t="shared" si="2"/>
        <v>1.4999999999999999E-2</v>
      </c>
      <c r="BC44" s="12">
        <f t="shared" si="2"/>
        <v>1.4999999999999999E-2</v>
      </c>
      <c r="BD44" s="12">
        <f t="shared" si="2"/>
        <v>1.4999999999999999E-2</v>
      </c>
      <c r="BE44" s="12">
        <f t="shared" si="2"/>
        <v>1.4999999999999999E-2</v>
      </c>
      <c r="BF44" s="12">
        <f t="shared" si="2"/>
        <v>1.4999999999999999E-2</v>
      </c>
      <c r="BG44" s="12">
        <f t="shared" si="2"/>
        <v>1.4999999999999999E-2</v>
      </c>
      <c r="BH44" s="12">
        <f t="shared" si="2"/>
        <v>1.4999999999999999E-2</v>
      </c>
      <c r="BI44" s="12">
        <f t="shared" si="2"/>
        <v>1.4999999999999999E-2</v>
      </c>
      <c r="BJ44" s="12">
        <f t="shared" si="2"/>
        <v>1.4999999999999999E-2</v>
      </c>
      <c r="BK44" s="12">
        <f t="shared" si="2"/>
        <v>1.4999999999999999E-2</v>
      </c>
      <c r="BL44" s="12">
        <f t="shared" si="2"/>
        <v>1.4999999999999999E-2</v>
      </c>
    </row>
    <row r="45" spans="1:64" x14ac:dyDescent="0.35">
      <c r="A45" s="1"/>
      <c r="C45" s="2" t="s">
        <v>104</v>
      </c>
      <c r="D45" s="4">
        <f>D20</f>
        <v>150</v>
      </c>
      <c r="E45" s="4">
        <f t="shared" ref="E45:BL45" si="3">D45*(1+E44)</f>
        <v>153.75</v>
      </c>
      <c r="F45" s="4">
        <f t="shared" si="3"/>
        <v>157.59375</v>
      </c>
      <c r="G45" s="4">
        <f t="shared" si="3"/>
        <v>161.53359374999999</v>
      </c>
      <c r="H45" s="4">
        <f t="shared" si="3"/>
        <v>165.57193359374997</v>
      </c>
      <c r="I45" s="4">
        <f t="shared" si="3"/>
        <v>169.71123193359372</v>
      </c>
      <c r="J45" s="4">
        <f t="shared" si="3"/>
        <v>173.95401273193355</v>
      </c>
      <c r="K45" s="4">
        <f t="shared" si="3"/>
        <v>178.30286305023188</v>
      </c>
      <c r="L45" s="4">
        <f t="shared" si="3"/>
        <v>182.76043462648767</v>
      </c>
      <c r="M45" s="4">
        <f t="shared" si="3"/>
        <v>187.32944549214983</v>
      </c>
      <c r="N45" s="4">
        <f t="shared" si="3"/>
        <v>192.01268162945357</v>
      </c>
      <c r="O45" s="4">
        <f t="shared" si="3"/>
        <v>194.89287185389534</v>
      </c>
      <c r="P45" s="4">
        <f t="shared" si="3"/>
        <v>197.81626493170376</v>
      </c>
      <c r="Q45" s="4">
        <f t="shared" si="3"/>
        <v>200.7835089056793</v>
      </c>
      <c r="R45" s="4">
        <f t="shared" si="3"/>
        <v>203.79526153926446</v>
      </c>
      <c r="S45" s="4">
        <f t="shared" si="3"/>
        <v>206.85219046235341</v>
      </c>
      <c r="T45" s="4">
        <f t="shared" si="3"/>
        <v>209.95497331928868</v>
      </c>
      <c r="U45" s="4">
        <f t="shared" si="3"/>
        <v>213.10429791907799</v>
      </c>
      <c r="V45" s="4">
        <f t="shared" si="3"/>
        <v>216.30086238786413</v>
      </c>
      <c r="W45" s="4">
        <f t="shared" si="3"/>
        <v>219.54537532368207</v>
      </c>
      <c r="X45" s="4">
        <f t="shared" si="3"/>
        <v>222.83855595353728</v>
      </c>
      <c r="Y45" s="4">
        <f t="shared" si="3"/>
        <v>226.18113429284031</v>
      </c>
      <c r="Z45" s="4">
        <f t="shared" si="3"/>
        <v>229.5738513072329</v>
      </c>
      <c r="AA45" s="4">
        <f t="shared" si="3"/>
        <v>233.01745907684136</v>
      </c>
      <c r="AB45" s="4">
        <f t="shared" si="3"/>
        <v>236.51272096299397</v>
      </c>
      <c r="AC45" s="4">
        <f t="shared" si="3"/>
        <v>240.06041177743884</v>
      </c>
      <c r="AD45" s="4">
        <f t="shared" si="3"/>
        <v>243.66131795410041</v>
      </c>
      <c r="AE45" s="4">
        <f t="shared" si="3"/>
        <v>247.31623772341189</v>
      </c>
      <c r="AF45" s="4">
        <f t="shared" si="3"/>
        <v>251.02598128926303</v>
      </c>
      <c r="AG45" s="4">
        <f t="shared" si="3"/>
        <v>254.79137100860194</v>
      </c>
      <c r="AH45" s="4">
        <f t="shared" si="3"/>
        <v>258.61324157373093</v>
      </c>
      <c r="AI45" s="4">
        <f t="shared" si="3"/>
        <v>262.49244019733686</v>
      </c>
      <c r="AJ45" s="4">
        <f t="shared" si="3"/>
        <v>266.42982680029689</v>
      </c>
      <c r="AK45" s="4">
        <f t="shared" si="3"/>
        <v>270.42627420230133</v>
      </c>
      <c r="AL45" s="4">
        <f t="shared" si="3"/>
        <v>274.48266831533584</v>
      </c>
      <c r="AM45" s="4">
        <f t="shared" si="3"/>
        <v>278.59990834006584</v>
      </c>
      <c r="AN45" s="4">
        <f t="shared" si="3"/>
        <v>282.77890696516681</v>
      </c>
      <c r="AO45" s="4">
        <f t="shared" si="3"/>
        <v>287.0205905696443</v>
      </c>
      <c r="AP45" s="4">
        <f t="shared" si="3"/>
        <v>291.32589942818896</v>
      </c>
      <c r="AQ45" s="4">
        <f t="shared" si="3"/>
        <v>295.69578791961175</v>
      </c>
      <c r="AR45" s="4">
        <f t="shared" si="3"/>
        <v>300.13122473840588</v>
      </c>
      <c r="AS45" s="4">
        <f t="shared" si="3"/>
        <v>304.63319310948191</v>
      </c>
      <c r="AT45" s="4">
        <f t="shared" si="3"/>
        <v>309.2026910061241</v>
      </c>
      <c r="AU45" s="4">
        <f t="shared" si="3"/>
        <v>313.84073137121595</v>
      </c>
      <c r="AV45" s="4">
        <f t="shared" si="3"/>
        <v>318.54834234178418</v>
      </c>
      <c r="AW45" s="4">
        <f t="shared" si="3"/>
        <v>323.3265674769109</v>
      </c>
      <c r="AX45" s="4">
        <f t="shared" si="3"/>
        <v>328.17646598906452</v>
      </c>
      <c r="AY45" s="4">
        <f t="shared" si="3"/>
        <v>333.09911297890045</v>
      </c>
      <c r="AZ45" s="4">
        <f t="shared" si="3"/>
        <v>338.09559967358393</v>
      </c>
      <c r="BA45" s="4">
        <f t="shared" si="3"/>
        <v>343.16703366868768</v>
      </c>
      <c r="BB45" s="4">
        <f t="shared" si="3"/>
        <v>348.31453917371795</v>
      </c>
      <c r="BC45" s="4">
        <f t="shared" si="3"/>
        <v>353.53925726132366</v>
      </c>
      <c r="BD45" s="4">
        <f t="shared" si="3"/>
        <v>358.84234612024346</v>
      </c>
      <c r="BE45" s="4">
        <f t="shared" si="3"/>
        <v>364.22498131204708</v>
      </c>
      <c r="BF45" s="4">
        <f t="shared" si="3"/>
        <v>369.68835603172772</v>
      </c>
      <c r="BG45" s="4">
        <f t="shared" si="3"/>
        <v>375.23368137220359</v>
      </c>
      <c r="BH45" s="4">
        <f t="shared" si="3"/>
        <v>380.8621865927866</v>
      </c>
      <c r="BI45" s="4">
        <f t="shared" si="3"/>
        <v>386.57511939167836</v>
      </c>
      <c r="BJ45" s="4">
        <f t="shared" si="3"/>
        <v>392.37374618255348</v>
      </c>
      <c r="BK45" s="4">
        <f t="shared" si="3"/>
        <v>398.25935237529171</v>
      </c>
      <c r="BL45" s="4">
        <f t="shared" si="3"/>
        <v>404.23324266092106</v>
      </c>
    </row>
    <row r="46" spans="1:64" x14ac:dyDescent="0.35">
      <c r="A46" s="1"/>
      <c r="C46" s="2" t="s">
        <v>105</v>
      </c>
      <c r="D46" s="4"/>
      <c r="E46" s="46">
        <f t="shared" ref="E46:BL46" si="4">E105*$D$13</f>
        <v>0</v>
      </c>
      <c r="F46" s="46">
        <f t="shared" si="4"/>
        <v>0</v>
      </c>
      <c r="G46" s="46">
        <f t="shared" si="4"/>
        <v>0</v>
      </c>
      <c r="H46" s="46">
        <f t="shared" si="4"/>
        <v>0</v>
      </c>
      <c r="I46" s="46">
        <f t="shared" si="4"/>
        <v>0</v>
      </c>
      <c r="J46" s="46">
        <f t="shared" si="4"/>
        <v>0</v>
      </c>
      <c r="K46" s="46">
        <f t="shared" si="4"/>
        <v>0</v>
      </c>
      <c r="L46" s="46">
        <f t="shared" si="4"/>
        <v>0</v>
      </c>
      <c r="M46" s="46">
        <f t="shared" si="4"/>
        <v>0</v>
      </c>
      <c r="N46" s="46">
        <f t="shared" si="4"/>
        <v>0</v>
      </c>
      <c r="O46" s="46">
        <f t="shared" si="4"/>
        <v>0</v>
      </c>
      <c r="P46" s="46">
        <f t="shared" si="4"/>
        <v>0</v>
      </c>
      <c r="Q46" s="46">
        <f t="shared" si="4"/>
        <v>0</v>
      </c>
      <c r="R46" s="46">
        <f t="shared" si="4"/>
        <v>0</v>
      </c>
      <c r="S46" s="46">
        <f t="shared" si="4"/>
        <v>0</v>
      </c>
      <c r="T46" s="46">
        <f t="shared" si="4"/>
        <v>0</v>
      </c>
      <c r="U46" s="46">
        <f t="shared" si="4"/>
        <v>0</v>
      </c>
      <c r="V46" s="46">
        <f t="shared" si="4"/>
        <v>0</v>
      </c>
      <c r="W46" s="46">
        <f t="shared" si="4"/>
        <v>0</v>
      </c>
      <c r="X46" s="46">
        <f t="shared" si="4"/>
        <v>0</v>
      </c>
      <c r="Y46" s="46">
        <f t="shared" si="4"/>
        <v>0</v>
      </c>
      <c r="Z46" s="46">
        <f t="shared" si="4"/>
        <v>0</v>
      </c>
      <c r="AA46" s="46">
        <f t="shared" si="4"/>
        <v>0</v>
      </c>
      <c r="AB46" s="46">
        <f t="shared" si="4"/>
        <v>0</v>
      </c>
      <c r="AC46" s="46">
        <f t="shared" si="4"/>
        <v>0</v>
      </c>
      <c r="AD46" s="46">
        <f t="shared" si="4"/>
        <v>0</v>
      </c>
      <c r="AE46" s="46">
        <f t="shared" si="4"/>
        <v>0</v>
      </c>
      <c r="AF46" s="46">
        <f t="shared" si="4"/>
        <v>0</v>
      </c>
      <c r="AG46" s="46">
        <f t="shared" si="4"/>
        <v>0</v>
      </c>
      <c r="AH46" s="46">
        <f t="shared" si="4"/>
        <v>0</v>
      </c>
      <c r="AI46" s="46">
        <f t="shared" si="4"/>
        <v>0</v>
      </c>
      <c r="AJ46" s="46">
        <f t="shared" si="4"/>
        <v>0</v>
      </c>
      <c r="AK46" s="46">
        <f t="shared" si="4"/>
        <v>0</v>
      </c>
      <c r="AL46" s="46">
        <f t="shared" si="4"/>
        <v>0</v>
      </c>
      <c r="AM46" s="46">
        <f t="shared" si="4"/>
        <v>0</v>
      </c>
      <c r="AN46" s="46">
        <f t="shared" si="4"/>
        <v>0</v>
      </c>
      <c r="AO46" s="46">
        <f t="shared" si="4"/>
        <v>0</v>
      </c>
      <c r="AP46" s="46">
        <f t="shared" si="4"/>
        <v>0</v>
      </c>
      <c r="AQ46" s="46">
        <f t="shared" si="4"/>
        <v>0</v>
      </c>
      <c r="AR46" s="46">
        <f t="shared" si="4"/>
        <v>0</v>
      </c>
      <c r="AS46" s="46">
        <f t="shared" si="4"/>
        <v>0</v>
      </c>
      <c r="AT46" s="46">
        <f t="shared" si="4"/>
        <v>0</v>
      </c>
      <c r="AU46" s="46">
        <f t="shared" si="4"/>
        <v>0</v>
      </c>
      <c r="AV46" s="46">
        <f t="shared" si="4"/>
        <v>0</v>
      </c>
      <c r="AW46" s="46">
        <f t="shared" si="4"/>
        <v>0</v>
      </c>
      <c r="AX46" s="46">
        <f t="shared" si="4"/>
        <v>0</v>
      </c>
      <c r="AY46" s="46">
        <f t="shared" si="4"/>
        <v>0</v>
      </c>
      <c r="AZ46" s="46">
        <f t="shared" si="4"/>
        <v>0</v>
      </c>
      <c r="BA46" s="46">
        <f t="shared" si="4"/>
        <v>0</v>
      </c>
      <c r="BB46" s="46">
        <f t="shared" si="4"/>
        <v>0</v>
      </c>
      <c r="BC46" s="46">
        <f t="shared" si="4"/>
        <v>0</v>
      </c>
      <c r="BD46" s="46">
        <f t="shared" si="4"/>
        <v>0</v>
      </c>
      <c r="BE46" s="46">
        <f t="shared" si="4"/>
        <v>0</v>
      </c>
      <c r="BF46" s="46">
        <f t="shared" si="4"/>
        <v>0</v>
      </c>
      <c r="BG46" s="46">
        <f t="shared" si="4"/>
        <v>0</v>
      </c>
      <c r="BH46" s="46">
        <f t="shared" si="4"/>
        <v>0</v>
      </c>
      <c r="BI46" s="46">
        <f t="shared" si="4"/>
        <v>0</v>
      </c>
      <c r="BJ46" s="46">
        <f t="shared" si="4"/>
        <v>0</v>
      </c>
      <c r="BK46" s="46">
        <f t="shared" si="4"/>
        <v>0</v>
      </c>
      <c r="BL46" s="46">
        <f t="shared" si="4"/>
        <v>0</v>
      </c>
    </row>
    <row r="47" spans="1:64" x14ac:dyDescent="0.35">
      <c r="A47" s="1"/>
      <c r="C47" s="2" t="s">
        <v>407</v>
      </c>
      <c r="D47" s="4"/>
      <c r="E47" s="46">
        <f>E110</f>
        <v>0</v>
      </c>
      <c r="F47" s="46">
        <f t="shared" ref="F47:BL47" si="5">F110</f>
        <v>0</v>
      </c>
      <c r="G47" s="46">
        <f t="shared" si="5"/>
        <v>0</v>
      </c>
      <c r="H47" s="46">
        <f t="shared" si="5"/>
        <v>0</v>
      </c>
      <c r="I47" s="46">
        <f t="shared" si="5"/>
        <v>0</v>
      </c>
      <c r="J47" s="46">
        <f t="shared" si="5"/>
        <v>0</v>
      </c>
      <c r="K47" s="46">
        <f t="shared" si="5"/>
        <v>0</v>
      </c>
      <c r="L47" s="46">
        <f t="shared" si="5"/>
        <v>0</v>
      </c>
      <c r="M47" s="46">
        <f t="shared" si="5"/>
        <v>0</v>
      </c>
      <c r="N47" s="46">
        <f t="shared" si="5"/>
        <v>0.89364784955978394</v>
      </c>
      <c r="O47" s="46">
        <f t="shared" si="5"/>
        <v>6.4783139228820801</v>
      </c>
      <c r="P47" s="46">
        <f t="shared" si="5"/>
        <v>7.7504806518554688</v>
      </c>
      <c r="Q47" s="46">
        <f t="shared" si="5"/>
        <v>9.049067497253418</v>
      </c>
      <c r="R47" s="46">
        <f t="shared" si="5"/>
        <v>10.374570846557617</v>
      </c>
      <c r="S47" s="46">
        <f t="shared" si="5"/>
        <v>11.727493286132813</v>
      </c>
      <c r="T47" s="46">
        <f t="shared" si="5"/>
        <v>13.108353614807129</v>
      </c>
      <c r="U47" s="46">
        <f t="shared" si="5"/>
        <v>14.517671585083008</v>
      </c>
      <c r="V47" s="46">
        <f t="shared" si="5"/>
        <v>15.954795837402344</v>
      </c>
      <c r="W47" s="46">
        <f t="shared" si="5"/>
        <v>15.269064903259277</v>
      </c>
      <c r="X47" s="46">
        <f t="shared" si="5"/>
        <v>16.806581497192383</v>
      </c>
      <c r="Y47" s="46">
        <f t="shared" si="5"/>
        <v>18.377628326416016</v>
      </c>
      <c r="Z47" s="46">
        <f t="shared" si="5"/>
        <v>19.982873916625977</v>
      </c>
      <c r="AA47" s="46">
        <f t="shared" si="5"/>
        <v>21.622997283935547</v>
      </c>
      <c r="AB47" s="46">
        <f t="shared" si="5"/>
        <v>23.298688888549805</v>
      </c>
      <c r="AC47" s="46">
        <f t="shared" si="5"/>
        <v>25.010652542114258</v>
      </c>
      <c r="AD47" s="46">
        <f t="shared" si="5"/>
        <v>26.759609222412109</v>
      </c>
      <c r="AE47" s="46">
        <f t="shared" si="5"/>
        <v>28.546287536621094</v>
      </c>
      <c r="AF47" s="46">
        <f t="shared" si="5"/>
        <v>30.371435165405273</v>
      </c>
      <c r="AG47" s="46">
        <f t="shared" si="5"/>
        <v>32.235809326171875</v>
      </c>
      <c r="AH47" s="46">
        <f t="shared" si="5"/>
        <v>34.140182495117188</v>
      </c>
      <c r="AI47" s="46">
        <f t="shared" si="5"/>
        <v>36.085346221923828</v>
      </c>
      <c r="AJ47" s="46">
        <f t="shared" si="5"/>
        <v>38.072101593017578</v>
      </c>
      <c r="AK47" s="46">
        <f t="shared" si="5"/>
        <v>40.101264953613281</v>
      </c>
      <c r="AL47" s="46">
        <f t="shared" si="5"/>
        <v>42.173667907714844</v>
      </c>
      <c r="AM47" s="46">
        <f t="shared" si="5"/>
        <v>44.2901611328125</v>
      </c>
      <c r="AN47" s="46">
        <f t="shared" si="5"/>
        <v>46.451610565185547</v>
      </c>
      <c r="AO47" s="46">
        <f t="shared" si="5"/>
        <v>48.658893585205078</v>
      </c>
      <c r="AP47" s="46">
        <f t="shared" si="5"/>
        <v>50.912906646728516</v>
      </c>
      <c r="AQ47" s="46">
        <f t="shared" si="5"/>
        <v>53.214645385742188</v>
      </c>
      <c r="AR47" s="46">
        <f t="shared" si="5"/>
        <v>55.700790405273438</v>
      </c>
      <c r="AS47" s="46">
        <f t="shared" si="5"/>
        <v>0</v>
      </c>
      <c r="AT47" s="46">
        <f t="shared" si="5"/>
        <v>0</v>
      </c>
      <c r="AU47" s="46">
        <f t="shared" si="5"/>
        <v>0</v>
      </c>
      <c r="AV47" s="46">
        <f t="shared" si="5"/>
        <v>0</v>
      </c>
      <c r="AW47" s="46">
        <f t="shared" si="5"/>
        <v>0</v>
      </c>
      <c r="AX47" s="46">
        <f t="shared" si="5"/>
        <v>0</v>
      </c>
      <c r="AY47" s="46">
        <f t="shared" si="5"/>
        <v>0</v>
      </c>
      <c r="AZ47" s="46">
        <f t="shared" si="5"/>
        <v>0</v>
      </c>
      <c r="BA47" s="46">
        <f t="shared" si="5"/>
        <v>0</v>
      </c>
      <c r="BB47" s="46">
        <f t="shared" si="5"/>
        <v>0</v>
      </c>
      <c r="BC47" s="46">
        <f t="shared" si="5"/>
        <v>0</v>
      </c>
      <c r="BD47" s="46">
        <f t="shared" si="5"/>
        <v>0</v>
      </c>
      <c r="BE47" s="46">
        <f t="shared" si="5"/>
        <v>0</v>
      </c>
      <c r="BF47" s="46">
        <f t="shared" si="5"/>
        <v>0</v>
      </c>
      <c r="BG47" s="46">
        <f t="shared" si="5"/>
        <v>0</v>
      </c>
      <c r="BH47" s="46">
        <f t="shared" si="5"/>
        <v>0</v>
      </c>
      <c r="BI47" s="46">
        <f t="shared" si="5"/>
        <v>0</v>
      </c>
      <c r="BJ47" s="46">
        <f t="shared" si="5"/>
        <v>0</v>
      </c>
      <c r="BK47" s="46">
        <f t="shared" si="5"/>
        <v>0</v>
      </c>
      <c r="BL47" s="46">
        <f t="shared" si="5"/>
        <v>0</v>
      </c>
    </row>
    <row r="48" spans="1:64" ht="15" thickBot="1" x14ac:dyDescent="0.4">
      <c r="A48" s="1"/>
      <c r="C48" s="24" t="s">
        <v>2</v>
      </c>
      <c r="D48" s="25"/>
      <c r="E48" s="25">
        <f>E45+E46-E47</f>
        <v>153.75</v>
      </c>
      <c r="F48" s="25">
        <f t="shared" ref="F48:BL48" si="6">F45+F46-F47</f>
        <v>157.59375</v>
      </c>
      <c r="G48" s="25">
        <f t="shared" si="6"/>
        <v>161.53359374999999</v>
      </c>
      <c r="H48" s="25">
        <f t="shared" si="6"/>
        <v>165.57193359374997</v>
      </c>
      <c r="I48" s="25">
        <f t="shared" si="6"/>
        <v>169.71123193359372</v>
      </c>
      <c r="J48" s="25">
        <f t="shared" si="6"/>
        <v>173.95401273193355</v>
      </c>
      <c r="K48" s="25">
        <f t="shared" si="6"/>
        <v>178.30286305023188</v>
      </c>
      <c r="L48" s="25">
        <f t="shared" si="6"/>
        <v>182.76043462648767</v>
      </c>
      <c r="M48" s="25">
        <f t="shared" si="6"/>
        <v>187.32944549214983</v>
      </c>
      <c r="N48" s="25">
        <f t="shared" si="6"/>
        <v>191.11903377989378</v>
      </c>
      <c r="O48" s="25">
        <f t="shared" si="6"/>
        <v>188.41455793101326</v>
      </c>
      <c r="P48" s="25">
        <f t="shared" si="6"/>
        <v>190.06578427984829</v>
      </c>
      <c r="Q48" s="25">
        <f t="shared" si="6"/>
        <v>191.73444140842588</v>
      </c>
      <c r="R48" s="25">
        <f t="shared" si="6"/>
        <v>193.42069069270684</v>
      </c>
      <c r="S48" s="25">
        <f t="shared" si="6"/>
        <v>195.12469717622059</v>
      </c>
      <c r="T48" s="25">
        <f t="shared" si="6"/>
        <v>196.84661970448155</v>
      </c>
      <c r="U48" s="25">
        <f t="shared" si="6"/>
        <v>198.58662633399499</v>
      </c>
      <c r="V48" s="25">
        <f t="shared" si="6"/>
        <v>200.34606655046179</v>
      </c>
      <c r="W48" s="25">
        <f t="shared" si="6"/>
        <v>204.27631042042279</v>
      </c>
      <c r="X48" s="25">
        <f t="shared" si="6"/>
        <v>206.0319744563449</v>
      </c>
      <c r="Y48" s="25">
        <f t="shared" si="6"/>
        <v>207.8035059664243</v>
      </c>
      <c r="Z48" s="25">
        <f t="shared" si="6"/>
        <v>209.59097739060692</v>
      </c>
      <c r="AA48" s="25">
        <f t="shared" si="6"/>
        <v>211.39446179290582</v>
      </c>
      <c r="AB48" s="25">
        <f t="shared" si="6"/>
        <v>213.21403207444416</v>
      </c>
      <c r="AC48" s="25">
        <f t="shared" si="6"/>
        <v>215.04975923532459</v>
      </c>
      <c r="AD48" s="25">
        <f t="shared" si="6"/>
        <v>216.9017087316883</v>
      </c>
      <c r="AE48" s="25">
        <f t="shared" si="6"/>
        <v>218.76995018679079</v>
      </c>
      <c r="AF48" s="25">
        <f t="shared" si="6"/>
        <v>220.65454612385776</v>
      </c>
      <c r="AG48" s="25">
        <f t="shared" si="6"/>
        <v>222.55556168243007</v>
      </c>
      <c r="AH48" s="25">
        <f t="shared" si="6"/>
        <v>224.47305907861374</v>
      </c>
      <c r="AI48" s="25">
        <f t="shared" si="6"/>
        <v>226.40709397541303</v>
      </c>
      <c r="AJ48" s="25">
        <f t="shared" si="6"/>
        <v>228.35772520727932</v>
      </c>
      <c r="AK48" s="25">
        <f t="shared" si="6"/>
        <v>230.32500924868805</v>
      </c>
      <c r="AL48" s="25">
        <f t="shared" si="6"/>
        <v>232.309000407621</v>
      </c>
      <c r="AM48" s="25">
        <f t="shared" si="6"/>
        <v>234.30974720725334</v>
      </c>
      <c r="AN48" s="25">
        <f t="shared" si="6"/>
        <v>236.32729639998126</v>
      </c>
      <c r="AO48" s="25">
        <f t="shared" si="6"/>
        <v>238.36169698443922</v>
      </c>
      <c r="AP48" s="25">
        <f t="shared" si="6"/>
        <v>240.41299278146045</v>
      </c>
      <c r="AQ48" s="25">
        <f t="shared" si="6"/>
        <v>242.48114253386956</v>
      </c>
      <c r="AR48" s="25">
        <f t="shared" si="6"/>
        <v>244.43043433313244</v>
      </c>
      <c r="AS48" s="25">
        <f t="shared" si="6"/>
        <v>304.63319310948191</v>
      </c>
      <c r="AT48" s="25">
        <f t="shared" si="6"/>
        <v>309.2026910061241</v>
      </c>
      <c r="AU48" s="25">
        <f t="shared" si="6"/>
        <v>313.84073137121595</v>
      </c>
      <c r="AV48" s="25">
        <f t="shared" si="6"/>
        <v>318.54834234178418</v>
      </c>
      <c r="AW48" s="25">
        <f t="shared" si="6"/>
        <v>323.3265674769109</v>
      </c>
      <c r="AX48" s="25">
        <f t="shared" si="6"/>
        <v>328.17646598906452</v>
      </c>
      <c r="AY48" s="25">
        <f t="shared" si="6"/>
        <v>333.09911297890045</v>
      </c>
      <c r="AZ48" s="25">
        <f t="shared" si="6"/>
        <v>338.09559967358393</v>
      </c>
      <c r="BA48" s="25">
        <f t="shared" si="6"/>
        <v>343.16703366868768</v>
      </c>
      <c r="BB48" s="25">
        <f t="shared" si="6"/>
        <v>348.31453917371795</v>
      </c>
      <c r="BC48" s="25">
        <f t="shared" si="6"/>
        <v>353.53925726132366</v>
      </c>
      <c r="BD48" s="25">
        <f t="shared" si="6"/>
        <v>358.84234612024346</v>
      </c>
      <c r="BE48" s="25">
        <f t="shared" si="6"/>
        <v>364.22498131204708</v>
      </c>
      <c r="BF48" s="25">
        <f t="shared" si="6"/>
        <v>369.68835603172772</v>
      </c>
      <c r="BG48" s="25">
        <f t="shared" si="6"/>
        <v>375.23368137220359</v>
      </c>
      <c r="BH48" s="25">
        <f t="shared" si="6"/>
        <v>380.8621865927866</v>
      </c>
      <c r="BI48" s="25">
        <f t="shared" si="6"/>
        <v>386.57511939167836</v>
      </c>
      <c r="BJ48" s="25">
        <f t="shared" si="6"/>
        <v>392.37374618255348</v>
      </c>
      <c r="BK48" s="25">
        <f t="shared" si="6"/>
        <v>398.25935237529171</v>
      </c>
      <c r="BL48" s="25">
        <f t="shared" si="6"/>
        <v>404.23324266092106</v>
      </c>
    </row>
    <row r="49" spans="1:64" x14ac:dyDescent="0.35">
      <c r="A49" s="1"/>
      <c r="C49" s="10" t="s">
        <v>122</v>
      </c>
      <c r="D49" s="46"/>
      <c r="E49" s="46">
        <f>E48*E41</f>
        <v>153.75</v>
      </c>
      <c r="F49" s="46">
        <f t="shared" ref="F49:BL49" si="7">F48*F41</f>
        <v>157.59375</v>
      </c>
      <c r="G49" s="46">
        <f t="shared" si="7"/>
        <v>161.53359374999999</v>
      </c>
      <c r="H49" s="46">
        <f t="shared" si="7"/>
        <v>165.57193359374997</v>
      </c>
      <c r="I49" s="46">
        <f t="shared" si="7"/>
        <v>169.71123193359372</v>
      </c>
      <c r="J49" s="46">
        <f t="shared" si="7"/>
        <v>173.95401273193355</v>
      </c>
      <c r="K49" s="46">
        <f t="shared" si="7"/>
        <v>178.30286305023188</v>
      </c>
      <c r="L49" s="46">
        <f t="shared" si="7"/>
        <v>182.76043462648767</v>
      </c>
      <c r="M49" s="46">
        <f t="shared" si="7"/>
        <v>187.32944549214983</v>
      </c>
      <c r="N49" s="46">
        <f t="shared" si="7"/>
        <v>191.11903377989378</v>
      </c>
      <c r="O49" s="46">
        <f t="shared" si="7"/>
        <v>188.41455793101326</v>
      </c>
      <c r="P49" s="46">
        <f t="shared" si="7"/>
        <v>190.06578427984829</v>
      </c>
      <c r="Q49" s="46">
        <f t="shared" si="7"/>
        <v>191.73444140842588</v>
      </c>
      <c r="R49" s="46">
        <f t="shared" si="7"/>
        <v>193.42069069270684</v>
      </c>
      <c r="S49" s="46">
        <f t="shared" si="7"/>
        <v>195.12469717622059</v>
      </c>
      <c r="T49" s="46">
        <f t="shared" si="7"/>
        <v>196.84661970448155</v>
      </c>
      <c r="U49" s="46">
        <f t="shared" si="7"/>
        <v>198.58662633399499</v>
      </c>
      <c r="V49" s="46">
        <f t="shared" si="7"/>
        <v>200.34606655046179</v>
      </c>
      <c r="W49" s="46">
        <f t="shared" si="7"/>
        <v>204.27631042042279</v>
      </c>
      <c r="X49" s="46">
        <f t="shared" si="7"/>
        <v>206.0319744563449</v>
      </c>
      <c r="Y49" s="46">
        <f t="shared" si="7"/>
        <v>207.8035059664243</v>
      </c>
      <c r="Z49" s="46">
        <f t="shared" si="7"/>
        <v>209.59097739060692</v>
      </c>
      <c r="AA49" s="46">
        <f t="shared" si="7"/>
        <v>211.39446179290582</v>
      </c>
      <c r="AB49" s="46">
        <f t="shared" si="7"/>
        <v>213.21403207444416</v>
      </c>
      <c r="AC49" s="46">
        <f t="shared" si="7"/>
        <v>215.04975923532459</v>
      </c>
      <c r="AD49" s="46">
        <f t="shared" si="7"/>
        <v>216.9017087316883</v>
      </c>
      <c r="AE49" s="46">
        <f t="shared" si="7"/>
        <v>218.76995018679079</v>
      </c>
      <c r="AF49" s="46">
        <f t="shared" si="7"/>
        <v>220.65454612385776</v>
      </c>
      <c r="AG49" s="46">
        <f t="shared" si="7"/>
        <v>222.55556168243007</v>
      </c>
      <c r="AH49" s="46">
        <f t="shared" si="7"/>
        <v>224.47305907861374</v>
      </c>
      <c r="AI49" s="46">
        <f t="shared" si="7"/>
        <v>226.40709397541303</v>
      </c>
      <c r="AJ49" s="46">
        <f t="shared" si="7"/>
        <v>228.35772520727932</v>
      </c>
      <c r="AK49" s="46">
        <f t="shared" si="7"/>
        <v>230.32500924868805</v>
      </c>
      <c r="AL49" s="46">
        <f t="shared" si="7"/>
        <v>232.309000407621</v>
      </c>
      <c r="AM49" s="46">
        <f t="shared" si="7"/>
        <v>234.30974720725334</v>
      </c>
      <c r="AN49" s="46">
        <f t="shared" si="7"/>
        <v>236.32729639998126</v>
      </c>
      <c r="AO49" s="46">
        <f t="shared" si="7"/>
        <v>238.36169698443922</v>
      </c>
      <c r="AP49" s="46">
        <f t="shared" si="7"/>
        <v>240.41299278146045</v>
      </c>
      <c r="AQ49" s="46">
        <f t="shared" si="7"/>
        <v>242.48114253386956</v>
      </c>
      <c r="AR49" s="46">
        <f t="shared" si="7"/>
        <v>244.43043433313244</v>
      </c>
      <c r="AS49" s="46">
        <f t="shared" si="7"/>
        <v>0</v>
      </c>
      <c r="AT49" s="46">
        <f t="shared" si="7"/>
        <v>0</v>
      </c>
      <c r="AU49" s="46">
        <f t="shared" si="7"/>
        <v>0</v>
      </c>
      <c r="AV49" s="46">
        <f t="shared" si="7"/>
        <v>0</v>
      </c>
      <c r="AW49" s="46">
        <f t="shared" si="7"/>
        <v>0</v>
      </c>
      <c r="AX49" s="46">
        <f t="shared" si="7"/>
        <v>0</v>
      </c>
      <c r="AY49" s="46">
        <f t="shared" si="7"/>
        <v>0</v>
      </c>
      <c r="AZ49" s="46">
        <f t="shared" si="7"/>
        <v>0</v>
      </c>
      <c r="BA49" s="46">
        <f t="shared" si="7"/>
        <v>0</v>
      </c>
      <c r="BB49" s="46">
        <f t="shared" si="7"/>
        <v>0</v>
      </c>
      <c r="BC49" s="46">
        <f t="shared" si="7"/>
        <v>0</v>
      </c>
      <c r="BD49" s="46">
        <f t="shared" si="7"/>
        <v>0</v>
      </c>
      <c r="BE49" s="46">
        <f t="shared" si="7"/>
        <v>0</v>
      </c>
      <c r="BF49" s="46">
        <f t="shared" si="7"/>
        <v>0</v>
      </c>
      <c r="BG49" s="46">
        <f t="shared" si="7"/>
        <v>0</v>
      </c>
      <c r="BH49" s="46">
        <f t="shared" si="7"/>
        <v>0</v>
      </c>
      <c r="BI49" s="46">
        <f t="shared" si="7"/>
        <v>0</v>
      </c>
      <c r="BJ49" s="46">
        <f t="shared" si="7"/>
        <v>0</v>
      </c>
      <c r="BK49" s="46">
        <f t="shared" si="7"/>
        <v>0</v>
      </c>
      <c r="BL49" s="46">
        <f t="shared" si="7"/>
        <v>0</v>
      </c>
    </row>
    <row r="50" spans="1:64" x14ac:dyDescent="0.35">
      <c r="A50" s="1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</row>
    <row r="51" spans="1:64" x14ac:dyDescent="0.35">
      <c r="A51" s="1"/>
      <c r="C51" s="2" t="s">
        <v>171</v>
      </c>
      <c r="E51" s="4">
        <f>E107</f>
        <v>0.57180905342102051</v>
      </c>
      <c r="F51" s="4">
        <f t="shared" ref="F51:BL51" si="8">F107</f>
        <v>0.58610427379608154</v>
      </c>
      <c r="G51" s="4">
        <f t="shared" si="8"/>
        <v>0.60075688362121582</v>
      </c>
      <c r="H51" s="4">
        <f t="shared" si="8"/>
        <v>0.61577582359313965</v>
      </c>
      <c r="I51" s="4">
        <f t="shared" si="8"/>
        <v>0.63117021322250366</v>
      </c>
      <c r="J51" s="4">
        <f t="shared" si="8"/>
        <v>0.64694947004318237</v>
      </c>
      <c r="K51" s="4">
        <f t="shared" si="8"/>
        <v>0.66312319040298462</v>
      </c>
      <c r="L51" s="4">
        <f t="shared" si="8"/>
        <v>0.67970120906829834</v>
      </c>
      <c r="M51" s="4">
        <f t="shared" si="8"/>
        <v>0.69505256414413452</v>
      </c>
      <c r="N51" s="4">
        <f t="shared" si="8"/>
        <v>0.69704544544219971</v>
      </c>
      <c r="O51" s="4">
        <f t="shared" si="8"/>
        <v>0.69511109590530396</v>
      </c>
      <c r="P51" s="4">
        <f t="shared" si="8"/>
        <v>0.70120835304260254</v>
      </c>
      <c r="Q51" s="4">
        <f t="shared" si="8"/>
        <v>0.70736986398696899</v>
      </c>
      <c r="R51" s="4">
        <f t="shared" si="8"/>
        <v>0.71359634399414063</v>
      </c>
      <c r="S51" s="4">
        <f t="shared" si="8"/>
        <v>0.71988838911056519</v>
      </c>
      <c r="T51" s="4">
        <f t="shared" si="8"/>
        <v>0.72624647617340088</v>
      </c>
      <c r="U51" s="4">
        <f t="shared" si="8"/>
        <v>0.73267358541488647</v>
      </c>
      <c r="V51" s="4">
        <f t="shared" si="8"/>
        <v>0.74312317371368408</v>
      </c>
      <c r="W51" s="4">
        <f t="shared" si="8"/>
        <v>0.75356584787368774</v>
      </c>
      <c r="X51" s="4">
        <f t="shared" si="8"/>
        <v>0.76004379987716675</v>
      </c>
      <c r="Y51" s="4">
        <f t="shared" si="8"/>
        <v>0.76658022403717041</v>
      </c>
      <c r="Z51" s="4">
        <f t="shared" si="8"/>
        <v>0.77317529916763306</v>
      </c>
      <c r="AA51" s="4">
        <f t="shared" si="8"/>
        <v>0.77982926368713379</v>
      </c>
      <c r="AB51" s="4">
        <f t="shared" si="8"/>
        <v>0.78654253482818604</v>
      </c>
      <c r="AC51" s="4">
        <f t="shared" si="8"/>
        <v>0.79331529140472412</v>
      </c>
      <c r="AD51" s="4">
        <f t="shared" si="8"/>
        <v>0.80014771223068237</v>
      </c>
      <c r="AE51" s="4">
        <f t="shared" si="8"/>
        <v>0.80704015493392944</v>
      </c>
      <c r="AF51" s="4">
        <f t="shared" si="8"/>
        <v>0.81399273872375488</v>
      </c>
      <c r="AG51" s="4">
        <f t="shared" si="8"/>
        <v>0.82100576162338257</v>
      </c>
      <c r="AH51" s="4">
        <f t="shared" si="8"/>
        <v>0.8280794620513916</v>
      </c>
      <c r="AI51" s="4">
        <f t="shared" si="8"/>
        <v>0.83521389961242676</v>
      </c>
      <c r="AJ51" s="4">
        <f t="shared" si="8"/>
        <v>0.84240949153900146</v>
      </c>
      <c r="AK51" s="4">
        <f t="shared" si="8"/>
        <v>0.84966641664505005</v>
      </c>
      <c r="AL51" s="4">
        <f t="shared" si="8"/>
        <v>0.85698473453521729</v>
      </c>
      <c r="AM51" s="4">
        <f t="shared" si="8"/>
        <v>0.8643646240234375</v>
      </c>
      <c r="AN51" s="4">
        <f t="shared" si="8"/>
        <v>0.87180638313293457</v>
      </c>
      <c r="AO51" s="4">
        <f t="shared" si="8"/>
        <v>0.87931013107299805</v>
      </c>
      <c r="AP51" s="4">
        <f t="shared" si="8"/>
        <v>0.88687574863433838</v>
      </c>
      <c r="AQ51" s="4">
        <f t="shared" si="8"/>
        <v>0.89425414800643921</v>
      </c>
      <c r="AR51" s="4">
        <f t="shared" si="8"/>
        <v>0.44891712069511414</v>
      </c>
      <c r="AS51" s="4">
        <f t="shared" si="8"/>
        <v>0</v>
      </c>
      <c r="AT51" s="4">
        <f t="shared" si="8"/>
        <v>0</v>
      </c>
      <c r="AU51" s="4">
        <f t="shared" si="8"/>
        <v>0</v>
      </c>
      <c r="AV51" s="4">
        <f t="shared" si="8"/>
        <v>0</v>
      </c>
      <c r="AW51" s="4">
        <f t="shared" si="8"/>
        <v>0</v>
      </c>
      <c r="AX51" s="4">
        <f t="shared" si="8"/>
        <v>0</v>
      </c>
      <c r="AY51" s="4">
        <f t="shared" si="8"/>
        <v>0</v>
      </c>
      <c r="AZ51" s="4">
        <f t="shared" si="8"/>
        <v>0</v>
      </c>
      <c r="BA51" s="4">
        <f t="shared" si="8"/>
        <v>0</v>
      </c>
      <c r="BB51" s="4">
        <f t="shared" si="8"/>
        <v>0</v>
      </c>
      <c r="BC51" s="4">
        <f t="shared" si="8"/>
        <v>0</v>
      </c>
      <c r="BD51" s="4">
        <f t="shared" si="8"/>
        <v>0</v>
      </c>
      <c r="BE51" s="4">
        <f t="shared" si="8"/>
        <v>0</v>
      </c>
      <c r="BF51" s="4">
        <f t="shared" si="8"/>
        <v>0</v>
      </c>
      <c r="BG51" s="4">
        <f t="shared" si="8"/>
        <v>0</v>
      </c>
      <c r="BH51" s="4">
        <f t="shared" si="8"/>
        <v>0</v>
      </c>
      <c r="BI51" s="4">
        <f t="shared" si="8"/>
        <v>0</v>
      </c>
      <c r="BJ51" s="4">
        <f t="shared" si="8"/>
        <v>0</v>
      </c>
      <c r="BK51" s="4">
        <f t="shared" si="8"/>
        <v>0</v>
      </c>
      <c r="BL51" s="4">
        <f t="shared" si="8"/>
        <v>0</v>
      </c>
    </row>
    <row r="52" spans="1:64" x14ac:dyDescent="0.35">
      <c r="A52" s="1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</row>
    <row r="53" spans="1:64" x14ac:dyDescent="0.35">
      <c r="A53" s="1"/>
      <c r="C53" s="2" t="s">
        <v>72</v>
      </c>
      <c r="E53" s="12">
        <f t="shared" ref="E53:BL53" si="9">LOOKUP(E40,6:6,7:7)/2</f>
        <v>1.4999999999999999E-2</v>
      </c>
      <c r="F53" s="12">
        <f t="shared" si="9"/>
        <v>1.4999999999999999E-2</v>
      </c>
      <c r="G53" s="12">
        <f t="shared" si="9"/>
        <v>1.4999999999999999E-2</v>
      </c>
      <c r="H53" s="12">
        <f t="shared" si="9"/>
        <v>1.4999999999999999E-2</v>
      </c>
      <c r="I53" s="12">
        <f t="shared" si="9"/>
        <v>1.4999999999999999E-2</v>
      </c>
      <c r="J53" s="12">
        <f t="shared" si="9"/>
        <v>1.4999999999999999E-2</v>
      </c>
      <c r="K53" s="12">
        <f t="shared" si="9"/>
        <v>1.4999999999999999E-2</v>
      </c>
      <c r="L53" s="12">
        <f t="shared" si="9"/>
        <v>1.4999999999999999E-2</v>
      </c>
      <c r="M53" s="12">
        <f t="shared" si="9"/>
        <v>1.7500000000000002E-2</v>
      </c>
      <c r="N53" s="12">
        <f t="shared" si="9"/>
        <v>1.7500000000000002E-2</v>
      </c>
      <c r="O53" s="12">
        <f t="shared" si="9"/>
        <v>1.7500000000000002E-2</v>
      </c>
      <c r="P53" s="12">
        <f t="shared" si="9"/>
        <v>1.7500000000000002E-2</v>
      </c>
      <c r="Q53" s="12">
        <f t="shared" si="9"/>
        <v>1.7500000000000002E-2</v>
      </c>
      <c r="R53" s="12">
        <f t="shared" si="9"/>
        <v>1.7500000000000002E-2</v>
      </c>
      <c r="S53" s="12">
        <f t="shared" si="9"/>
        <v>1.7500000000000002E-2</v>
      </c>
      <c r="T53" s="12">
        <f t="shared" si="9"/>
        <v>1.7500000000000002E-2</v>
      </c>
      <c r="U53" s="12">
        <f t="shared" si="9"/>
        <v>1.7500000000000002E-2</v>
      </c>
      <c r="V53" s="12">
        <f t="shared" si="9"/>
        <v>1.7500000000000002E-2</v>
      </c>
      <c r="W53" s="12">
        <f t="shared" si="9"/>
        <v>0.02</v>
      </c>
      <c r="X53" s="12">
        <f t="shared" si="9"/>
        <v>0.02</v>
      </c>
      <c r="Y53" s="12">
        <f t="shared" si="9"/>
        <v>0.02</v>
      </c>
      <c r="Z53" s="12">
        <f t="shared" si="9"/>
        <v>0.02</v>
      </c>
      <c r="AA53" s="12">
        <f t="shared" si="9"/>
        <v>0.02</v>
      </c>
      <c r="AB53" s="12">
        <f t="shared" si="9"/>
        <v>0.02</v>
      </c>
      <c r="AC53" s="12">
        <f t="shared" si="9"/>
        <v>0.02</v>
      </c>
      <c r="AD53" s="12">
        <f t="shared" si="9"/>
        <v>0.02</v>
      </c>
      <c r="AE53" s="12">
        <f t="shared" si="9"/>
        <v>0.02</v>
      </c>
      <c r="AF53" s="12">
        <f t="shared" si="9"/>
        <v>0.02</v>
      </c>
      <c r="AG53" s="12">
        <f t="shared" si="9"/>
        <v>0.02</v>
      </c>
      <c r="AH53" s="12">
        <f t="shared" si="9"/>
        <v>0.02</v>
      </c>
      <c r="AI53" s="12">
        <f t="shared" si="9"/>
        <v>0.02</v>
      </c>
      <c r="AJ53" s="12">
        <f t="shared" si="9"/>
        <v>0.02</v>
      </c>
      <c r="AK53" s="12">
        <f t="shared" si="9"/>
        <v>0.02</v>
      </c>
      <c r="AL53" s="12">
        <f t="shared" si="9"/>
        <v>0.02</v>
      </c>
      <c r="AM53" s="12">
        <f t="shared" si="9"/>
        <v>0.02</v>
      </c>
      <c r="AN53" s="12">
        <f t="shared" si="9"/>
        <v>0.02</v>
      </c>
      <c r="AO53" s="12">
        <f t="shared" si="9"/>
        <v>0.02</v>
      </c>
      <c r="AP53" s="12">
        <f t="shared" si="9"/>
        <v>0.02</v>
      </c>
      <c r="AQ53" s="12">
        <f t="shared" si="9"/>
        <v>0.02</v>
      </c>
      <c r="AR53" s="12">
        <f t="shared" si="9"/>
        <v>0.02</v>
      </c>
      <c r="AS53" s="12">
        <f t="shared" si="9"/>
        <v>0.02</v>
      </c>
      <c r="AT53" s="12">
        <f t="shared" si="9"/>
        <v>0.02</v>
      </c>
      <c r="AU53" s="12">
        <f t="shared" si="9"/>
        <v>0.02</v>
      </c>
      <c r="AV53" s="12">
        <f t="shared" si="9"/>
        <v>0.02</v>
      </c>
      <c r="AW53" s="12">
        <f t="shared" si="9"/>
        <v>0.02</v>
      </c>
      <c r="AX53" s="12">
        <f t="shared" si="9"/>
        <v>0.02</v>
      </c>
      <c r="AY53" s="12">
        <f t="shared" si="9"/>
        <v>0.02</v>
      </c>
      <c r="AZ53" s="12">
        <f t="shared" si="9"/>
        <v>0.02</v>
      </c>
      <c r="BA53" s="12">
        <f t="shared" si="9"/>
        <v>0.02</v>
      </c>
      <c r="BB53" s="12">
        <f t="shared" si="9"/>
        <v>0.02</v>
      </c>
      <c r="BC53" s="12">
        <f t="shared" si="9"/>
        <v>0.02</v>
      </c>
      <c r="BD53" s="12">
        <f t="shared" si="9"/>
        <v>0.02</v>
      </c>
      <c r="BE53" s="12">
        <f t="shared" si="9"/>
        <v>0.02</v>
      </c>
      <c r="BF53" s="12">
        <f t="shared" si="9"/>
        <v>0.02</v>
      </c>
      <c r="BG53" s="12">
        <f t="shared" si="9"/>
        <v>0.02</v>
      </c>
      <c r="BH53" s="12">
        <f t="shared" si="9"/>
        <v>0.02</v>
      </c>
      <c r="BI53" s="12">
        <f t="shared" si="9"/>
        <v>0.02</v>
      </c>
      <c r="BJ53" s="12">
        <f t="shared" si="9"/>
        <v>0.02</v>
      </c>
      <c r="BK53" s="12">
        <f t="shared" si="9"/>
        <v>0.02</v>
      </c>
      <c r="BL53" s="12">
        <f t="shared" si="9"/>
        <v>0.02</v>
      </c>
    </row>
    <row r="54" spans="1:64" x14ac:dyDescent="0.35">
      <c r="A54" s="1"/>
      <c r="C54" s="2" t="s">
        <v>89</v>
      </c>
      <c r="D54" s="13">
        <v>1</v>
      </c>
      <c r="E54" s="4">
        <f t="shared" ref="E54:BL54" si="10">D54*(1+E53)</f>
        <v>1.0149999999999999</v>
      </c>
      <c r="F54" s="4">
        <f t="shared" si="10"/>
        <v>1.0302249999999997</v>
      </c>
      <c r="G54" s="4">
        <f t="shared" si="10"/>
        <v>1.0456783749999996</v>
      </c>
      <c r="H54" s="4">
        <f t="shared" si="10"/>
        <v>1.0613635506249994</v>
      </c>
      <c r="I54" s="4">
        <f t="shared" si="10"/>
        <v>1.0772840038843743</v>
      </c>
      <c r="J54" s="4">
        <f t="shared" si="10"/>
        <v>1.0934432639426397</v>
      </c>
      <c r="K54" s="4">
        <f t="shared" si="10"/>
        <v>1.1098449129017791</v>
      </c>
      <c r="L54" s="4">
        <f t="shared" si="10"/>
        <v>1.1264925865953057</v>
      </c>
      <c r="M54" s="4">
        <f t="shared" si="10"/>
        <v>1.1462062068607237</v>
      </c>
      <c r="N54" s="4">
        <f t="shared" si="10"/>
        <v>1.1662648154807864</v>
      </c>
      <c r="O54" s="4">
        <f t="shared" si="10"/>
        <v>1.1866744497517003</v>
      </c>
      <c r="P54" s="4">
        <f t="shared" si="10"/>
        <v>1.2074412526223552</v>
      </c>
      <c r="Q54" s="4">
        <f t="shared" si="10"/>
        <v>1.2285714745432466</v>
      </c>
      <c r="R54" s="4">
        <f t="shared" si="10"/>
        <v>1.2500714753477535</v>
      </c>
      <c r="S54" s="4">
        <f t="shared" si="10"/>
        <v>1.2719477261663392</v>
      </c>
      <c r="T54" s="4">
        <f t="shared" si="10"/>
        <v>1.2942068113742502</v>
      </c>
      <c r="U54" s="4">
        <f t="shared" si="10"/>
        <v>1.3168554305732996</v>
      </c>
      <c r="V54" s="4">
        <f t="shared" si="10"/>
        <v>1.3399004006083324</v>
      </c>
      <c r="W54" s="4">
        <f t="shared" si="10"/>
        <v>1.366698408620499</v>
      </c>
      <c r="X54" s="4">
        <f t="shared" si="10"/>
        <v>1.394032376792909</v>
      </c>
      <c r="Y54" s="4">
        <f t="shared" si="10"/>
        <v>1.4219130243287672</v>
      </c>
      <c r="Z54" s="4">
        <f t="shared" si="10"/>
        <v>1.4503512848153426</v>
      </c>
      <c r="AA54" s="4">
        <f t="shared" si="10"/>
        <v>1.4793583105116495</v>
      </c>
      <c r="AB54" s="4">
        <f t="shared" si="10"/>
        <v>1.5089454767218824</v>
      </c>
      <c r="AC54" s="4">
        <f t="shared" si="10"/>
        <v>1.53912438625632</v>
      </c>
      <c r="AD54" s="4">
        <f t="shared" si="10"/>
        <v>1.5699068739814463</v>
      </c>
      <c r="AE54" s="4">
        <f t="shared" si="10"/>
        <v>1.6013050114610754</v>
      </c>
      <c r="AF54" s="4">
        <f t="shared" si="10"/>
        <v>1.6333311116902969</v>
      </c>
      <c r="AG54" s="4">
        <f t="shared" si="10"/>
        <v>1.6659977339241028</v>
      </c>
      <c r="AH54" s="4">
        <f t="shared" si="10"/>
        <v>1.6993176886025849</v>
      </c>
      <c r="AI54" s="4">
        <f t="shared" si="10"/>
        <v>1.7333040423746366</v>
      </c>
      <c r="AJ54" s="4">
        <f t="shared" si="10"/>
        <v>1.7679701232221294</v>
      </c>
      <c r="AK54" s="4">
        <f t="shared" si="10"/>
        <v>1.803329525686572</v>
      </c>
      <c r="AL54" s="4">
        <f t="shared" si="10"/>
        <v>1.8393961162003034</v>
      </c>
      <c r="AM54" s="4">
        <f t="shared" si="10"/>
        <v>1.8761840385243096</v>
      </c>
      <c r="AN54" s="4">
        <f t="shared" si="10"/>
        <v>1.9137077192947958</v>
      </c>
      <c r="AO54" s="4">
        <f t="shared" si="10"/>
        <v>1.9519818736806918</v>
      </c>
      <c r="AP54" s="4">
        <f t="shared" si="10"/>
        <v>1.9910215111543057</v>
      </c>
      <c r="AQ54" s="4">
        <f t="shared" si="10"/>
        <v>2.0308419413773917</v>
      </c>
      <c r="AR54" s="4">
        <f t="shared" si="10"/>
        <v>2.0714587802049396</v>
      </c>
      <c r="AS54" s="4">
        <f t="shared" si="10"/>
        <v>2.1128879558090383</v>
      </c>
      <c r="AT54" s="4">
        <f t="shared" si="10"/>
        <v>2.1551457149252191</v>
      </c>
      <c r="AU54" s="4">
        <f t="shared" si="10"/>
        <v>2.1982486292237233</v>
      </c>
      <c r="AV54" s="4">
        <f t="shared" si="10"/>
        <v>2.242213601808198</v>
      </c>
      <c r="AW54" s="4">
        <f t="shared" si="10"/>
        <v>2.2870578738443621</v>
      </c>
      <c r="AX54" s="4">
        <f t="shared" si="10"/>
        <v>2.3327990313212492</v>
      </c>
      <c r="AY54" s="4">
        <f t="shared" si="10"/>
        <v>2.3794550119476741</v>
      </c>
      <c r="AZ54" s="4">
        <f t="shared" si="10"/>
        <v>2.4270441121866275</v>
      </c>
      <c r="BA54" s="4">
        <f t="shared" si="10"/>
        <v>2.4755849944303603</v>
      </c>
      <c r="BB54" s="4">
        <f t="shared" si="10"/>
        <v>2.5250966943189677</v>
      </c>
      <c r="BC54" s="4">
        <f t="shared" si="10"/>
        <v>2.5755986282053471</v>
      </c>
      <c r="BD54" s="4">
        <f t="shared" si="10"/>
        <v>2.6271106007694542</v>
      </c>
      <c r="BE54" s="4">
        <f t="shared" si="10"/>
        <v>2.6796528127848434</v>
      </c>
      <c r="BF54" s="4">
        <f t="shared" si="10"/>
        <v>2.7332458690405401</v>
      </c>
      <c r="BG54" s="4">
        <f t="shared" si="10"/>
        <v>2.7879107864213508</v>
      </c>
      <c r="BH54" s="4">
        <f t="shared" si="10"/>
        <v>2.8436690021497779</v>
      </c>
      <c r="BI54" s="4">
        <f t="shared" si="10"/>
        <v>2.9005423821927736</v>
      </c>
      <c r="BJ54" s="4">
        <f t="shared" si="10"/>
        <v>2.9585532298366291</v>
      </c>
      <c r="BK54" s="4">
        <f t="shared" si="10"/>
        <v>3.0177242944333615</v>
      </c>
      <c r="BL54" s="4">
        <f t="shared" si="10"/>
        <v>3.0780787803220289</v>
      </c>
    </row>
    <row r="55" spans="1:64" x14ac:dyDescent="0.35">
      <c r="A55" s="1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</row>
    <row r="56" spans="1:64" x14ac:dyDescent="0.35">
      <c r="A56" s="1"/>
      <c r="C56" s="2" t="s">
        <v>15</v>
      </c>
      <c r="D56" s="4">
        <f>SUMPRODUCT(E49:BL49/E54:BL54)</f>
        <v>5744.3960427428001</v>
      </c>
      <c r="G56" s="32" t="s">
        <v>348</v>
      </c>
      <c r="H56" s="4">
        <f>D56/D57</f>
        <v>1.3680671171162573</v>
      </c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</row>
    <row r="57" spans="1:64" x14ac:dyDescent="0.35">
      <c r="A57" s="1"/>
      <c r="C57" s="2" t="s">
        <v>330</v>
      </c>
      <c r="D57" s="4">
        <f>D34</f>
        <v>4198.9139062499999</v>
      </c>
      <c r="G57" s="32" t="s">
        <v>123</v>
      </c>
      <c r="H57" s="4">
        <f>D56/(D57+D58)</f>
        <v>1.3612558098336498</v>
      </c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</row>
    <row r="58" spans="1:64" x14ac:dyDescent="0.35">
      <c r="A58" s="1"/>
      <c r="C58" s="2" t="s">
        <v>328</v>
      </c>
      <c r="D58" s="4">
        <f>D68</f>
        <v>21.010079561884282</v>
      </c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</row>
    <row r="59" spans="1:64" x14ac:dyDescent="0.35">
      <c r="A59" s="1"/>
      <c r="C59" s="2" t="s">
        <v>316</v>
      </c>
      <c r="D59" s="4" t="b">
        <f>H57&gt;D8</f>
        <v>1</v>
      </c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</row>
    <row r="60" spans="1:64" x14ac:dyDescent="0.35">
      <c r="A60" s="1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</row>
    <row r="61" spans="1:64" x14ac:dyDescent="0.35">
      <c r="A61" s="1"/>
      <c r="C61" s="2" t="s">
        <v>351</v>
      </c>
      <c r="D61" s="4">
        <f>D8</f>
        <v>1.35</v>
      </c>
      <c r="E61" s="4">
        <f t="shared" ref="E61:BL61" si="11">E48/$D$61*E41</f>
        <v>113.88888888888889</v>
      </c>
      <c r="F61" s="4">
        <f t="shared" si="11"/>
        <v>116.7361111111111</v>
      </c>
      <c r="G61" s="4">
        <f t="shared" si="11"/>
        <v>119.65451388888887</v>
      </c>
      <c r="H61" s="4">
        <f t="shared" si="11"/>
        <v>122.64587673611109</v>
      </c>
      <c r="I61" s="4">
        <f t="shared" si="11"/>
        <v>125.71202365451386</v>
      </c>
      <c r="J61" s="4">
        <f t="shared" si="11"/>
        <v>128.8548242458767</v>
      </c>
      <c r="K61" s="4">
        <f t="shared" si="11"/>
        <v>132.0761948520236</v>
      </c>
      <c r="L61" s="4">
        <f t="shared" si="11"/>
        <v>135.3780997233242</v>
      </c>
      <c r="M61" s="4">
        <f t="shared" si="11"/>
        <v>138.76255221640727</v>
      </c>
      <c r="N61" s="4">
        <f t="shared" si="11"/>
        <v>141.56965465177316</v>
      </c>
      <c r="O61" s="4">
        <f t="shared" si="11"/>
        <v>139.56633920815796</v>
      </c>
      <c r="P61" s="4">
        <f t="shared" si="11"/>
        <v>140.78946983692464</v>
      </c>
      <c r="Q61" s="4">
        <f t="shared" si="11"/>
        <v>142.02551215438953</v>
      </c>
      <c r="R61" s="4">
        <f t="shared" si="11"/>
        <v>143.27458569830137</v>
      </c>
      <c r="S61" s="4">
        <f t="shared" si="11"/>
        <v>144.53681272312636</v>
      </c>
      <c r="T61" s="4">
        <f t="shared" si="11"/>
        <v>145.81231089220856</v>
      </c>
      <c r="U61" s="4">
        <f t="shared" si="11"/>
        <v>147.10120469184812</v>
      </c>
      <c r="V61" s="4">
        <f t="shared" si="11"/>
        <v>148.4044937410828</v>
      </c>
      <c r="W61" s="4">
        <f t="shared" si="11"/>
        <v>151.31578549660946</v>
      </c>
      <c r="X61" s="4">
        <f t="shared" si="11"/>
        <v>152.6162773750703</v>
      </c>
      <c r="Y61" s="4">
        <f t="shared" si="11"/>
        <v>153.92852293809207</v>
      </c>
      <c r="Z61" s="4">
        <f t="shared" si="11"/>
        <v>155.25257584489401</v>
      </c>
      <c r="AA61" s="4">
        <f t="shared" si="11"/>
        <v>156.58849021696727</v>
      </c>
      <c r="AB61" s="4">
        <f t="shared" si="11"/>
        <v>157.93632005514382</v>
      </c>
      <c r="AC61" s="4">
        <f t="shared" si="11"/>
        <v>159.29611795209229</v>
      </c>
      <c r="AD61" s="4">
        <f t="shared" si="11"/>
        <v>160.66793239384319</v>
      </c>
      <c r="AE61" s="4">
        <f t="shared" si="11"/>
        <v>162.05181495317836</v>
      </c>
      <c r="AF61" s="4">
        <f t="shared" si="11"/>
        <v>163.44781194359834</v>
      </c>
      <c r="AG61" s="4">
        <f t="shared" si="11"/>
        <v>164.85597161661485</v>
      </c>
      <c r="AH61" s="4">
        <f t="shared" si="11"/>
        <v>166.27634005823239</v>
      </c>
      <c r="AI61" s="4">
        <f t="shared" si="11"/>
        <v>167.70895850030595</v>
      </c>
      <c r="AJ61" s="4">
        <f t="shared" si="11"/>
        <v>169.1538705239106</v>
      </c>
      <c r="AK61" s="4">
        <f t="shared" si="11"/>
        <v>170.61111796199114</v>
      </c>
      <c r="AL61" s="4">
        <f t="shared" si="11"/>
        <v>172.08074104268221</v>
      </c>
      <c r="AM61" s="4">
        <f t="shared" si="11"/>
        <v>173.56277570907653</v>
      </c>
      <c r="AN61" s="4">
        <f t="shared" si="11"/>
        <v>175.05725659257871</v>
      </c>
      <c r="AO61" s="4">
        <f t="shared" si="11"/>
        <v>176.5642199884735</v>
      </c>
      <c r="AP61" s="4">
        <f t="shared" si="11"/>
        <v>178.08369835663734</v>
      </c>
      <c r="AQ61" s="4">
        <f t="shared" si="11"/>
        <v>179.61566113619966</v>
      </c>
      <c r="AR61" s="4">
        <f t="shared" si="11"/>
        <v>181.05958098750551</v>
      </c>
      <c r="AS61" s="4">
        <f t="shared" si="11"/>
        <v>0</v>
      </c>
      <c r="AT61" s="4">
        <f t="shared" si="11"/>
        <v>0</v>
      </c>
      <c r="AU61" s="4">
        <f t="shared" si="11"/>
        <v>0</v>
      </c>
      <c r="AV61" s="4">
        <f t="shared" si="11"/>
        <v>0</v>
      </c>
      <c r="AW61" s="4">
        <f t="shared" si="11"/>
        <v>0</v>
      </c>
      <c r="AX61" s="4">
        <f t="shared" si="11"/>
        <v>0</v>
      </c>
      <c r="AY61" s="4">
        <f t="shared" si="11"/>
        <v>0</v>
      </c>
      <c r="AZ61" s="4">
        <f t="shared" si="11"/>
        <v>0</v>
      </c>
      <c r="BA61" s="4">
        <f t="shared" si="11"/>
        <v>0</v>
      </c>
      <c r="BB61" s="4">
        <f t="shared" si="11"/>
        <v>0</v>
      </c>
      <c r="BC61" s="4">
        <f t="shared" si="11"/>
        <v>0</v>
      </c>
      <c r="BD61" s="4">
        <f t="shared" si="11"/>
        <v>0</v>
      </c>
      <c r="BE61" s="4">
        <f t="shared" si="11"/>
        <v>0</v>
      </c>
      <c r="BF61" s="4">
        <f t="shared" si="11"/>
        <v>0</v>
      </c>
      <c r="BG61" s="4">
        <f t="shared" si="11"/>
        <v>0</v>
      </c>
      <c r="BH61" s="4">
        <f t="shared" si="11"/>
        <v>0</v>
      </c>
      <c r="BI61" s="4">
        <f t="shared" si="11"/>
        <v>0</v>
      </c>
      <c r="BJ61" s="4">
        <f t="shared" si="11"/>
        <v>0</v>
      </c>
      <c r="BK61" s="4">
        <f t="shared" si="11"/>
        <v>0</v>
      </c>
      <c r="BL61" s="4">
        <f t="shared" si="11"/>
        <v>0</v>
      </c>
    </row>
    <row r="62" spans="1:64" x14ac:dyDescent="0.35">
      <c r="A62" s="1"/>
      <c r="C62" s="2" t="s">
        <v>352</v>
      </c>
      <c r="D62" s="4">
        <f>SUMPRODUCT(E61:BL61/E54:BL54)-D58</f>
        <v>4234.0981002475974</v>
      </c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</row>
    <row r="63" spans="1:64" x14ac:dyDescent="0.35">
      <c r="A63" s="1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</row>
    <row r="64" spans="1:64" x14ac:dyDescent="0.35">
      <c r="A64" s="1"/>
      <c r="C64" s="27" t="s">
        <v>317</v>
      </c>
      <c r="D64" s="30">
        <f>IF(D62&lt;D57,D8,H57)</f>
        <v>1.3612558098336498</v>
      </c>
      <c r="E64" s="30">
        <f t="shared" ref="E64:BL64" si="12">D64</f>
        <v>1.3612558098336498</v>
      </c>
      <c r="F64" s="30">
        <f t="shared" si="12"/>
        <v>1.3612558098336498</v>
      </c>
      <c r="G64" s="30">
        <f t="shared" si="12"/>
        <v>1.3612558098336498</v>
      </c>
      <c r="H64" s="30">
        <f t="shared" si="12"/>
        <v>1.3612558098336498</v>
      </c>
      <c r="I64" s="30">
        <f t="shared" si="12"/>
        <v>1.3612558098336498</v>
      </c>
      <c r="J64" s="30">
        <f t="shared" si="12"/>
        <v>1.3612558098336498</v>
      </c>
      <c r="K64" s="30">
        <f t="shared" si="12"/>
        <v>1.3612558098336498</v>
      </c>
      <c r="L64" s="30">
        <f t="shared" si="12"/>
        <v>1.3612558098336498</v>
      </c>
      <c r="M64" s="30">
        <f t="shared" si="12"/>
        <v>1.3612558098336498</v>
      </c>
      <c r="N64" s="30">
        <f t="shared" si="12"/>
        <v>1.3612558098336498</v>
      </c>
      <c r="O64" s="30">
        <f t="shared" si="12"/>
        <v>1.3612558098336498</v>
      </c>
      <c r="P64" s="30">
        <f t="shared" si="12"/>
        <v>1.3612558098336498</v>
      </c>
      <c r="Q64" s="30">
        <f t="shared" si="12"/>
        <v>1.3612558098336498</v>
      </c>
      <c r="R64" s="30">
        <f t="shared" si="12"/>
        <v>1.3612558098336498</v>
      </c>
      <c r="S64" s="30">
        <f t="shared" si="12"/>
        <v>1.3612558098336498</v>
      </c>
      <c r="T64" s="30">
        <f t="shared" si="12"/>
        <v>1.3612558098336498</v>
      </c>
      <c r="U64" s="30">
        <f t="shared" si="12"/>
        <v>1.3612558098336498</v>
      </c>
      <c r="V64" s="30">
        <f t="shared" si="12"/>
        <v>1.3612558098336498</v>
      </c>
      <c r="W64" s="30">
        <f t="shared" si="12"/>
        <v>1.3612558098336498</v>
      </c>
      <c r="X64" s="30">
        <f t="shared" si="12"/>
        <v>1.3612558098336498</v>
      </c>
      <c r="Y64" s="30">
        <f t="shared" si="12"/>
        <v>1.3612558098336498</v>
      </c>
      <c r="Z64" s="30">
        <f t="shared" si="12"/>
        <v>1.3612558098336498</v>
      </c>
      <c r="AA64" s="30">
        <f t="shared" si="12"/>
        <v>1.3612558098336498</v>
      </c>
      <c r="AB64" s="30">
        <f t="shared" si="12"/>
        <v>1.3612558098336498</v>
      </c>
      <c r="AC64" s="30">
        <f t="shared" si="12"/>
        <v>1.3612558098336498</v>
      </c>
      <c r="AD64" s="30">
        <f t="shared" si="12"/>
        <v>1.3612558098336498</v>
      </c>
      <c r="AE64" s="30">
        <f t="shared" si="12"/>
        <v>1.3612558098336498</v>
      </c>
      <c r="AF64" s="30">
        <f t="shared" si="12"/>
        <v>1.3612558098336498</v>
      </c>
      <c r="AG64" s="30">
        <f t="shared" si="12"/>
        <v>1.3612558098336498</v>
      </c>
      <c r="AH64" s="30">
        <f t="shared" si="12"/>
        <v>1.3612558098336498</v>
      </c>
      <c r="AI64" s="30">
        <f t="shared" si="12"/>
        <v>1.3612558098336498</v>
      </c>
      <c r="AJ64" s="30">
        <f t="shared" si="12"/>
        <v>1.3612558098336498</v>
      </c>
      <c r="AK64" s="30">
        <f t="shared" si="12"/>
        <v>1.3612558098336498</v>
      </c>
      <c r="AL64" s="30">
        <f t="shared" si="12"/>
        <v>1.3612558098336498</v>
      </c>
      <c r="AM64" s="30">
        <f t="shared" si="12"/>
        <v>1.3612558098336498</v>
      </c>
      <c r="AN64" s="30">
        <f t="shared" si="12"/>
        <v>1.3612558098336498</v>
      </c>
      <c r="AO64" s="30">
        <f t="shared" si="12"/>
        <v>1.3612558098336498</v>
      </c>
      <c r="AP64" s="30">
        <f t="shared" si="12"/>
        <v>1.3612558098336498</v>
      </c>
      <c r="AQ64" s="30">
        <f t="shared" si="12"/>
        <v>1.3612558098336498</v>
      </c>
      <c r="AR64" s="30">
        <f t="shared" si="12"/>
        <v>1.3612558098336498</v>
      </c>
      <c r="AS64" s="30">
        <f t="shared" si="12"/>
        <v>1.3612558098336498</v>
      </c>
      <c r="AT64" s="30">
        <f t="shared" si="12"/>
        <v>1.3612558098336498</v>
      </c>
      <c r="AU64" s="30">
        <f t="shared" si="12"/>
        <v>1.3612558098336498</v>
      </c>
      <c r="AV64" s="30">
        <f t="shared" si="12"/>
        <v>1.3612558098336498</v>
      </c>
      <c r="AW64" s="30">
        <f t="shared" si="12"/>
        <v>1.3612558098336498</v>
      </c>
      <c r="AX64" s="30">
        <f t="shared" si="12"/>
        <v>1.3612558098336498</v>
      </c>
      <c r="AY64" s="30">
        <f t="shared" si="12"/>
        <v>1.3612558098336498</v>
      </c>
      <c r="AZ64" s="30">
        <f t="shared" si="12"/>
        <v>1.3612558098336498</v>
      </c>
      <c r="BA64" s="30">
        <f t="shared" si="12"/>
        <v>1.3612558098336498</v>
      </c>
      <c r="BB64" s="30">
        <f t="shared" si="12"/>
        <v>1.3612558098336498</v>
      </c>
      <c r="BC64" s="30">
        <f t="shared" si="12"/>
        <v>1.3612558098336498</v>
      </c>
      <c r="BD64" s="30">
        <f t="shared" si="12"/>
        <v>1.3612558098336498</v>
      </c>
      <c r="BE64" s="30">
        <f t="shared" si="12"/>
        <v>1.3612558098336498</v>
      </c>
      <c r="BF64" s="30">
        <f t="shared" si="12"/>
        <v>1.3612558098336498</v>
      </c>
      <c r="BG64" s="30">
        <f t="shared" si="12"/>
        <v>1.3612558098336498</v>
      </c>
      <c r="BH64" s="30">
        <f t="shared" si="12"/>
        <v>1.3612558098336498</v>
      </c>
      <c r="BI64" s="30">
        <f t="shared" si="12"/>
        <v>1.3612558098336498</v>
      </c>
      <c r="BJ64" s="30">
        <f t="shared" si="12"/>
        <v>1.3612558098336498</v>
      </c>
      <c r="BK64" s="30">
        <f t="shared" si="12"/>
        <v>1.3612558098336498</v>
      </c>
      <c r="BL64" s="28">
        <f t="shared" si="12"/>
        <v>1.3612558098336498</v>
      </c>
    </row>
    <row r="65" spans="1:64" x14ac:dyDescent="0.35">
      <c r="A65" s="1"/>
      <c r="C65" s="10" t="s">
        <v>318</v>
      </c>
      <c r="D65" s="105"/>
      <c r="E65" s="46">
        <f t="shared" ref="E65:BL65" si="13">E49/E64*E41</f>
        <v>112.9471763421078</v>
      </c>
      <c r="F65" s="46">
        <f t="shared" si="13"/>
        <v>115.77085575066049</v>
      </c>
      <c r="G65" s="46">
        <f t="shared" si="13"/>
        <v>118.665127144427</v>
      </c>
      <c r="H65" s="46">
        <f t="shared" si="13"/>
        <v>121.63175532303767</v>
      </c>
      <c r="I65" s="46">
        <f t="shared" si="13"/>
        <v>124.6725492061136</v>
      </c>
      <c r="J65" s="46">
        <f t="shared" si="13"/>
        <v>127.78936293626643</v>
      </c>
      <c r="K65" s="46">
        <f t="shared" si="13"/>
        <v>130.98409700967309</v>
      </c>
      <c r="L65" s="46">
        <f t="shared" si="13"/>
        <v>134.25869943491489</v>
      </c>
      <c r="M65" s="46">
        <f t="shared" si="13"/>
        <v>137.61516692078774</v>
      </c>
      <c r="N65" s="46">
        <f t="shared" si="13"/>
        <v>140.39905828078648</v>
      </c>
      <c r="O65" s="46">
        <f t="shared" si="13"/>
        <v>138.41230764263051</v>
      </c>
      <c r="P65" s="46">
        <f t="shared" si="13"/>
        <v>139.62532457663119</v>
      </c>
      <c r="Q65" s="46">
        <f t="shared" si="13"/>
        <v>140.85114643650741</v>
      </c>
      <c r="R65" s="46">
        <f t="shared" si="13"/>
        <v>142.08989177158665</v>
      </c>
      <c r="S65" s="46">
        <f t="shared" si="13"/>
        <v>143.34168182545022</v>
      </c>
      <c r="T65" s="46">
        <f t="shared" si="13"/>
        <v>144.60663328851973</v>
      </c>
      <c r="U65" s="46">
        <f t="shared" si="13"/>
        <v>145.8848696177561</v>
      </c>
      <c r="V65" s="46">
        <f t="shared" si="13"/>
        <v>147.17738216665151</v>
      </c>
      <c r="W65" s="46">
        <f t="shared" si="13"/>
        <v>150.06460133704485</v>
      </c>
      <c r="X65" s="46">
        <f t="shared" si="13"/>
        <v>151.35433984411992</v>
      </c>
      <c r="Y65" s="46">
        <f t="shared" si="13"/>
        <v>152.65573484811691</v>
      </c>
      <c r="Z65" s="46">
        <f t="shared" si="13"/>
        <v>153.9688395645633</v>
      </c>
      <c r="AA65" s="46">
        <f t="shared" si="13"/>
        <v>155.29370766743611</v>
      </c>
      <c r="AB65" s="46">
        <f t="shared" si="13"/>
        <v>156.63039271105089</v>
      </c>
      <c r="AC65" s="46">
        <f t="shared" si="13"/>
        <v>157.97894685320344</v>
      </c>
      <c r="AD65" s="46">
        <f t="shared" si="13"/>
        <v>159.33941817900813</v>
      </c>
      <c r="AE65" s="46">
        <f t="shared" si="13"/>
        <v>160.71185783480715</v>
      </c>
      <c r="AF65" s="46">
        <f t="shared" si="13"/>
        <v>162.09631175114876</v>
      </c>
      <c r="AG65" s="46">
        <f t="shared" si="13"/>
        <v>163.49282778056767</v>
      </c>
      <c r="AH65" s="46">
        <f t="shared" si="13"/>
        <v>164.9014516279972</v>
      </c>
      <c r="AI65" s="46">
        <f t="shared" si="13"/>
        <v>166.32222418435867</v>
      </c>
      <c r="AJ65" s="46">
        <f t="shared" si="13"/>
        <v>167.7551886703686</v>
      </c>
      <c r="AK65" s="46">
        <f t="shared" si="13"/>
        <v>169.20038657306782</v>
      </c>
      <c r="AL65" s="46">
        <f t="shared" si="13"/>
        <v>170.65785778795683</v>
      </c>
      <c r="AM65" s="46">
        <f t="shared" si="13"/>
        <v>172.1276379609258</v>
      </c>
      <c r="AN65" s="46">
        <f t="shared" si="13"/>
        <v>173.60976143702283</v>
      </c>
      <c r="AO65" s="46">
        <f t="shared" si="13"/>
        <v>175.10426421141801</v>
      </c>
      <c r="AP65" s="46">
        <f t="shared" si="13"/>
        <v>176.611178475587</v>
      </c>
      <c r="AQ65" s="46">
        <f t="shared" si="13"/>
        <v>178.13047392135766</v>
      </c>
      <c r="AR65" s="46">
        <f t="shared" si="13"/>
        <v>179.56245443903941</v>
      </c>
      <c r="AS65" s="46">
        <f t="shared" si="13"/>
        <v>0</v>
      </c>
      <c r="AT65" s="46">
        <f t="shared" si="13"/>
        <v>0</v>
      </c>
      <c r="AU65" s="46">
        <f t="shared" si="13"/>
        <v>0</v>
      </c>
      <c r="AV65" s="46">
        <f t="shared" si="13"/>
        <v>0</v>
      </c>
      <c r="AW65" s="46">
        <f t="shared" si="13"/>
        <v>0</v>
      </c>
      <c r="AX65" s="46">
        <f t="shared" si="13"/>
        <v>0</v>
      </c>
      <c r="AY65" s="46">
        <f t="shared" si="13"/>
        <v>0</v>
      </c>
      <c r="AZ65" s="46">
        <f t="shared" si="13"/>
        <v>0</v>
      </c>
      <c r="BA65" s="46">
        <f t="shared" si="13"/>
        <v>0</v>
      </c>
      <c r="BB65" s="46">
        <f t="shared" si="13"/>
        <v>0</v>
      </c>
      <c r="BC65" s="46">
        <f t="shared" si="13"/>
        <v>0</v>
      </c>
      <c r="BD65" s="46">
        <f t="shared" si="13"/>
        <v>0</v>
      </c>
      <c r="BE65" s="46">
        <f t="shared" si="13"/>
        <v>0</v>
      </c>
      <c r="BF65" s="46">
        <f t="shared" si="13"/>
        <v>0</v>
      </c>
      <c r="BG65" s="46">
        <f t="shared" si="13"/>
        <v>0</v>
      </c>
      <c r="BH65" s="46">
        <f t="shared" si="13"/>
        <v>0</v>
      </c>
      <c r="BI65" s="46">
        <f t="shared" si="13"/>
        <v>0</v>
      </c>
      <c r="BJ65" s="46">
        <f t="shared" si="13"/>
        <v>0</v>
      </c>
      <c r="BK65" s="46">
        <f t="shared" si="13"/>
        <v>0</v>
      </c>
      <c r="BL65" s="46">
        <f t="shared" si="13"/>
        <v>0</v>
      </c>
    </row>
    <row r="66" spans="1:64" x14ac:dyDescent="0.35">
      <c r="A66" s="1"/>
      <c r="C66" s="10" t="s">
        <v>319</v>
      </c>
      <c r="D66" s="105"/>
      <c r="E66" s="46">
        <f ca="1">E83*$D$12</f>
        <v>0.57179508023192072</v>
      </c>
      <c r="F66" s="46">
        <f t="shared" ref="F66:BL66" ca="1" si="14">F83*$D$12</f>
        <v>0.58608995723771873</v>
      </c>
      <c r="G66" s="46">
        <f t="shared" ca="1" si="14"/>
        <v>0.6007422061686617</v>
      </c>
      <c r="H66" s="46">
        <f t="shared" ca="1" si="14"/>
        <v>0.61576076132287816</v>
      </c>
      <c r="I66" s="46">
        <f t="shared" ca="1" si="14"/>
        <v>0.63115478035595007</v>
      </c>
      <c r="J66" s="46">
        <f t="shared" ca="1" si="14"/>
        <v>0.6469336498648488</v>
      </c>
      <c r="K66" s="46">
        <f t="shared" ca="1" si="14"/>
        <v>0.66310699111146987</v>
      </c>
      <c r="L66" s="46">
        <f t="shared" ca="1" si="14"/>
        <v>0.67968466588925647</v>
      </c>
      <c r="M66" s="46">
        <f t="shared" ca="1" si="14"/>
        <v>0.69503556300393554</v>
      </c>
      <c r="N66" s="46">
        <f t="shared" ca="1" si="14"/>
        <v>0.6970284148085425</v>
      </c>
      <c r="O66" s="46">
        <f t="shared" ca="1" si="14"/>
        <v>0.69509408054815425</v>
      </c>
      <c r="P66" s="46">
        <f t="shared" ca="1" si="14"/>
        <v>0.70119117753284654</v>
      </c>
      <c r="Q66" s="46">
        <f t="shared" ca="1" si="14"/>
        <v>0.70735259552023511</v>
      </c>
      <c r="R66" s="46">
        <f t="shared" ca="1" si="14"/>
        <v>0.71357893399259209</v>
      </c>
      <c r="S66" s="46">
        <f t="shared" ca="1" si="14"/>
        <v>0.71987078778492486</v>
      </c>
      <c r="T66" s="46">
        <f t="shared" ca="1" si="14"/>
        <v>0.7262287572656897</v>
      </c>
      <c r="U66" s="46">
        <f t="shared" ca="1" si="14"/>
        <v>0.73265562946101914</v>
      </c>
      <c r="V66" s="46">
        <f t="shared" ca="1" si="14"/>
        <v>0.74310495875924087</v>
      </c>
      <c r="W66" s="46">
        <f t="shared" ca="1" si="14"/>
        <v>0.75354735295291198</v>
      </c>
      <c r="X66" s="46">
        <f t="shared" ca="1" si="14"/>
        <v>0.76002518673059205</v>
      </c>
      <c r="Y66" s="46">
        <f t="shared" ca="1" si="14"/>
        <v>0.76656143603170057</v>
      </c>
      <c r="Z66" s="46">
        <f t="shared" ca="1" si="14"/>
        <v>0.77315636807999855</v>
      </c>
      <c r="AA66" s="46">
        <f t="shared" ca="1" si="14"/>
        <v>0.77981025094621748</v>
      </c>
      <c r="AB66" s="46">
        <f t="shared" ca="1" si="14"/>
        <v>0.78652334891063591</v>
      </c>
      <c r="AC66" s="46">
        <f t="shared" ca="1" si="14"/>
        <v>0.79329591258052889</v>
      </c>
      <c r="AD66" s="46">
        <f t="shared" ca="1" si="14"/>
        <v>0.80012819003453817</v>
      </c>
      <c r="AE66" s="46">
        <f t="shared" ca="1" si="14"/>
        <v>0.80702042396488982</v>
      </c>
      <c r="AF66" s="46">
        <f t="shared" ca="1" si="14"/>
        <v>0.81397284882929111</v>
      </c>
      <c r="AG66" s="46">
        <f t="shared" ca="1" si="14"/>
        <v>0.82098569852141223</v>
      </c>
      <c r="AH66" s="46">
        <f t="shared" ca="1" si="14"/>
        <v>0.82805918953088964</v>
      </c>
      <c r="AI66" s="46">
        <f t="shared" ca="1" si="14"/>
        <v>0.83519353213681824</v>
      </c>
      <c r="AJ66" s="46">
        <f t="shared" ca="1" si="14"/>
        <v>0.84238893810859117</v>
      </c>
      <c r="AK66" s="46">
        <f t="shared" ca="1" si="14"/>
        <v>0.84964561090256152</v>
      </c>
      <c r="AL66" s="46">
        <f t="shared" ca="1" si="14"/>
        <v>0.8569637393722066</v>
      </c>
      <c r="AM66" s="46">
        <f t="shared" ca="1" si="14"/>
        <v>0.86434349849487146</v>
      </c>
      <c r="AN66" s="46">
        <f t="shared" ca="1" si="14"/>
        <v>0.87178506412110213</v>
      </c>
      <c r="AO66" s="46">
        <f t="shared" ca="1" si="14"/>
        <v>0.87928860671751252</v>
      </c>
      <c r="AP66" s="46">
        <f t="shared" ca="1" si="14"/>
        <v>0.88685413099236177</v>
      </c>
      <c r="AQ66" s="46">
        <f t="shared" ca="1" si="14"/>
        <v>0.89423232090099281</v>
      </c>
      <c r="AR66" s="46">
        <f t="shared" ca="1" si="14"/>
        <v>0.44890613609759855</v>
      </c>
      <c r="AS66" s="46">
        <f t="shared" ca="1" si="14"/>
        <v>0</v>
      </c>
      <c r="AT66" s="46">
        <f t="shared" ca="1" si="14"/>
        <v>0</v>
      </c>
      <c r="AU66" s="46">
        <f t="shared" ca="1" si="14"/>
        <v>0</v>
      </c>
      <c r="AV66" s="46">
        <f t="shared" ca="1" si="14"/>
        <v>0</v>
      </c>
      <c r="AW66" s="46">
        <f t="shared" ca="1" si="14"/>
        <v>0</v>
      </c>
      <c r="AX66" s="46">
        <f t="shared" ca="1" si="14"/>
        <v>0</v>
      </c>
      <c r="AY66" s="46">
        <f t="shared" ca="1" si="14"/>
        <v>0</v>
      </c>
      <c r="AZ66" s="46">
        <f t="shared" ca="1" si="14"/>
        <v>0</v>
      </c>
      <c r="BA66" s="46">
        <f t="shared" ca="1" si="14"/>
        <v>0</v>
      </c>
      <c r="BB66" s="46">
        <f t="shared" ca="1" si="14"/>
        <v>0</v>
      </c>
      <c r="BC66" s="46">
        <f t="shared" ca="1" si="14"/>
        <v>0</v>
      </c>
      <c r="BD66" s="46">
        <f t="shared" ca="1" si="14"/>
        <v>0</v>
      </c>
      <c r="BE66" s="46">
        <f t="shared" ca="1" si="14"/>
        <v>0</v>
      </c>
      <c r="BF66" s="46">
        <f t="shared" ca="1" si="14"/>
        <v>0</v>
      </c>
      <c r="BG66" s="46">
        <f t="shared" ca="1" si="14"/>
        <v>0</v>
      </c>
      <c r="BH66" s="46">
        <f t="shared" ca="1" si="14"/>
        <v>0</v>
      </c>
      <c r="BI66" s="46">
        <f t="shared" ca="1" si="14"/>
        <v>0</v>
      </c>
      <c r="BJ66" s="46">
        <f t="shared" ca="1" si="14"/>
        <v>0</v>
      </c>
      <c r="BK66" s="46">
        <f t="shared" ca="1" si="14"/>
        <v>0</v>
      </c>
      <c r="BL66" s="46">
        <f t="shared" ca="1" si="14"/>
        <v>0</v>
      </c>
    </row>
    <row r="67" spans="1:64" x14ac:dyDescent="0.35">
      <c r="A67" s="1"/>
      <c r="C67" s="2" t="s">
        <v>81</v>
      </c>
      <c r="E67" s="4">
        <f ca="1">E65-E66</f>
        <v>112.37538126187587</v>
      </c>
      <c r="F67" s="4">
        <f t="shared" ref="F67:BL67" ca="1" si="15">F65-F66</f>
        <v>115.18476579342277</v>
      </c>
      <c r="G67" s="4">
        <f t="shared" ca="1" si="15"/>
        <v>118.06438493825834</v>
      </c>
      <c r="H67" s="4">
        <f t="shared" ca="1" si="15"/>
        <v>121.01599456171479</v>
      </c>
      <c r="I67" s="4">
        <f t="shared" ca="1" si="15"/>
        <v>124.04139442575764</v>
      </c>
      <c r="J67" s="4">
        <f t="shared" ca="1" si="15"/>
        <v>127.14242928640158</v>
      </c>
      <c r="K67" s="4">
        <f t="shared" ca="1" si="15"/>
        <v>130.32099001856162</v>
      </c>
      <c r="L67" s="4">
        <f t="shared" ca="1" si="15"/>
        <v>133.57901476902563</v>
      </c>
      <c r="M67" s="4">
        <f t="shared" ca="1" si="15"/>
        <v>136.92013135778382</v>
      </c>
      <c r="N67" s="4">
        <f t="shared" ca="1" si="15"/>
        <v>139.70202986597795</v>
      </c>
      <c r="O67" s="4">
        <f t="shared" ca="1" si="15"/>
        <v>137.71721356208235</v>
      </c>
      <c r="P67" s="4">
        <f t="shared" ca="1" si="15"/>
        <v>138.92413339909834</v>
      </c>
      <c r="Q67" s="4">
        <f t="shared" ca="1" si="15"/>
        <v>140.14379384098717</v>
      </c>
      <c r="R67" s="4">
        <f t="shared" ca="1" si="15"/>
        <v>141.37631283759407</v>
      </c>
      <c r="S67" s="4">
        <f t="shared" ca="1" si="15"/>
        <v>142.62181103766531</v>
      </c>
      <c r="T67" s="4">
        <f t="shared" ca="1" si="15"/>
        <v>143.88040453125404</v>
      </c>
      <c r="U67" s="4">
        <f t="shared" ca="1" si="15"/>
        <v>145.15221398829507</v>
      </c>
      <c r="V67" s="4">
        <f t="shared" ca="1" si="15"/>
        <v>146.43427720789228</v>
      </c>
      <c r="W67" s="4">
        <f t="shared" ca="1" si="15"/>
        <v>149.31105398409193</v>
      </c>
      <c r="X67" s="4">
        <f t="shared" ca="1" si="15"/>
        <v>150.59431465738933</v>
      </c>
      <c r="Y67" s="4">
        <f t="shared" ca="1" si="15"/>
        <v>151.8891734120852</v>
      </c>
      <c r="Z67" s="4">
        <f t="shared" ca="1" si="15"/>
        <v>153.19568319648329</v>
      </c>
      <c r="AA67" s="4">
        <f t="shared" ca="1" si="15"/>
        <v>154.5138974164899</v>
      </c>
      <c r="AB67" s="4">
        <f t="shared" ca="1" si="15"/>
        <v>155.84386936214025</v>
      </c>
      <c r="AC67" s="4">
        <f t="shared" ca="1" si="15"/>
        <v>157.18565094062291</v>
      </c>
      <c r="AD67" s="4">
        <f t="shared" ca="1" si="15"/>
        <v>158.53928998897359</v>
      </c>
      <c r="AE67" s="4">
        <f t="shared" ca="1" si="15"/>
        <v>159.90483741084225</v>
      </c>
      <c r="AF67" s="4">
        <f t="shared" ca="1" si="15"/>
        <v>161.28233890231948</v>
      </c>
      <c r="AG67" s="4">
        <f t="shared" ca="1" si="15"/>
        <v>162.67184208204625</v>
      </c>
      <c r="AH67" s="4">
        <f t="shared" ca="1" si="15"/>
        <v>164.07339243846633</v>
      </c>
      <c r="AI67" s="4">
        <f t="shared" ca="1" si="15"/>
        <v>165.48703065222185</v>
      </c>
      <c r="AJ67" s="4">
        <f t="shared" ca="1" si="15"/>
        <v>166.91279973226</v>
      </c>
      <c r="AK67" s="4">
        <f t="shared" ca="1" si="15"/>
        <v>168.35074096216525</v>
      </c>
      <c r="AL67" s="4">
        <f t="shared" ca="1" si="15"/>
        <v>169.80089404858461</v>
      </c>
      <c r="AM67" s="4">
        <f t="shared" ca="1" si="15"/>
        <v>171.26329446243093</v>
      </c>
      <c r="AN67" s="4">
        <f t="shared" ca="1" si="15"/>
        <v>172.73797637290173</v>
      </c>
      <c r="AO67" s="4">
        <f t="shared" ca="1" si="15"/>
        <v>174.22497560470049</v>
      </c>
      <c r="AP67" s="4">
        <f t="shared" ca="1" si="15"/>
        <v>175.72432434459463</v>
      </c>
      <c r="AQ67" s="4">
        <f t="shared" ca="1" si="15"/>
        <v>177.23624160045668</v>
      </c>
      <c r="AR67" s="4">
        <f t="shared" ca="1" si="15"/>
        <v>179.11354830294181</v>
      </c>
      <c r="AS67" s="4">
        <f t="shared" ca="1" si="15"/>
        <v>0</v>
      </c>
      <c r="AT67" s="4">
        <f t="shared" ca="1" si="15"/>
        <v>0</v>
      </c>
      <c r="AU67" s="4">
        <f t="shared" ca="1" si="15"/>
        <v>0</v>
      </c>
      <c r="AV67" s="4">
        <f t="shared" ca="1" si="15"/>
        <v>0</v>
      </c>
      <c r="AW67" s="4">
        <f t="shared" ca="1" si="15"/>
        <v>0</v>
      </c>
      <c r="AX67" s="4">
        <f t="shared" ca="1" si="15"/>
        <v>0</v>
      </c>
      <c r="AY67" s="4">
        <f t="shared" ca="1" si="15"/>
        <v>0</v>
      </c>
      <c r="AZ67" s="4">
        <f t="shared" ca="1" si="15"/>
        <v>0</v>
      </c>
      <c r="BA67" s="4">
        <f t="shared" ca="1" si="15"/>
        <v>0</v>
      </c>
      <c r="BB67" s="4">
        <f t="shared" ca="1" si="15"/>
        <v>0</v>
      </c>
      <c r="BC67" s="4">
        <f t="shared" ca="1" si="15"/>
        <v>0</v>
      </c>
      <c r="BD67" s="4">
        <f t="shared" ca="1" si="15"/>
        <v>0</v>
      </c>
      <c r="BE67" s="4">
        <f t="shared" ca="1" si="15"/>
        <v>0</v>
      </c>
      <c r="BF67" s="4">
        <f t="shared" ca="1" si="15"/>
        <v>0</v>
      </c>
      <c r="BG67" s="4">
        <f t="shared" ca="1" si="15"/>
        <v>0</v>
      </c>
      <c r="BH67" s="4">
        <f t="shared" ca="1" si="15"/>
        <v>0</v>
      </c>
      <c r="BI67" s="4">
        <f t="shared" ca="1" si="15"/>
        <v>0</v>
      </c>
      <c r="BJ67" s="4">
        <f t="shared" ca="1" si="15"/>
        <v>0</v>
      </c>
      <c r="BK67" s="4">
        <f t="shared" ca="1" si="15"/>
        <v>0</v>
      </c>
      <c r="BL67" s="4">
        <f t="shared" ca="1" si="15"/>
        <v>0</v>
      </c>
    </row>
    <row r="68" spans="1:64" x14ac:dyDescent="0.35">
      <c r="A68" s="1"/>
      <c r="C68" s="2" t="s">
        <v>328</v>
      </c>
      <c r="D68" s="4">
        <f>SUMPRODUCT(E107:BL107/E54:BL54)</f>
        <v>21.010079561884282</v>
      </c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</row>
    <row r="69" spans="1:64" x14ac:dyDescent="0.35">
      <c r="A69" s="1"/>
      <c r="C69" s="2" t="s">
        <v>90</v>
      </c>
      <c r="D69" s="4">
        <f>SUMPRODUCT(E65:BL65/E54:BL54)</f>
        <v>4219.9239858118854</v>
      </c>
    </row>
    <row r="70" spans="1:64" x14ac:dyDescent="0.35">
      <c r="A70" s="1"/>
      <c r="C70" s="34" t="s">
        <v>125</v>
      </c>
      <c r="D70" s="47">
        <f>D69-D68</f>
        <v>4198.9139062500008</v>
      </c>
    </row>
    <row r="71" spans="1:64" x14ac:dyDescent="0.35">
      <c r="A71" s="1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</row>
    <row r="72" spans="1:64" x14ac:dyDescent="0.35">
      <c r="A72" s="1"/>
      <c r="C72" s="2" t="s">
        <v>91</v>
      </c>
      <c r="E72" s="4">
        <f t="shared" ref="E72:BL72" si="16">D74</f>
        <v>4198.9139062500008</v>
      </c>
      <c r="F72" s="4">
        <f t="shared" ca="1" si="16"/>
        <v>4149.5222335818753</v>
      </c>
      <c r="G72" s="4">
        <f t="shared" ca="1" si="16"/>
        <v>4096.5803012921806</v>
      </c>
      <c r="H72" s="4">
        <f t="shared" ca="1" si="16"/>
        <v>4039.9646208733047</v>
      </c>
      <c r="I72" s="4">
        <f t="shared" ca="1" si="16"/>
        <v>3979.5480956246897</v>
      </c>
      <c r="J72" s="4">
        <f t="shared" ca="1" si="16"/>
        <v>3915.1999226333023</v>
      </c>
      <c r="K72" s="4">
        <f t="shared" ca="1" si="16"/>
        <v>3846.7854921864005</v>
      </c>
      <c r="L72" s="4">
        <f t="shared" ca="1" si="16"/>
        <v>3774.1662845506348</v>
      </c>
      <c r="M72" s="4">
        <f t="shared" ca="1" si="16"/>
        <v>3697.1997640498689</v>
      </c>
      <c r="N72" s="4">
        <f t="shared" ca="1" si="16"/>
        <v>3624.9806285629579</v>
      </c>
      <c r="O72" s="4">
        <f t="shared" ca="1" si="16"/>
        <v>3548.7157596968318</v>
      </c>
      <c r="P72" s="4">
        <f t="shared" ca="1" si="16"/>
        <v>3473.1010719294441</v>
      </c>
      <c r="Q72" s="4">
        <f t="shared" ca="1" si="16"/>
        <v>3394.9562072891108</v>
      </c>
      <c r="R72" s="4">
        <f t="shared" ca="1" si="16"/>
        <v>3314.224147075683</v>
      </c>
      <c r="S72" s="4">
        <f t="shared" ca="1" si="16"/>
        <v>3230.8467568119136</v>
      </c>
      <c r="T72" s="4">
        <f t="shared" ca="1" si="16"/>
        <v>3144.7647640184568</v>
      </c>
      <c r="U72" s="4">
        <f t="shared" ca="1" si="16"/>
        <v>3055.9177428575258</v>
      </c>
      <c r="V72" s="4">
        <f t="shared" ca="1" si="16"/>
        <v>2964.2440893692374</v>
      </c>
      <c r="W72" s="4">
        <f t="shared" ca="1" si="16"/>
        <v>2869.6840837253067</v>
      </c>
      <c r="X72" s="4">
        <f t="shared" ca="1" si="16"/>
        <v>2777.7667114157207</v>
      </c>
      <c r="Y72" s="4">
        <f t="shared" ca="1" si="16"/>
        <v>2682.7277309866458</v>
      </c>
      <c r="Z72" s="4">
        <f t="shared" ca="1" si="16"/>
        <v>2584.4931121942936</v>
      </c>
      <c r="AA72" s="4">
        <f t="shared" ca="1" si="16"/>
        <v>2482.9872912416963</v>
      </c>
      <c r="AB72" s="4">
        <f t="shared" ca="1" si="16"/>
        <v>2378.1331396500404</v>
      </c>
      <c r="AC72" s="4">
        <f t="shared" ca="1" si="16"/>
        <v>2269.8519330809008</v>
      </c>
      <c r="AD72" s="4">
        <f t="shared" ca="1" si="16"/>
        <v>2158.0633208018958</v>
      </c>
      <c r="AE72" s="4">
        <f t="shared" ca="1" si="16"/>
        <v>2042.6852972289601</v>
      </c>
      <c r="AF72" s="4">
        <f t="shared" ca="1" si="16"/>
        <v>1923.634165762697</v>
      </c>
      <c r="AG72" s="4">
        <f t="shared" ca="1" si="16"/>
        <v>1800.8245101756315</v>
      </c>
      <c r="AH72" s="4">
        <f t="shared" ca="1" si="16"/>
        <v>1674.169158297098</v>
      </c>
      <c r="AI72" s="4">
        <f t="shared" ca="1" si="16"/>
        <v>1543.5791490245736</v>
      </c>
      <c r="AJ72" s="4">
        <f t="shared" ca="1" si="16"/>
        <v>1408.9637013528431</v>
      </c>
      <c r="AK72" s="4">
        <f t="shared" ca="1" si="16"/>
        <v>1270.23017564764</v>
      </c>
      <c r="AL72" s="4">
        <f t="shared" ca="1" si="16"/>
        <v>1127.2840381984274</v>
      </c>
      <c r="AM72" s="4">
        <f t="shared" ca="1" si="16"/>
        <v>980.02882491381138</v>
      </c>
      <c r="AN72" s="4">
        <f t="shared" ca="1" si="16"/>
        <v>828.36610694965668</v>
      </c>
      <c r="AO72" s="4">
        <f t="shared" ca="1" si="16"/>
        <v>672.19545271574805</v>
      </c>
      <c r="AP72" s="4">
        <f t="shared" ca="1" si="16"/>
        <v>511.41438616536254</v>
      </c>
      <c r="AQ72" s="4">
        <f t="shared" ca="1" si="16"/>
        <v>345.91834954407517</v>
      </c>
      <c r="AR72" s="4">
        <f t="shared" ca="1" si="16"/>
        <v>175.6004749345</v>
      </c>
      <c r="AS72" s="4">
        <f t="shared" ca="1" si="16"/>
        <v>-1.0638697518174922E-3</v>
      </c>
      <c r="AT72" s="4">
        <f t="shared" ca="1" si="16"/>
        <v>-1.0851471468538421E-3</v>
      </c>
      <c r="AU72" s="4">
        <f t="shared" ca="1" si="16"/>
        <v>-1.106850089790919E-3</v>
      </c>
      <c r="AV72" s="4">
        <f t="shared" ca="1" si="16"/>
        <v>-1.1289870915867375E-3</v>
      </c>
      <c r="AW72" s="4">
        <f t="shared" ca="1" si="16"/>
        <v>-1.1515668334184722E-3</v>
      </c>
      <c r="AX72" s="4">
        <f t="shared" ca="1" si="16"/>
        <v>-1.1745981700868415E-3</v>
      </c>
      <c r="AY72" s="4">
        <f t="shared" ca="1" si="16"/>
        <v>-1.1980901334885784E-3</v>
      </c>
      <c r="AZ72" s="4">
        <f t="shared" ca="1" si="16"/>
        <v>-1.2220519361583501E-3</v>
      </c>
      <c r="BA72" s="4">
        <f t="shared" ca="1" si="16"/>
        <v>-1.2464929748815172E-3</v>
      </c>
      <c r="BB72" s="4">
        <f t="shared" ca="1" si="16"/>
        <v>-1.2714228343791475E-3</v>
      </c>
      <c r="BC72" s="4">
        <f t="shared" ca="1" si="16"/>
        <v>-1.2968512910667305E-3</v>
      </c>
      <c r="BD72" s="4">
        <f t="shared" ca="1" si="16"/>
        <v>-1.3227883168880651E-3</v>
      </c>
      <c r="BE72" s="4">
        <f t="shared" ca="1" si="16"/>
        <v>-1.3492440832258265E-3</v>
      </c>
      <c r="BF72" s="4">
        <f t="shared" ca="1" si="16"/>
        <v>-1.3762289648903429E-3</v>
      </c>
      <c r="BG72" s="4">
        <f t="shared" ca="1" si="16"/>
        <v>-1.4037535441881498E-3</v>
      </c>
      <c r="BH72" s="4">
        <f t="shared" ca="1" si="16"/>
        <v>-1.4318286150719129E-3</v>
      </c>
      <c r="BI72" s="4">
        <f t="shared" ca="1" si="16"/>
        <v>-1.4604651873733512E-3</v>
      </c>
      <c r="BJ72" s="4">
        <f t="shared" ca="1" si="16"/>
        <v>-1.4896744911208181E-3</v>
      </c>
      <c r="BK72" s="4">
        <f t="shared" ca="1" si="16"/>
        <v>-1.5194679809432344E-3</v>
      </c>
      <c r="BL72" s="4">
        <f t="shared" ca="1" si="16"/>
        <v>-1.5498573405620991E-3</v>
      </c>
    </row>
    <row r="73" spans="1:64" x14ac:dyDescent="0.35">
      <c r="A73" s="1"/>
      <c r="C73" s="2" t="s">
        <v>74</v>
      </c>
      <c r="E73" s="4">
        <f ca="1">E65-E75-E66</f>
        <v>49.391672668125864</v>
      </c>
      <c r="F73" s="4">
        <f t="shared" ref="F73:BL73" ca="1" si="17">F65-F75-F66</f>
        <v>52.941932289694641</v>
      </c>
      <c r="G73" s="4">
        <f t="shared" ca="1" si="17"/>
        <v>56.615680418875634</v>
      </c>
      <c r="H73" s="4">
        <f t="shared" ca="1" si="17"/>
        <v>60.416525248615223</v>
      </c>
      <c r="I73" s="4">
        <f t="shared" ca="1" si="17"/>
        <v>64.348172991387301</v>
      </c>
      <c r="J73" s="4">
        <f t="shared" ca="1" si="17"/>
        <v>68.414430446902045</v>
      </c>
      <c r="K73" s="4">
        <f t="shared" ca="1" si="17"/>
        <v>72.619207635765605</v>
      </c>
      <c r="L73" s="4">
        <f t="shared" ca="1" si="17"/>
        <v>76.966520500766109</v>
      </c>
      <c r="M73" s="4">
        <f t="shared" ca="1" si="17"/>
        <v>72.219135486911085</v>
      </c>
      <c r="N73" s="4">
        <f t="shared" ca="1" si="17"/>
        <v>76.264868866126164</v>
      </c>
      <c r="O73" s="4">
        <f t="shared" ca="1" si="17"/>
        <v>75.614687767387778</v>
      </c>
      <c r="P73" s="4">
        <f t="shared" ca="1" si="17"/>
        <v>78.144864640333054</v>
      </c>
      <c r="Q73" s="4">
        <f t="shared" ca="1" si="17"/>
        <v>80.732060213427729</v>
      </c>
      <c r="R73" s="4">
        <f t="shared" ca="1" si="17"/>
        <v>83.377390263769598</v>
      </c>
      <c r="S73" s="4">
        <f t="shared" ca="1" si="17"/>
        <v>86.081992793456806</v>
      </c>
      <c r="T73" s="4">
        <f t="shared" ca="1" si="17"/>
        <v>88.847021160931035</v>
      </c>
      <c r="U73" s="4">
        <f t="shared" ca="1" si="17"/>
        <v>91.673653488288366</v>
      </c>
      <c r="V73" s="4">
        <f t="shared" ca="1" si="17"/>
        <v>94.560005643930609</v>
      </c>
      <c r="W73" s="4">
        <f t="shared" ca="1" si="17"/>
        <v>91.917372309585815</v>
      </c>
      <c r="X73" s="4">
        <f t="shared" ca="1" si="17"/>
        <v>95.038980429074911</v>
      </c>
      <c r="Y73" s="4">
        <f t="shared" ca="1" si="17"/>
        <v>98.234618792352293</v>
      </c>
      <c r="Z73" s="4">
        <f t="shared" ca="1" si="17"/>
        <v>101.50582095259743</v>
      </c>
      <c r="AA73" s="4">
        <f t="shared" ca="1" si="17"/>
        <v>104.85415159165598</v>
      </c>
      <c r="AB73" s="4">
        <f t="shared" ca="1" si="17"/>
        <v>108.28120656913944</v>
      </c>
      <c r="AC73" s="4">
        <f t="shared" ca="1" si="17"/>
        <v>111.78861227900489</v>
      </c>
      <c r="AD73" s="4">
        <f t="shared" ca="1" si="17"/>
        <v>115.37802357293567</v>
      </c>
      <c r="AE73" s="4">
        <f t="shared" ca="1" si="17"/>
        <v>119.05113146626306</v>
      </c>
      <c r="AF73" s="4">
        <f t="shared" ca="1" si="17"/>
        <v>122.80965558706554</v>
      </c>
      <c r="AG73" s="4">
        <f t="shared" ca="1" si="17"/>
        <v>126.65535187853362</v>
      </c>
      <c r="AH73" s="4">
        <f t="shared" ca="1" si="17"/>
        <v>130.59000927252438</v>
      </c>
      <c r="AI73" s="4">
        <f t="shared" ca="1" si="17"/>
        <v>134.61544767173038</v>
      </c>
      <c r="AJ73" s="4">
        <f t="shared" ca="1" si="17"/>
        <v>138.73352570520314</v>
      </c>
      <c r="AK73" s="4">
        <f t="shared" ca="1" si="17"/>
        <v>142.94613744921244</v>
      </c>
      <c r="AL73" s="4">
        <f t="shared" ca="1" si="17"/>
        <v>147.25521328461608</v>
      </c>
      <c r="AM73" s="4">
        <f t="shared" ca="1" si="17"/>
        <v>151.66271796415469</v>
      </c>
      <c r="AN73" s="4">
        <f t="shared" ca="1" si="17"/>
        <v>156.17065423390861</v>
      </c>
      <c r="AO73" s="4">
        <f t="shared" ca="1" si="17"/>
        <v>160.78106655038553</v>
      </c>
      <c r="AP73" s="4">
        <f t="shared" ca="1" si="17"/>
        <v>165.49603662128737</v>
      </c>
      <c r="AQ73" s="4">
        <f t="shared" ca="1" si="17"/>
        <v>170.31787460957517</v>
      </c>
      <c r="AR73" s="4">
        <f t="shared" ca="1" si="17"/>
        <v>175.60153880425182</v>
      </c>
      <c r="AS73" s="4">
        <f t="shared" ca="1" si="17"/>
        <v>2.1277395036349843E-5</v>
      </c>
      <c r="AT73" s="4">
        <f t="shared" ca="1" si="17"/>
        <v>2.1702942937076842E-5</v>
      </c>
      <c r="AU73" s="4">
        <f t="shared" ca="1" si="17"/>
        <v>2.2137001795818382E-5</v>
      </c>
      <c r="AV73" s="4">
        <f t="shared" ca="1" si="17"/>
        <v>2.2579741831734748E-5</v>
      </c>
      <c r="AW73" s="4">
        <f t="shared" ca="1" si="17"/>
        <v>2.3031336668369442E-5</v>
      </c>
      <c r="AX73" s="4">
        <f t="shared" ca="1" si="17"/>
        <v>2.3491963401736831E-5</v>
      </c>
      <c r="AY73" s="4">
        <f t="shared" ca="1" si="17"/>
        <v>2.3961802669771571E-5</v>
      </c>
      <c r="AZ73" s="4">
        <f t="shared" ca="1" si="17"/>
        <v>2.4441038723167002E-5</v>
      </c>
      <c r="BA73" s="4">
        <f t="shared" ca="1" si="17"/>
        <v>2.4929859497630343E-5</v>
      </c>
      <c r="BB73" s="4">
        <f t="shared" ca="1" si="17"/>
        <v>2.5428456687582951E-5</v>
      </c>
      <c r="BC73" s="4">
        <f t="shared" ca="1" si="17"/>
        <v>2.5937025821334612E-5</v>
      </c>
      <c r="BD73" s="4">
        <f t="shared" ca="1" si="17"/>
        <v>2.6455766337761305E-5</v>
      </c>
      <c r="BE73" s="4">
        <f t="shared" ca="1" si="17"/>
        <v>2.6984881664516532E-5</v>
      </c>
      <c r="BF73" s="4">
        <f t="shared" ca="1" si="17"/>
        <v>2.752457929780686E-5</v>
      </c>
      <c r="BG73" s="4">
        <f t="shared" ca="1" si="17"/>
        <v>2.8075070883762996E-5</v>
      </c>
      <c r="BH73" s="4">
        <f t="shared" ca="1" si="17"/>
        <v>2.863657230143826E-5</v>
      </c>
      <c r="BI73" s="4">
        <f t="shared" ca="1" si="17"/>
        <v>2.9209303747467023E-5</v>
      </c>
      <c r="BJ73" s="4">
        <f t="shared" ca="1" si="17"/>
        <v>2.9793489822416362E-5</v>
      </c>
      <c r="BK73" s="4">
        <f t="shared" ca="1" si="17"/>
        <v>3.0389359618864689E-5</v>
      </c>
      <c r="BL73" s="4">
        <f t="shared" ca="1" si="17"/>
        <v>3.0997146811241984E-5</v>
      </c>
    </row>
    <row r="74" spans="1:64" x14ac:dyDescent="0.35">
      <c r="A74" s="1"/>
      <c r="C74" s="2" t="s">
        <v>92</v>
      </c>
      <c r="D74" s="4">
        <f>D70</f>
        <v>4198.9139062500008</v>
      </c>
      <c r="E74" s="4">
        <f t="shared" ref="E74:BL74" ca="1" si="18">E72-E73</f>
        <v>4149.5222335818753</v>
      </c>
      <c r="F74" s="4">
        <f t="shared" ca="1" si="18"/>
        <v>4096.5803012921806</v>
      </c>
      <c r="G74" s="4">
        <f t="shared" ca="1" si="18"/>
        <v>4039.9646208733047</v>
      </c>
      <c r="H74" s="4">
        <f t="shared" ca="1" si="18"/>
        <v>3979.5480956246897</v>
      </c>
      <c r="I74" s="4">
        <f t="shared" ca="1" si="18"/>
        <v>3915.1999226333023</v>
      </c>
      <c r="J74" s="4">
        <f t="shared" ca="1" si="18"/>
        <v>3846.7854921864005</v>
      </c>
      <c r="K74" s="4">
        <f t="shared" ca="1" si="18"/>
        <v>3774.1662845506348</v>
      </c>
      <c r="L74" s="4">
        <f t="shared" ca="1" si="18"/>
        <v>3697.1997640498689</v>
      </c>
      <c r="M74" s="4">
        <f t="shared" ca="1" si="18"/>
        <v>3624.9806285629579</v>
      </c>
      <c r="N74" s="4">
        <f t="shared" ca="1" si="18"/>
        <v>3548.7157596968318</v>
      </c>
      <c r="O74" s="4">
        <f t="shared" ca="1" si="18"/>
        <v>3473.1010719294441</v>
      </c>
      <c r="P74" s="4">
        <f t="shared" ca="1" si="18"/>
        <v>3394.9562072891108</v>
      </c>
      <c r="Q74" s="4">
        <f t="shared" ca="1" si="18"/>
        <v>3314.224147075683</v>
      </c>
      <c r="R74" s="4">
        <f t="shared" ca="1" si="18"/>
        <v>3230.8467568119136</v>
      </c>
      <c r="S74" s="4">
        <f t="shared" ca="1" si="18"/>
        <v>3144.7647640184568</v>
      </c>
      <c r="T74" s="4">
        <f t="shared" ca="1" si="18"/>
        <v>3055.9177428575258</v>
      </c>
      <c r="U74" s="4">
        <f t="shared" ca="1" si="18"/>
        <v>2964.2440893692374</v>
      </c>
      <c r="V74" s="4">
        <f t="shared" ca="1" si="18"/>
        <v>2869.6840837253067</v>
      </c>
      <c r="W74" s="4">
        <f t="shared" ca="1" si="18"/>
        <v>2777.7667114157207</v>
      </c>
      <c r="X74" s="4">
        <f t="shared" ca="1" si="18"/>
        <v>2682.7277309866458</v>
      </c>
      <c r="Y74" s="4">
        <f t="shared" ca="1" si="18"/>
        <v>2584.4931121942936</v>
      </c>
      <c r="Z74" s="4">
        <f t="shared" ca="1" si="18"/>
        <v>2482.9872912416963</v>
      </c>
      <c r="AA74" s="4">
        <f t="shared" ca="1" si="18"/>
        <v>2378.1331396500404</v>
      </c>
      <c r="AB74" s="4">
        <f t="shared" ca="1" si="18"/>
        <v>2269.8519330809008</v>
      </c>
      <c r="AC74" s="4">
        <f t="shared" ca="1" si="18"/>
        <v>2158.0633208018958</v>
      </c>
      <c r="AD74" s="4">
        <f t="shared" ca="1" si="18"/>
        <v>2042.6852972289601</v>
      </c>
      <c r="AE74" s="4">
        <f t="shared" ca="1" si="18"/>
        <v>1923.634165762697</v>
      </c>
      <c r="AF74" s="4">
        <f t="shared" ca="1" si="18"/>
        <v>1800.8245101756315</v>
      </c>
      <c r="AG74" s="4">
        <f t="shared" ca="1" si="18"/>
        <v>1674.169158297098</v>
      </c>
      <c r="AH74" s="4">
        <f t="shared" ca="1" si="18"/>
        <v>1543.5791490245736</v>
      </c>
      <c r="AI74" s="4">
        <f t="shared" ca="1" si="18"/>
        <v>1408.9637013528431</v>
      </c>
      <c r="AJ74" s="4">
        <f t="shared" ca="1" si="18"/>
        <v>1270.23017564764</v>
      </c>
      <c r="AK74" s="4">
        <f t="shared" ca="1" si="18"/>
        <v>1127.2840381984274</v>
      </c>
      <c r="AL74" s="4">
        <f t="shared" ca="1" si="18"/>
        <v>980.02882491381138</v>
      </c>
      <c r="AM74" s="4">
        <f t="shared" ca="1" si="18"/>
        <v>828.36610694965668</v>
      </c>
      <c r="AN74" s="4">
        <f t="shared" ca="1" si="18"/>
        <v>672.19545271574805</v>
      </c>
      <c r="AO74" s="4">
        <f t="shared" ca="1" si="18"/>
        <v>511.41438616536254</v>
      </c>
      <c r="AP74" s="4">
        <f t="shared" ca="1" si="18"/>
        <v>345.91834954407517</v>
      </c>
      <c r="AQ74" s="4">
        <f t="shared" ca="1" si="18"/>
        <v>175.6004749345</v>
      </c>
      <c r="AR74" s="4">
        <f t="shared" ca="1" si="18"/>
        <v>-1.0638697518174922E-3</v>
      </c>
      <c r="AS74" s="4">
        <f t="shared" ca="1" si="18"/>
        <v>-1.0851471468538421E-3</v>
      </c>
      <c r="AT74" s="4">
        <f t="shared" ca="1" si="18"/>
        <v>-1.106850089790919E-3</v>
      </c>
      <c r="AU74" s="4">
        <f t="shared" ca="1" si="18"/>
        <v>-1.1289870915867375E-3</v>
      </c>
      <c r="AV74" s="4">
        <f t="shared" ca="1" si="18"/>
        <v>-1.1515668334184722E-3</v>
      </c>
      <c r="AW74" s="4">
        <f t="shared" ca="1" si="18"/>
        <v>-1.1745981700868415E-3</v>
      </c>
      <c r="AX74" s="4">
        <f t="shared" ca="1" si="18"/>
        <v>-1.1980901334885784E-3</v>
      </c>
      <c r="AY74" s="4">
        <f t="shared" ca="1" si="18"/>
        <v>-1.2220519361583501E-3</v>
      </c>
      <c r="AZ74" s="4">
        <f t="shared" ca="1" si="18"/>
        <v>-1.2464929748815172E-3</v>
      </c>
      <c r="BA74" s="4">
        <f t="shared" ca="1" si="18"/>
        <v>-1.2714228343791475E-3</v>
      </c>
      <c r="BB74" s="4">
        <f t="shared" ca="1" si="18"/>
        <v>-1.2968512910667305E-3</v>
      </c>
      <c r="BC74" s="4">
        <f t="shared" ca="1" si="18"/>
        <v>-1.3227883168880651E-3</v>
      </c>
      <c r="BD74" s="4">
        <f t="shared" ca="1" si="18"/>
        <v>-1.3492440832258265E-3</v>
      </c>
      <c r="BE74" s="4">
        <f t="shared" ca="1" si="18"/>
        <v>-1.3762289648903429E-3</v>
      </c>
      <c r="BF74" s="4">
        <f t="shared" ca="1" si="18"/>
        <v>-1.4037535441881498E-3</v>
      </c>
      <c r="BG74" s="4">
        <f t="shared" ca="1" si="18"/>
        <v>-1.4318286150719129E-3</v>
      </c>
      <c r="BH74" s="4">
        <f t="shared" ca="1" si="18"/>
        <v>-1.4604651873733512E-3</v>
      </c>
      <c r="BI74" s="4">
        <f t="shared" ca="1" si="18"/>
        <v>-1.4896744911208181E-3</v>
      </c>
      <c r="BJ74" s="4">
        <f t="shared" ca="1" si="18"/>
        <v>-1.5194679809432344E-3</v>
      </c>
      <c r="BK74" s="4">
        <f t="shared" ca="1" si="18"/>
        <v>-1.5498573405620991E-3</v>
      </c>
      <c r="BL74" s="4">
        <f t="shared" ca="1" si="18"/>
        <v>-1.5808544873733411E-3</v>
      </c>
    </row>
    <row r="75" spans="1:64" x14ac:dyDescent="0.35">
      <c r="A75" s="1"/>
      <c r="C75" s="2" t="s">
        <v>310</v>
      </c>
      <c r="E75" s="4">
        <f t="shared" ref="E75:BL75" si="19">E72*E53</f>
        <v>62.983708593750009</v>
      </c>
      <c r="F75" s="4">
        <f t="shared" ca="1" si="19"/>
        <v>62.242833503728129</v>
      </c>
      <c r="G75" s="4">
        <f t="shared" ca="1" si="19"/>
        <v>61.448704519382709</v>
      </c>
      <c r="H75" s="4">
        <f t="shared" ca="1" si="19"/>
        <v>60.599469313099569</v>
      </c>
      <c r="I75" s="4">
        <f t="shared" ca="1" si="19"/>
        <v>59.693221434370344</v>
      </c>
      <c r="J75" s="4">
        <f t="shared" ca="1" si="19"/>
        <v>58.727998839499534</v>
      </c>
      <c r="K75" s="4">
        <f t="shared" ca="1" si="19"/>
        <v>57.701782382796004</v>
      </c>
      <c r="L75" s="4">
        <f t="shared" ca="1" si="19"/>
        <v>56.612494268259518</v>
      </c>
      <c r="M75" s="4">
        <f t="shared" ca="1" si="19"/>
        <v>64.700995870872717</v>
      </c>
      <c r="N75" s="4">
        <f t="shared" ca="1" si="19"/>
        <v>63.43716099985177</v>
      </c>
      <c r="O75" s="4">
        <f t="shared" ca="1" si="19"/>
        <v>62.102525794694564</v>
      </c>
      <c r="P75" s="4">
        <f t="shared" ca="1" si="19"/>
        <v>60.779268758765276</v>
      </c>
      <c r="Q75" s="4">
        <f t="shared" ca="1" si="19"/>
        <v>59.411733627559443</v>
      </c>
      <c r="R75" s="4">
        <f t="shared" ca="1" si="19"/>
        <v>57.998922573824458</v>
      </c>
      <c r="S75" s="4">
        <f t="shared" ca="1" si="19"/>
        <v>56.53981824420849</v>
      </c>
      <c r="T75" s="4">
        <f t="shared" ca="1" si="19"/>
        <v>55.033383370323001</v>
      </c>
      <c r="U75" s="4">
        <f t="shared" ca="1" si="19"/>
        <v>53.478560500006708</v>
      </c>
      <c r="V75" s="4">
        <f t="shared" ca="1" si="19"/>
        <v>51.874271563961656</v>
      </c>
      <c r="W75" s="4">
        <f t="shared" ca="1" si="19"/>
        <v>57.393681674506134</v>
      </c>
      <c r="X75" s="4">
        <f t="shared" ca="1" si="19"/>
        <v>55.555334228314415</v>
      </c>
      <c r="Y75" s="4">
        <f t="shared" ca="1" si="19"/>
        <v>53.65455461973292</v>
      </c>
      <c r="Z75" s="4">
        <f t="shared" ca="1" si="19"/>
        <v>51.689862243885877</v>
      </c>
      <c r="AA75" s="4">
        <f t="shared" ca="1" si="19"/>
        <v>49.659745824833927</v>
      </c>
      <c r="AB75" s="4">
        <f t="shared" ca="1" si="19"/>
        <v>47.562662793000811</v>
      </c>
      <c r="AC75" s="4">
        <f t="shared" ca="1" si="19"/>
        <v>45.397038661618019</v>
      </c>
      <c r="AD75" s="4">
        <f t="shared" ca="1" si="19"/>
        <v>43.161266416037918</v>
      </c>
      <c r="AE75" s="4">
        <f t="shared" ca="1" si="19"/>
        <v>40.853705944579204</v>
      </c>
      <c r="AF75" s="4">
        <f t="shared" ca="1" si="19"/>
        <v>38.472683315253938</v>
      </c>
      <c r="AG75" s="4">
        <f t="shared" ca="1" si="19"/>
        <v>36.016490203512632</v>
      </c>
      <c r="AH75" s="4">
        <f t="shared" ca="1" si="19"/>
        <v>33.483383165941959</v>
      </c>
      <c r="AI75" s="4">
        <f t="shared" ca="1" si="19"/>
        <v>30.871582980491471</v>
      </c>
      <c r="AJ75" s="4">
        <f t="shared" ca="1" si="19"/>
        <v>28.179274027056863</v>
      </c>
      <c r="AK75" s="4">
        <f t="shared" ca="1" si="19"/>
        <v>25.4046035129528</v>
      </c>
      <c r="AL75" s="4">
        <f t="shared" ca="1" si="19"/>
        <v>22.545680763968548</v>
      </c>
      <c r="AM75" s="4">
        <f t="shared" ca="1" si="19"/>
        <v>19.600576498276229</v>
      </c>
      <c r="AN75" s="4">
        <f t="shared" ca="1" si="19"/>
        <v>16.567322138993134</v>
      </c>
      <c r="AO75" s="4">
        <f t="shared" ca="1" si="19"/>
        <v>13.443909054314961</v>
      </c>
      <c r="AP75" s="4">
        <f t="shared" ca="1" si="19"/>
        <v>10.22828772330725</v>
      </c>
      <c r="AQ75" s="4">
        <f t="shared" ca="1" si="19"/>
        <v>6.9183669908815038</v>
      </c>
      <c r="AR75" s="4">
        <f t="shared" ca="1" si="19"/>
        <v>3.5120094986899999</v>
      </c>
      <c r="AS75" s="4">
        <f t="shared" ca="1" si="19"/>
        <v>-2.1277395036349843E-5</v>
      </c>
      <c r="AT75" s="4">
        <f t="shared" ca="1" si="19"/>
        <v>-2.1702942937076842E-5</v>
      </c>
      <c r="AU75" s="4">
        <f t="shared" ca="1" si="19"/>
        <v>-2.2137001795818382E-5</v>
      </c>
      <c r="AV75" s="4">
        <f t="shared" ca="1" si="19"/>
        <v>-2.2579741831734748E-5</v>
      </c>
      <c r="AW75" s="4">
        <f t="shared" ca="1" si="19"/>
        <v>-2.3031336668369442E-5</v>
      </c>
      <c r="AX75" s="4">
        <f t="shared" ca="1" si="19"/>
        <v>-2.3491963401736831E-5</v>
      </c>
      <c r="AY75" s="4">
        <f t="shared" ca="1" si="19"/>
        <v>-2.3961802669771571E-5</v>
      </c>
      <c r="AZ75" s="4">
        <f t="shared" ca="1" si="19"/>
        <v>-2.4441038723167002E-5</v>
      </c>
      <c r="BA75" s="4">
        <f t="shared" ca="1" si="19"/>
        <v>-2.4929859497630343E-5</v>
      </c>
      <c r="BB75" s="4">
        <f t="shared" ca="1" si="19"/>
        <v>-2.5428456687582951E-5</v>
      </c>
      <c r="BC75" s="4">
        <f t="shared" ca="1" si="19"/>
        <v>-2.5937025821334612E-5</v>
      </c>
      <c r="BD75" s="4">
        <f t="shared" ca="1" si="19"/>
        <v>-2.6455766337761305E-5</v>
      </c>
      <c r="BE75" s="4">
        <f t="shared" ca="1" si="19"/>
        <v>-2.6984881664516532E-5</v>
      </c>
      <c r="BF75" s="4">
        <f t="shared" ca="1" si="19"/>
        <v>-2.752457929780686E-5</v>
      </c>
      <c r="BG75" s="4">
        <f t="shared" ca="1" si="19"/>
        <v>-2.8075070883762996E-5</v>
      </c>
      <c r="BH75" s="4">
        <f t="shared" ca="1" si="19"/>
        <v>-2.863657230143826E-5</v>
      </c>
      <c r="BI75" s="4">
        <f t="shared" ca="1" si="19"/>
        <v>-2.9209303747467023E-5</v>
      </c>
      <c r="BJ75" s="4">
        <f t="shared" ca="1" si="19"/>
        <v>-2.9793489822416362E-5</v>
      </c>
      <c r="BK75" s="4">
        <f t="shared" ca="1" si="19"/>
        <v>-3.0389359618864689E-5</v>
      </c>
      <c r="BL75" s="4">
        <f t="shared" ca="1" si="19"/>
        <v>-3.0997146811241984E-5</v>
      </c>
    </row>
    <row r="76" spans="1:64" x14ac:dyDescent="0.35">
      <c r="A76" s="1"/>
      <c r="E76" s="26"/>
      <c r="F76" s="26"/>
      <c r="G76" s="26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</row>
    <row r="77" spans="1:64" x14ac:dyDescent="0.35">
      <c r="A77" s="1"/>
      <c r="B77" s="1"/>
      <c r="C77" s="2" t="s">
        <v>116</v>
      </c>
      <c r="D77" s="45">
        <f t="shared" ref="D77:AI77" ca="1" si="20">IF($D$16&gt;0,SUM(OFFSET(D65,0,1,1,$D$16)))*1</f>
        <v>228.71803209276828</v>
      </c>
      <c r="E77" s="4">
        <f t="shared" ca="1" si="20"/>
        <v>234.43598289508748</v>
      </c>
      <c r="F77" s="4">
        <f t="shared" ca="1" si="20"/>
        <v>240.29688246746468</v>
      </c>
      <c r="G77" s="4">
        <f t="shared" ca="1" si="20"/>
        <v>246.30430452915127</v>
      </c>
      <c r="H77" s="4">
        <f t="shared" ca="1" si="20"/>
        <v>252.46191214238002</v>
      </c>
      <c r="I77" s="4">
        <f t="shared" ca="1" si="20"/>
        <v>258.77345994593952</v>
      </c>
      <c r="J77" s="4">
        <f t="shared" ca="1" si="20"/>
        <v>265.24279644458795</v>
      </c>
      <c r="K77" s="4">
        <f t="shared" ca="1" si="20"/>
        <v>271.8738663557026</v>
      </c>
      <c r="L77" s="4">
        <f t="shared" ca="1" si="20"/>
        <v>278.01422520157422</v>
      </c>
      <c r="M77" s="4">
        <f t="shared" ca="1" si="20"/>
        <v>278.81136592341699</v>
      </c>
      <c r="N77" s="4">
        <f t="shared" ca="1" si="20"/>
        <v>278.0376322192617</v>
      </c>
      <c r="O77" s="4">
        <f t="shared" ca="1" si="20"/>
        <v>280.47647101313862</v>
      </c>
      <c r="P77" s="4">
        <f t="shared" ca="1" si="20"/>
        <v>282.94103820809403</v>
      </c>
      <c r="Q77" s="4">
        <f t="shared" ca="1" si="20"/>
        <v>285.43157359703685</v>
      </c>
      <c r="R77" s="4">
        <f t="shared" ca="1" si="20"/>
        <v>287.94831511396995</v>
      </c>
      <c r="S77" s="4">
        <f t="shared" ca="1" si="20"/>
        <v>290.49150290627585</v>
      </c>
      <c r="T77" s="4">
        <f t="shared" ca="1" si="20"/>
        <v>293.06225178440764</v>
      </c>
      <c r="U77" s="4">
        <f t="shared" ca="1" si="20"/>
        <v>297.24198350369636</v>
      </c>
      <c r="V77" s="4">
        <f t="shared" ca="1" si="20"/>
        <v>301.41894118116477</v>
      </c>
      <c r="W77" s="4">
        <f t="shared" ca="1" si="20"/>
        <v>304.0100746922368</v>
      </c>
      <c r="X77" s="4">
        <f t="shared" ca="1" si="20"/>
        <v>306.6245744126802</v>
      </c>
      <c r="Y77" s="4">
        <f t="shared" ca="1" si="20"/>
        <v>309.26254723199941</v>
      </c>
      <c r="Z77" s="4">
        <f t="shared" ca="1" si="20"/>
        <v>311.92410037848697</v>
      </c>
      <c r="AA77" s="4">
        <f t="shared" ca="1" si="20"/>
        <v>314.60933956425436</v>
      </c>
      <c r="AB77" s="4">
        <f t="shared" ca="1" si="20"/>
        <v>317.31836503221155</v>
      </c>
      <c r="AC77" s="4">
        <f t="shared" ca="1" si="20"/>
        <v>320.05127601381525</v>
      </c>
      <c r="AD77" s="4">
        <f t="shared" ca="1" si="20"/>
        <v>322.80816958595591</v>
      </c>
      <c r="AE77" s="4">
        <f t="shared" ca="1" si="20"/>
        <v>325.58913953171646</v>
      </c>
      <c r="AF77" s="4">
        <f t="shared" ca="1" si="20"/>
        <v>328.3942794085649</v>
      </c>
      <c r="AG77" s="4">
        <f t="shared" ca="1" si="20"/>
        <v>331.22367581235585</v>
      </c>
      <c r="AH77" s="4">
        <f t="shared" ca="1" si="20"/>
        <v>334.0774128547273</v>
      </c>
      <c r="AI77" s="4">
        <f t="shared" ca="1" si="20"/>
        <v>336.95557524343644</v>
      </c>
      <c r="AJ77" s="4">
        <f t="shared" ref="AJ77:BL77" ca="1" si="21">IF($D$16&gt;0,SUM(OFFSET(AJ65,0,1,1,$D$16)))*1</f>
        <v>339.85824436102462</v>
      </c>
      <c r="AK77" s="4">
        <f t="shared" ca="1" si="21"/>
        <v>342.78549574888262</v>
      </c>
      <c r="AL77" s="4">
        <f t="shared" ca="1" si="21"/>
        <v>345.73739939794859</v>
      </c>
      <c r="AM77" s="4">
        <f t="shared" ca="1" si="21"/>
        <v>348.71402564844084</v>
      </c>
      <c r="AN77" s="4">
        <f t="shared" ca="1" si="21"/>
        <v>351.71544268700501</v>
      </c>
      <c r="AO77" s="4">
        <f t="shared" ca="1" si="21"/>
        <v>354.74165239694469</v>
      </c>
      <c r="AP77" s="4">
        <f t="shared" ca="1" si="21"/>
        <v>357.6929283603971</v>
      </c>
      <c r="AQ77" s="4">
        <f t="shared" ca="1" si="21"/>
        <v>179.56245443903941</v>
      </c>
      <c r="AR77" s="4">
        <f t="shared" ca="1" si="21"/>
        <v>0</v>
      </c>
      <c r="AS77" s="4">
        <f t="shared" ca="1" si="21"/>
        <v>0</v>
      </c>
      <c r="AT77" s="4">
        <f t="shared" ca="1" si="21"/>
        <v>0</v>
      </c>
      <c r="AU77" s="4">
        <f t="shared" ca="1" si="21"/>
        <v>0</v>
      </c>
      <c r="AV77" s="4">
        <f t="shared" ca="1" si="21"/>
        <v>0</v>
      </c>
      <c r="AW77" s="4">
        <f t="shared" ca="1" si="21"/>
        <v>0</v>
      </c>
      <c r="AX77" s="4">
        <f t="shared" ca="1" si="21"/>
        <v>0</v>
      </c>
      <c r="AY77" s="4">
        <f t="shared" ca="1" si="21"/>
        <v>0</v>
      </c>
      <c r="AZ77" s="4">
        <f t="shared" ca="1" si="21"/>
        <v>0</v>
      </c>
      <c r="BA77" s="4">
        <f t="shared" ca="1" si="21"/>
        <v>0</v>
      </c>
      <c r="BB77" s="4">
        <f t="shared" ca="1" si="21"/>
        <v>0</v>
      </c>
      <c r="BC77" s="4">
        <f t="shared" ca="1" si="21"/>
        <v>0</v>
      </c>
      <c r="BD77" s="4">
        <f t="shared" ca="1" si="21"/>
        <v>0</v>
      </c>
      <c r="BE77" s="4">
        <f t="shared" ca="1" si="21"/>
        <v>0</v>
      </c>
      <c r="BF77" s="4">
        <f t="shared" ca="1" si="21"/>
        <v>0</v>
      </c>
      <c r="BG77" s="4">
        <f t="shared" ca="1" si="21"/>
        <v>0</v>
      </c>
      <c r="BH77" s="4">
        <f t="shared" ca="1" si="21"/>
        <v>0</v>
      </c>
      <c r="BI77" s="4">
        <f t="shared" ca="1" si="21"/>
        <v>0</v>
      </c>
      <c r="BJ77" s="4">
        <f t="shared" ca="1" si="21"/>
        <v>0</v>
      </c>
      <c r="BK77" s="4">
        <f t="shared" ca="1" si="21"/>
        <v>0</v>
      </c>
      <c r="BL77" s="4">
        <f t="shared" ca="1" si="21"/>
        <v>0</v>
      </c>
    </row>
    <row r="78" spans="1:64" x14ac:dyDescent="0.35">
      <c r="A78" s="1"/>
    </row>
    <row r="79" spans="1:64" x14ac:dyDescent="0.35">
      <c r="A79" s="1"/>
      <c r="C79" s="2" t="s">
        <v>302</v>
      </c>
      <c r="D79" s="4">
        <f ca="1">SUMIF(41:41,FALSE,72:72)</f>
        <v>-2.5849236777792422E-2</v>
      </c>
    </row>
    <row r="80" spans="1:64" x14ac:dyDescent="0.35">
      <c r="A80" s="1"/>
      <c r="C80" s="2" t="s">
        <v>303</v>
      </c>
      <c r="D80" s="4">
        <f ca="1">SUMIF(39:39,D10*2,74:74)</f>
        <v>-1.0638697518174922E-3</v>
      </c>
    </row>
    <row r="81" spans="1:64" x14ac:dyDescent="0.35">
      <c r="A81" s="1"/>
    </row>
    <row r="82" spans="1:64" x14ac:dyDescent="0.35">
      <c r="A82" s="1"/>
      <c r="C82" s="2" t="s">
        <v>174</v>
      </c>
      <c r="D82" s="4">
        <f t="shared" ref="D82:BL82" ca="1" si="22">D77</f>
        <v>228.71803209276828</v>
      </c>
      <c r="E82" s="4">
        <f t="shared" ca="1" si="22"/>
        <v>234.43598289508748</v>
      </c>
      <c r="F82" s="4">
        <f t="shared" ca="1" si="22"/>
        <v>240.29688246746468</v>
      </c>
      <c r="G82" s="4">
        <f t="shared" ca="1" si="22"/>
        <v>246.30430452915127</v>
      </c>
      <c r="H82" s="4">
        <f t="shared" ca="1" si="22"/>
        <v>252.46191214238002</v>
      </c>
      <c r="I82" s="4">
        <f t="shared" ca="1" si="22"/>
        <v>258.77345994593952</v>
      </c>
      <c r="J82" s="4">
        <f t="shared" ca="1" si="22"/>
        <v>265.24279644458795</v>
      </c>
      <c r="K82" s="4">
        <f t="shared" ca="1" si="22"/>
        <v>271.8738663557026</v>
      </c>
      <c r="L82" s="4">
        <f t="shared" ca="1" si="22"/>
        <v>278.01422520157422</v>
      </c>
      <c r="M82" s="4">
        <f t="shared" ca="1" si="22"/>
        <v>278.81136592341699</v>
      </c>
      <c r="N82" s="4">
        <f t="shared" ca="1" si="22"/>
        <v>278.0376322192617</v>
      </c>
      <c r="O82" s="4">
        <f t="shared" ca="1" si="22"/>
        <v>280.47647101313862</v>
      </c>
      <c r="P82" s="4">
        <f t="shared" ca="1" si="22"/>
        <v>282.94103820809403</v>
      </c>
      <c r="Q82" s="4">
        <f t="shared" ca="1" si="22"/>
        <v>285.43157359703685</v>
      </c>
      <c r="R82" s="4">
        <f t="shared" ca="1" si="22"/>
        <v>287.94831511396995</v>
      </c>
      <c r="S82" s="4">
        <f t="shared" ca="1" si="22"/>
        <v>290.49150290627585</v>
      </c>
      <c r="T82" s="4">
        <f t="shared" ca="1" si="22"/>
        <v>293.06225178440764</v>
      </c>
      <c r="U82" s="4">
        <f t="shared" ca="1" si="22"/>
        <v>297.24198350369636</v>
      </c>
      <c r="V82" s="4">
        <f t="shared" ca="1" si="22"/>
        <v>301.41894118116477</v>
      </c>
      <c r="W82" s="4">
        <f t="shared" ca="1" si="22"/>
        <v>304.0100746922368</v>
      </c>
      <c r="X82" s="4">
        <f t="shared" ca="1" si="22"/>
        <v>306.6245744126802</v>
      </c>
      <c r="Y82" s="4">
        <f t="shared" ca="1" si="22"/>
        <v>309.26254723199941</v>
      </c>
      <c r="Z82" s="4">
        <f t="shared" ca="1" si="22"/>
        <v>311.92410037848697</v>
      </c>
      <c r="AA82" s="4">
        <f t="shared" ca="1" si="22"/>
        <v>314.60933956425436</v>
      </c>
      <c r="AB82" s="4">
        <f t="shared" ca="1" si="22"/>
        <v>317.31836503221155</v>
      </c>
      <c r="AC82" s="4">
        <f t="shared" ca="1" si="22"/>
        <v>320.05127601381525</v>
      </c>
      <c r="AD82" s="4">
        <f t="shared" ca="1" si="22"/>
        <v>322.80816958595591</v>
      </c>
      <c r="AE82" s="4">
        <f t="shared" ca="1" si="22"/>
        <v>325.58913953171646</v>
      </c>
      <c r="AF82" s="4">
        <f t="shared" ca="1" si="22"/>
        <v>328.3942794085649</v>
      </c>
      <c r="AG82" s="4">
        <f t="shared" ca="1" si="22"/>
        <v>331.22367581235585</v>
      </c>
      <c r="AH82" s="4">
        <f t="shared" ca="1" si="22"/>
        <v>334.0774128547273</v>
      </c>
      <c r="AI82" s="4">
        <f t="shared" ca="1" si="22"/>
        <v>336.95557524343644</v>
      </c>
      <c r="AJ82" s="4">
        <f t="shared" ca="1" si="22"/>
        <v>339.85824436102462</v>
      </c>
      <c r="AK82" s="4">
        <f t="shared" ca="1" si="22"/>
        <v>342.78549574888262</v>
      </c>
      <c r="AL82" s="4">
        <f t="shared" ca="1" si="22"/>
        <v>345.73739939794859</v>
      </c>
      <c r="AM82" s="4">
        <f t="shared" ca="1" si="22"/>
        <v>348.71402564844084</v>
      </c>
      <c r="AN82" s="4">
        <f t="shared" ca="1" si="22"/>
        <v>351.71544268700501</v>
      </c>
      <c r="AO82" s="4">
        <f t="shared" ca="1" si="22"/>
        <v>354.74165239694469</v>
      </c>
      <c r="AP82" s="4">
        <f t="shared" ca="1" si="22"/>
        <v>357.6929283603971</v>
      </c>
      <c r="AQ82" s="4">
        <f t="shared" ca="1" si="22"/>
        <v>179.56245443903941</v>
      </c>
      <c r="AR82" s="4">
        <f t="shared" ca="1" si="22"/>
        <v>0</v>
      </c>
      <c r="AS82" s="4">
        <f t="shared" ca="1" si="22"/>
        <v>0</v>
      </c>
      <c r="AT82" s="4">
        <f t="shared" ca="1" si="22"/>
        <v>0</v>
      </c>
      <c r="AU82" s="4">
        <f t="shared" ca="1" si="22"/>
        <v>0</v>
      </c>
      <c r="AV82" s="4">
        <f t="shared" ca="1" si="22"/>
        <v>0</v>
      </c>
      <c r="AW82" s="4">
        <f t="shared" ca="1" si="22"/>
        <v>0</v>
      </c>
      <c r="AX82" s="4">
        <f t="shared" ca="1" si="22"/>
        <v>0</v>
      </c>
      <c r="AY82" s="4">
        <f t="shared" ca="1" si="22"/>
        <v>0</v>
      </c>
      <c r="AZ82" s="4">
        <f t="shared" ca="1" si="22"/>
        <v>0</v>
      </c>
      <c r="BA82" s="4">
        <f t="shared" ca="1" si="22"/>
        <v>0</v>
      </c>
      <c r="BB82" s="4">
        <f t="shared" ca="1" si="22"/>
        <v>0</v>
      </c>
      <c r="BC82" s="4">
        <f t="shared" ca="1" si="22"/>
        <v>0</v>
      </c>
      <c r="BD82" s="4">
        <f t="shared" ca="1" si="22"/>
        <v>0</v>
      </c>
      <c r="BE82" s="4">
        <f t="shared" ca="1" si="22"/>
        <v>0</v>
      </c>
      <c r="BF82" s="4">
        <f t="shared" ca="1" si="22"/>
        <v>0</v>
      </c>
      <c r="BG82" s="4">
        <f t="shared" ca="1" si="22"/>
        <v>0</v>
      </c>
      <c r="BH82" s="4">
        <f t="shared" ca="1" si="22"/>
        <v>0</v>
      </c>
      <c r="BI82" s="4">
        <f t="shared" ca="1" si="22"/>
        <v>0</v>
      </c>
      <c r="BJ82" s="4">
        <f t="shared" ca="1" si="22"/>
        <v>0</v>
      </c>
      <c r="BK82" s="4">
        <f t="shared" ca="1" si="22"/>
        <v>0</v>
      </c>
      <c r="BL82" s="4">
        <f t="shared" ca="1" si="22"/>
        <v>0</v>
      </c>
    </row>
    <row r="83" spans="1:64" x14ac:dyDescent="0.35">
      <c r="A83" s="1"/>
      <c r="C83" s="2" t="s">
        <v>171</v>
      </c>
      <c r="E83" s="4">
        <f ca="1">D82*$D$18*$D$12</f>
        <v>0.57179508023192072</v>
      </c>
      <c r="F83" s="4">
        <f t="shared" ref="F83:BL83" ca="1" si="23">E82*$D$18*$D$12</f>
        <v>0.58608995723771873</v>
      </c>
      <c r="G83" s="4">
        <f t="shared" ca="1" si="23"/>
        <v>0.6007422061686617</v>
      </c>
      <c r="H83" s="4">
        <f t="shared" ca="1" si="23"/>
        <v>0.61576076132287816</v>
      </c>
      <c r="I83" s="4">
        <f t="shared" ca="1" si="23"/>
        <v>0.63115478035595007</v>
      </c>
      <c r="J83" s="4">
        <f t="shared" ca="1" si="23"/>
        <v>0.6469336498648488</v>
      </c>
      <c r="K83" s="4">
        <f t="shared" ca="1" si="23"/>
        <v>0.66310699111146987</v>
      </c>
      <c r="L83" s="4">
        <f t="shared" ca="1" si="23"/>
        <v>0.67968466588925647</v>
      </c>
      <c r="M83" s="4">
        <f t="shared" ca="1" si="23"/>
        <v>0.69503556300393554</v>
      </c>
      <c r="N83" s="4">
        <f t="shared" ca="1" si="23"/>
        <v>0.6970284148085425</v>
      </c>
      <c r="O83" s="4">
        <f t="shared" ca="1" si="23"/>
        <v>0.69509408054815425</v>
      </c>
      <c r="P83" s="4">
        <f t="shared" ca="1" si="23"/>
        <v>0.70119117753284654</v>
      </c>
      <c r="Q83" s="4">
        <f t="shared" ca="1" si="23"/>
        <v>0.70735259552023511</v>
      </c>
      <c r="R83" s="4">
        <f t="shared" ca="1" si="23"/>
        <v>0.71357893399259209</v>
      </c>
      <c r="S83" s="4">
        <f t="shared" ca="1" si="23"/>
        <v>0.71987078778492486</v>
      </c>
      <c r="T83" s="4">
        <f t="shared" ca="1" si="23"/>
        <v>0.7262287572656897</v>
      </c>
      <c r="U83" s="4">
        <f t="shared" ca="1" si="23"/>
        <v>0.73265562946101914</v>
      </c>
      <c r="V83" s="4">
        <f t="shared" ca="1" si="23"/>
        <v>0.74310495875924087</v>
      </c>
      <c r="W83" s="4">
        <f t="shared" ca="1" si="23"/>
        <v>0.75354735295291198</v>
      </c>
      <c r="X83" s="4">
        <f t="shared" ca="1" si="23"/>
        <v>0.76002518673059205</v>
      </c>
      <c r="Y83" s="4">
        <f t="shared" ca="1" si="23"/>
        <v>0.76656143603170057</v>
      </c>
      <c r="Z83" s="4">
        <f t="shared" ca="1" si="23"/>
        <v>0.77315636807999855</v>
      </c>
      <c r="AA83" s="4">
        <f t="shared" ca="1" si="23"/>
        <v>0.77981025094621748</v>
      </c>
      <c r="AB83" s="4">
        <f t="shared" ca="1" si="23"/>
        <v>0.78652334891063591</v>
      </c>
      <c r="AC83" s="4">
        <f t="shared" ca="1" si="23"/>
        <v>0.79329591258052889</v>
      </c>
      <c r="AD83" s="4">
        <f t="shared" ca="1" si="23"/>
        <v>0.80012819003453817</v>
      </c>
      <c r="AE83" s="4">
        <f t="shared" ca="1" si="23"/>
        <v>0.80702042396488982</v>
      </c>
      <c r="AF83" s="4">
        <f t="shared" ca="1" si="23"/>
        <v>0.81397284882929111</v>
      </c>
      <c r="AG83" s="4">
        <f t="shared" ca="1" si="23"/>
        <v>0.82098569852141223</v>
      </c>
      <c r="AH83" s="4">
        <f t="shared" ca="1" si="23"/>
        <v>0.82805918953088964</v>
      </c>
      <c r="AI83" s="4">
        <f t="shared" ca="1" si="23"/>
        <v>0.83519353213681824</v>
      </c>
      <c r="AJ83" s="4">
        <f t="shared" ca="1" si="23"/>
        <v>0.84238893810859117</v>
      </c>
      <c r="AK83" s="4">
        <f t="shared" ca="1" si="23"/>
        <v>0.84964561090256152</v>
      </c>
      <c r="AL83" s="4">
        <f t="shared" ca="1" si="23"/>
        <v>0.8569637393722066</v>
      </c>
      <c r="AM83" s="4">
        <f t="shared" ca="1" si="23"/>
        <v>0.86434349849487146</v>
      </c>
      <c r="AN83" s="4">
        <f t="shared" ca="1" si="23"/>
        <v>0.87178506412110213</v>
      </c>
      <c r="AO83" s="4">
        <f t="shared" ca="1" si="23"/>
        <v>0.87928860671751252</v>
      </c>
      <c r="AP83" s="4">
        <f t="shared" ca="1" si="23"/>
        <v>0.88685413099236177</v>
      </c>
      <c r="AQ83" s="4">
        <f t="shared" ca="1" si="23"/>
        <v>0.89423232090099281</v>
      </c>
      <c r="AR83" s="4">
        <f t="shared" ca="1" si="23"/>
        <v>0.44890613609759855</v>
      </c>
      <c r="AS83" s="4">
        <f t="shared" ca="1" si="23"/>
        <v>0</v>
      </c>
      <c r="AT83" s="4">
        <f t="shared" ca="1" si="23"/>
        <v>0</v>
      </c>
      <c r="AU83" s="4">
        <f t="shared" ca="1" si="23"/>
        <v>0</v>
      </c>
      <c r="AV83" s="4">
        <f t="shared" ca="1" si="23"/>
        <v>0</v>
      </c>
      <c r="AW83" s="4">
        <f t="shared" ca="1" si="23"/>
        <v>0</v>
      </c>
      <c r="AX83" s="4">
        <f t="shared" ca="1" si="23"/>
        <v>0</v>
      </c>
      <c r="AY83" s="4">
        <f t="shared" ca="1" si="23"/>
        <v>0</v>
      </c>
      <c r="AZ83" s="4">
        <f t="shared" ca="1" si="23"/>
        <v>0</v>
      </c>
      <c r="BA83" s="4">
        <f t="shared" ca="1" si="23"/>
        <v>0</v>
      </c>
      <c r="BB83" s="4">
        <f t="shared" ca="1" si="23"/>
        <v>0</v>
      </c>
      <c r="BC83" s="4">
        <f t="shared" ca="1" si="23"/>
        <v>0</v>
      </c>
      <c r="BD83" s="4">
        <f t="shared" ca="1" si="23"/>
        <v>0</v>
      </c>
      <c r="BE83" s="4">
        <f t="shared" ca="1" si="23"/>
        <v>0</v>
      </c>
      <c r="BF83" s="4">
        <f t="shared" ca="1" si="23"/>
        <v>0</v>
      </c>
      <c r="BG83" s="4">
        <f t="shared" ca="1" si="23"/>
        <v>0</v>
      </c>
      <c r="BH83" s="4">
        <f t="shared" ca="1" si="23"/>
        <v>0</v>
      </c>
      <c r="BI83" s="4">
        <f t="shared" ca="1" si="23"/>
        <v>0</v>
      </c>
      <c r="BJ83" s="4">
        <f t="shared" ca="1" si="23"/>
        <v>0</v>
      </c>
      <c r="BK83" s="4">
        <f t="shared" ca="1" si="23"/>
        <v>0</v>
      </c>
      <c r="BL83" s="4">
        <f t="shared" ca="1" si="23"/>
        <v>0</v>
      </c>
    </row>
    <row r="84" spans="1:64" x14ac:dyDescent="0.35">
      <c r="A84" s="1"/>
    </row>
    <row r="85" spans="1:64" x14ac:dyDescent="0.35">
      <c r="A85" s="1"/>
      <c r="C85" s="2" t="s">
        <v>106</v>
      </c>
      <c r="E85" s="12">
        <f t="shared" ref="E85:BL85" si="24">$D$17/2</f>
        <v>5.0000000000000001E-3</v>
      </c>
      <c r="F85" s="12">
        <f t="shared" si="24"/>
        <v>5.0000000000000001E-3</v>
      </c>
      <c r="G85" s="12">
        <f t="shared" si="24"/>
        <v>5.0000000000000001E-3</v>
      </c>
      <c r="H85" s="12">
        <f t="shared" si="24"/>
        <v>5.0000000000000001E-3</v>
      </c>
      <c r="I85" s="12">
        <f t="shared" si="24"/>
        <v>5.0000000000000001E-3</v>
      </c>
      <c r="J85" s="12">
        <f t="shared" si="24"/>
        <v>5.0000000000000001E-3</v>
      </c>
      <c r="K85" s="12">
        <f t="shared" si="24"/>
        <v>5.0000000000000001E-3</v>
      </c>
      <c r="L85" s="12">
        <f t="shared" si="24"/>
        <v>5.0000000000000001E-3</v>
      </c>
      <c r="M85" s="12">
        <f t="shared" si="24"/>
        <v>5.0000000000000001E-3</v>
      </c>
      <c r="N85" s="12">
        <f t="shared" si="24"/>
        <v>5.0000000000000001E-3</v>
      </c>
      <c r="O85" s="12">
        <f t="shared" si="24"/>
        <v>5.0000000000000001E-3</v>
      </c>
      <c r="P85" s="12">
        <f t="shared" si="24"/>
        <v>5.0000000000000001E-3</v>
      </c>
      <c r="Q85" s="12">
        <f t="shared" si="24"/>
        <v>5.0000000000000001E-3</v>
      </c>
      <c r="R85" s="12">
        <f t="shared" si="24"/>
        <v>5.0000000000000001E-3</v>
      </c>
      <c r="S85" s="12">
        <f t="shared" si="24"/>
        <v>5.0000000000000001E-3</v>
      </c>
      <c r="T85" s="12">
        <f t="shared" si="24"/>
        <v>5.0000000000000001E-3</v>
      </c>
      <c r="U85" s="12">
        <f t="shared" si="24"/>
        <v>5.0000000000000001E-3</v>
      </c>
      <c r="V85" s="12">
        <f t="shared" si="24"/>
        <v>5.0000000000000001E-3</v>
      </c>
      <c r="W85" s="12">
        <f t="shared" si="24"/>
        <v>5.0000000000000001E-3</v>
      </c>
      <c r="X85" s="12">
        <f t="shared" si="24"/>
        <v>5.0000000000000001E-3</v>
      </c>
      <c r="Y85" s="12">
        <f t="shared" si="24"/>
        <v>5.0000000000000001E-3</v>
      </c>
      <c r="Z85" s="12">
        <f t="shared" si="24"/>
        <v>5.0000000000000001E-3</v>
      </c>
      <c r="AA85" s="12">
        <f t="shared" si="24"/>
        <v>5.0000000000000001E-3</v>
      </c>
      <c r="AB85" s="12">
        <f t="shared" si="24"/>
        <v>5.0000000000000001E-3</v>
      </c>
      <c r="AC85" s="12">
        <f t="shared" si="24"/>
        <v>5.0000000000000001E-3</v>
      </c>
      <c r="AD85" s="12">
        <f t="shared" si="24"/>
        <v>5.0000000000000001E-3</v>
      </c>
      <c r="AE85" s="12">
        <f t="shared" si="24"/>
        <v>5.0000000000000001E-3</v>
      </c>
      <c r="AF85" s="12">
        <f t="shared" si="24"/>
        <v>5.0000000000000001E-3</v>
      </c>
      <c r="AG85" s="12">
        <f t="shared" si="24"/>
        <v>5.0000000000000001E-3</v>
      </c>
      <c r="AH85" s="12">
        <f t="shared" si="24"/>
        <v>5.0000000000000001E-3</v>
      </c>
      <c r="AI85" s="12">
        <f t="shared" si="24"/>
        <v>5.0000000000000001E-3</v>
      </c>
      <c r="AJ85" s="12">
        <f t="shared" si="24"/>
        <v>5.0000000000000001E-3</v>
      </c>
      <c r="AK85" s="12">
        <f t="shared" si="24"/>
        <v>5.0000000000000001E-3</v>
      </c>
      <c r="AL85" s="12">
        <f t="shared" si="24"/>
        <v>5.0000000000000001E-3</v>
      </c>
      <c r="AM85" s="12">
        <f t="shared" si="24"/>
        <v>5.0000000000000001E-3</v>
      </c>
      <c r="AN85" s="12">
        <f t="shared" si="24"/>
        <v>5.0000000000000001E-3</v>
      </c>
      <c r="AO85" s="12">
        <f t="shared" si="24"/>
        <v>5.0000000000000001E-3</v>
      </c>
      <c r="AP85" s="12">
        <f t="shared" si="24"/>
        <v>5.0000000000000001E-3</v>
      </c>
      <c r="AQ85" s="12">
        <f t="shared" si="24"/>
        <v>5.0000000000000001E-3</v>
      </c>
      <c r="AR85" s="12">
        <f t="shared" si="24"/>
        <v>5.0000000000000001E-3</v>
      </c>
      <c r="AS85" s="12">
        <f t="shared" si="24"/>
        <v>5.0000000000000001E-3</v>
      </c>
      <c r="AT85" s="12">
        <f t="shared" si="24"/>
        <v>5.0000000000000001E-3</v>
      </c>
      <c r="AU85" s="12">
        <f t="shared" si="24"/>
        <v>5.0000000000000001E-3</v>
      </c>
      <c r="AV85" s="12">
        <f t="shared" si="24"/>
        <v>5.0000000000000001E-3</v>
      </c>
      <c r="AW85" s="12">
        <f t="shared" si="24"/>
        <v>5.0000000000000001E-3</v>
      </c>
      <c r="AX85" s="12">
        <f t="shared" si="24"/>
        <v>5.0000000000000001E-3</v>
      </c>
      <c r="AY85" s="12">
        <f t="shared" si="24"/>
        <v>5.0000000000000001E-3</v>
      </c>
      <c r="AZ85" s="12">
        <f t="shared" si="24"/>
        <v>5.0000000000000001E-3</v>
      </c>
      <c r="BA85" s="12">
        <f t="shared" si="24"/>
        <v>5.0000000000000001E-3</v>
      </c>
      <c r="BB85" s="12">
        <f t="shared" si="24"/>
        <v>5.0000000000000001E-3</v>
      </c>
      <c r="BC85" s="12">
        <f t="shared" si="24"/>
        <v>5.0000000000000001E-3</v>
      </c>
      <c r="BD85" s="12">
        <f t="shared" si="24"/>
        <v>5.0000000000000001E-3</v>
      </c>
      <c r="BE85" s="12">
        <f t="shared" si="24"/>
        <v>5.0000000000000001E-3</v>
      </c>
      <c r="BF85" s="12">
        <f t="shared" si="24"/>
        <v>5.0000000000000001E-3</v>
      </c>
      <c r="BG85" s="12">
        <f t="shared" si="24"/>
        <v>5.0000000000000001E-3</v>
      </c>
      <c r="BH85" s="12">
        <f t="shared" si="24"/>
        <v>5.0000000000000001E-3</v>
      </c>
      <c r="BI85" s="12">
        <f t="shared" si="24"/>
        <v>5.0000000000000001E-3</v>
      </c>
      <c r="BJ85" s="12">
        <f t="shared" si="24"/>
        <v>5.0000000000000001E-3</v>
      </c>
      <c r="BK85" s="12">
        <f t="shared" si="24"/>
        <v>5.0000000000000001E-3</v>
      </c>
      <c r="BL85" s="12">
        <f t="shared" si="24"/>
        <v>5.0000000000000001E-3</v>
      </c>
    </row>
    <row r="86" spans="1:64" x14ac:dyDescent="0.35">
      <c r="A86" s="1"/>
      <c r="C86" s="2" t="s">
        <v>107</v>
      </c>
      <c r="E86" s="4">
        <f ca="1">D77*E85*$D$13</f>
        <v>0</v>
      </c>
      <c r="F86" s="4">
        <f t="shared" ref="F86:BL86" ca="1" si="25">E77*F85*$D$13</f>
        <v>0</v>
      </c>
      <c r="G86" s="4">
        <f t="shared" ca="1" si="25"/>
        <v>0</v>
      </c>
      <c r="H86" s="4">
        <f t="shared" ca="1" si="25"/>
        <v>0</v>
      </c>
      <c r="I86" s="4">
        <f t="shared" ca="1" si="25"/>
        <v>0</v>
      </c>
      <c r="J86" s="4">
        <f t="shared" ca="1" si="25"/>
        <v>0</v>
      </c>
      <c r="K86" s="4">
        <f t="shared" ca="1" si="25"/>
        <v>0</v>
      </c>
      <c r="L86" s="4">
        <f t="shared" ca="1" si="25"/>
        <v>0</v>
      </c>
      <c r="M86" s="4">
        <f t="shared" ca="1" si="25"/>
        <v>0</v>
      </c>
      <c r="N86" s="4">
        <f t="shared" ca="1" si="25"/>
        <v>0</v>
      </c>
      <c r="O86" s="4">
        <f t="shared" ca="1" si="25"/>
        <v>0</v>
      </c>
      <c r="P86" s="4">
        <f t="shared" ca="1" si="25"/>
        <v>0</v>
      </c>
      <c r="Q86" s="4">
        <f t="shared" ca="1" si="25"/>
        <v>0</v>
      </c>
      <c r="R86" s="4">
        <f t="shared" ca="1" si="25"/>
        <v>0</v>
      </c>
      <c r="S86" s="4">
        <f t="shared" ca="1" si="25"/>
        <v>0</v>
      </c>
      <c r="T86" s="4">
        <f t="shared" ca="1" si="25"/>
        <v>0</v>
      </c>
      <c r="U86" s="4">
        <f t="shared" ca="1" si="25"/>
        <v>0</v>
      </c>
      <c r="V86" s="4">
        <f t="shared" ca="1" si="25"/>
        <v>0</v>
      </c>
      <c r="W86" s="4">
        <f t="shared" ca="1" si="25"/>
        <v>0</v>
      </c>
      <c r="X86" s="4">
        <f t="shared" ca="1" si="25"/>
        <v>0</v>
      </c>
      <c r="Y86" s="4">
        <f t="shared" ca="1" si="25"/>
        <v>0</v>
      </c>
      <c r="Z86" s="4">
        <f t="shared" ca="1" si="25"/>
        <v>0</v>
      </c>
      <c r="AA86" s="4">
        <f t="shared" ca="1" si="25"/>
        <v>0</v>
      </c>
      <c r="AB86" s="4">
        <f t="shared" ca="1" si="25"/>
        <v>0</v>
      </c>
      <c r="AC86" s="4">
        <f t="shared" ca="1" si="25"/>
        <v>0</v>
      </c>
      <c r="AD86" s="4">
        <f t="shared" ca="1" si="25"/>
        <v>0</v>
      </c>
      <c r="AE86" s="4">
        <f t="shared" ca="1" si="25"/>
        <v>0</v>
      </c>
      <c r="AF86" s="4">
        <f t="shared" ca="1" si="25"/>
        <v>0</v>
      </c>
      <c r="AG86" s="4">
        <f t="shared" ca="1" si="25"/>
        <v>0</v>
      </c>
      <c r="AH86" s="4">
        <f t="shared" ca="1" si="25"/>
        <v>0</v>
      </c>
      <c r="AI86" s="4">
        <f t="shared" ca="1" si="25"/>
        <v>0</v>
      </c>
      <c r="AJ86" s="4">
        <f t="shared" ca="1" si="25"/>
        <v>0</v>
      </c>
      <c r="AK86" s="4">
        <f t="shared" ca="1" si="25"/>
        <v>0</v>
      </c>
      <c r="AL86" s="4">
        <f t="shared" ca="1" si="25"/>
        <v>0</v>
      </c>
      <c r="AM86" s="4">
        <f t="shared" ca="1" si="25"/>
        <v>0</v>
      </c>
      <c r="AN86" s="4">
        <f t="shared" ca="1" si="25"/>
        <v>0</v>
      </c>
      <c r="AO86" s="4">
        <f t="shared" ca="1" si="25"/>
        <v>0</v>
      </c>
      <c r="AP86" s="4">
        <f t="shared" ca="1" si="25"/>
        <v>0</v>
      </c>
      <c r="AQ86" s="4">
        <f t="shared" ca="1" si="25"/>
        <v>0</v>
      </c>
      <c r="AR86" s="4">
        <f t="shared" ca="1" si="25"/>
        <v>0</v>
      </c>
      <c r="AS86" s="4">
        <f t="shared" ca="1" si="25"/>
        <v>0</v>
      </c>
      <c r="AT86" s="4">
        <f t="shared" ca="1" si="25"/>
        <v>0</v>
      </c>
      <c r="AU86" s="4">
        <f t="shared" ca="1" si="25"/>
        <v>0</v>
      </c>
      <c r="AV86" s="4">
        <f t="shared" ca="1" si="25"/>
        <v>0</v>
      </c>
      <c r="AW86" s="4">
        <f t="shared" ca="1" si="25"/>
        <v>0</v>
      </c>
      <c r="AX86" s="4">
        <f t="shared" ca="1" si="25"/>
        <v>0</v>
      </c>
      <c r="AY86" s="4">
        <f t="shared" ca="1" si="25"/>
        <v>0</v>
      </c>
      <c r="AZ86" s="4">
        <f t="shared" ca="1" si="25"/>
        <v>0</v>
      </c>
      <c r="BA86" s="4">
        <f t="shared" ca="1" si="25"/>
        <v>0</v>
      </c>
      <c r="BB86" s="4">
        <f t="shared" ca="1" si="25"/>
        <v>0</v>
      </c>
      <c r="BC86" s="4">
        <f t="shared" ca="1" si="25"/>
        <v>0</v>
      </c>
      <c r="BD86" s="4">
        <f t="shared" ca="1" si="25"/>
        <v>0</v>
      </c>
      <c r="BE86" s="4">
        <f t="shared" ca="1" si="25"/>
        <v>0</v>
      </c>
      <c r="BF86" s="4">
        <f t="shared" ca="1" si="25"/>
        <v>0</v>
      </c>
      <c r="BG86" s="4">
        <f t="shared" ca="1" si="25"/>
        <v>0</v>
      </c>
      <c r="BH86" s="4">
        <f t="shared" ca="1" si="25"/>
        <v>0</v>
      </c>
      <c r="BI86" s="4">
        <f t="shared" ca="1" si="25"/>
        <v>0</v>
      </c>
      <c r="BJ86" s="4">
        <f t="shared" ca="1" si="25"/>
        <v>0</v>
      </c>
      <c r="BK86" s="4">
        <f t="shared" ca="1" si="25"/>
        <v>0</v>
      </c>
      <c r="BL86" s="4">
        <f t="shared" ca="1" si="25"/>
        <v>0</v>
      </c>
    </row>
    <row r="87" spans="1:64" x14ac:dyDescent="0.35">
      <c r="A87" s="1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</row>
    <row r="88" spans="1:64" x14ac:dyDescent="0.35">
      <c r="A88" s="1"/>
      <c r="B88" s="2" t="s">
        <v>408</v>
      </c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</row>
    <row r="89" spans="1:64" x14ac:dyDescent="0.35">
      <c r="A89" s="1"/>
      <c r="C89" s="2" t="s">
        <v>104</v>
      </c>
      <c r="D89" s="4"/>
      <c r="E89" s="4">
        <f t="shared" ref="E89:BL90" si="26">E45</f>
        <v>153.75</v>
      </c>
      <c r="F89" s="4">
        <f t="shared" si="26"/>
        <v>157.59375</v>
      </c>
      <c r="G89" s="4">
        <f t="shared" si="26"/>
        <v>161.53359374999999</v>
      </c>
      <c r="H89" s="4">
        <f t="shared" si="26"/>
        <v>165.57193359374997</v>
      </c>
      <c r="I89" s="4">
        <f t="shared" si="26"/>
        <v>169.71123193359372</v>
      </c>
      <c r="J89" s="4">
        <f t="shared" si="26"/>
        <v>173.95401273193355</v>
      </c>
      <c r="K89" s="4">
        <f t="shared" si="26"/>
        <v>178.30286305023188</v>
      </c>
      <c r="L89" s="4">
        <f t="shared" si="26"/>
        <v>182.76043462648767</v>
      </c>
      <c r="M89" s="4">
        <f t="shared" si="26"/>
        <v>187.32944549214983</v>
      </c>
      <c r="N89" s="4">
        <f t="shared" si="26"/>
        <v>192.01268162945357</v>
      </c>
      <c r="O89" s="4">
        <f t="shared" si="26"/>
        <v>194.89287185389534</v>
      </c>
      <c r="P89" s="4">
        <f t="shared" si="26"/>
        <v>197.81626493170376</v>
      </c>
      <c r="Q89" s="4">
        <f t="shared" si="26"/>
        <v>200.7835089056793</v>
      </c>
      <c r="R89" s="4">
        <f t="shared" si="26"/>
        <v>203.79526153926446</v>
      </c>
      <c r="S89" s="4">
        <f t="shared" si="26"/>
        <v>206.85219046235341</v>
      </c>
      <c r="T89" s="4">
        <f t="shared" si="26"/>
        <v>209.95497331928868</v>
      </c>
      <c r="U89" s="4">
        <f t="shared" si="26"/>
        <v>213.10429791907799</v>
      </c>
      <c r="V89" s="4">
        <f t="shared" si="26"/>
        <v>216.30086238786413</v>
      </c>
      <c r="W89" s="4">
        <f t="shared" si="26"/>
        <v>219.54537532368207</v>
      </c>
      <c r="X89" s="4">
        <f t="shared" si="26"/>
        <v>222.83855595353728</v>
      </c>
      <c r="Y89" s="4">
        <f t="shared" si="26"/>
        <v>226.18113429284031</v>
      </c>
      <c r="Z89" s="4">
        <f t="shared" si="26"/>
        <v>229.5738513072329</v>
      </c>
      <c r="AA89" s="4">
        <f t="shared" si="26"/>
        <v>233.01745907684136</v>
      </c>
      <c r="AB89" s="4">
        <f t="shared" si="26"/>
        <v>236.51272096299397</v>
      </c>
      <c r="AC89" s="4">
        <f t="shared" si="26"/>
        <v>240.06041177743884</v>
      </c>
      <c r="AD89" s="4">
        <f t="shared" si="26"/>
        <v>243.66131795410041</v>
      </c>
      <c r="AE89" s="4">
        <f t="shared" si="26"/>
        <v>247.31623772341189</v>
      </c>
      <c r="AF89" s="4">
        <f t="shared" si="26"/>
        <v>251.02598128926303</v>
      </c>
      <c r="AG89" s="4">
        <f t="shared" si="26"/>
        <v>254.79137100860194</v>
      </c>
      <c r="AH89" s="4">
        <f t="shared" si="26"/>
        <v>258.61324157373093</v>
      </c>
      <c r="AI89" s="4">
        <f t="shared" si="26"/>
        <v>262.49244019733686</v>
      </c>
      <c r="AJ89" s="4">
        <f t="shared" si="26"/>
        <v>266.42982680029689</v>
      </c>
      <c r="AK89" s="4">
        <f t="shared" si="26"/>
        <v>270.42627420230133</v>
      </c>
      <c r="AL89" s="4">
        <f t="shared" si="26"/>
        <v>274.48266831533584</v>
      </c>
      <c r="AM89" s="4">
        <f t="shared" si="26"/>
        <v>278.59990834006584</v>
      </c>
      <c r="AN89" s="4">
        <f t="shared" si="26"/>
        <v>282.77890696516681</v>
      </c>
      <c r="AO89" s="4">
        <f t="shared" si="26"/>
        <v>287.0205905696443</v>
      </c>
      <c r="AP89" s="4">
        <f t="shared" si="26"/>
        <v>291.32589942818896</v>
      </c>
      <c r="AQ89" s="4">
        <f t="shared" si="26"/>
        <v>295.69578791961175</v>
      </c>
      <c r="AR89" s="4">
        <f t="shared" si="26"/>
        <v>300.13122473840588</v>
      </c>
      <c r="AS89" s="4">
        <f t="shared" si="26"/>
        <v>304.63319310948191</v>
      </c>
      <c r="AT89" s="4">
        <f t="shared" si="26"/>
        <v>309.2026910061241</v>
      </c>
      <c r="AU89" s="4">
        <f t="shared" si="26"/>
        <v>313.84073137121595</v>
      </c>
      <c r="AV89" s="4">
        <f t="shared" si="26"/>
        <v>318.54834234178418</v>
      </c>
      <c r="AW89" s="4">
        <f t="shared" si="26"/>
        <v>323.3265674769109</v>
      </c>
      <c r="AX89" s="4">
        <f t="shared" si="26"/>
        <v>328.17646598906452</v>
      </c>
      <c r="AY89" s="4">
        <f t="shared" si="26"/>
        <v>333.09911297890045</v>
      </c>
      <c r="AZ89" s="4">
        <f t="shared" si="26"/>
        <v>338.09559967358393</v>
      </c>
      <c r="BA89" s="4">
        <f t="shared" si="26"/>
        <v>343.16703366868768</v>
      </c>
      <c r="BB89" s="4">
        <f t="shared" si="26"/>
        <v>348.31453917371795</v>
      </c>
      <c r="BC89" s="4">
        <f t="shared" si="26"/>
        <v>353.53925726132366</v>
      </c>
      <c r="BD89" s="4">
        <f t="shared" si="26"/>
        <v>358.84234612024346</v>
      </c>
      <c r="BE89" s="4">
        <f t="shared" si="26"/>
        <v>364.22498131204708</v>
      </c>
      <c r="BF89" s="4">
        <f t="shared" si="26"/>
        <v>369.68835603172772</v>
      </c>
      <c r="BG89" s="4">
        <f t="shared" si="26"/>
        <v>375.23368137220359</v>
      </c>
      <c r="BH89" s="4">
        <f t="shared" si="26"/>
        <v>380.8621865927866</v>
      </c>
      <c r="BI89" s="4">
        <f t="shared" si="26"/>
        <v>386.57511939167836</v>
      </c>
      <c r="BJ89" s="4">
        <f t="shared" si="26"/>
        <v>392.37374618255348</v>
      </c>
      <c r="BK89" s="4">
        <f t="shared" si="26"/>
        <v>398.25935237529171</v>
      </c>
      <c r="BL89" s="4">
        <f t="shared" si="26"/>
        <v>404.23324266092106</v>
      </c>
    </row>
    <row r="90" spans="1:64" x14ac:dyDescent="0.35">
      <c r="A90" s="1"/>
      <c r="C90" s="2" t="s">
        <v>105</v>
      </c>
      <c r="D90" s="4"/>
      <c r="E90" s="4">
        <f t="shared" si="26"/>
        <v>0</v>
      </c>
      <c r="F90" s="4">
        <f t="shared" si="26"/>
        <v>0</v>
      </c>
      <c r="G90" s="4">
        <f t="shared" si="26"/>
        <v>0</v>
      </c>
      <c r="H90" s="4">
        <f t="shared" si="26"/>
        <v>0</v>
      </c>
      <c r="I90" s="4">
        <f t="shared" si="26"/>
        <v>0</v>
      </c>
      <c r="J90" s="4">
        <f t="shared" si="26"/>
        <v>0</v>
      </c>
      <c r="K90" s="4">
        <f t="shared" si="26"/>
        <v>0</v>
      </c>
      <c r="L90" s="4">
        <f t="shared" si="26"/>
        <v>0</v>
      </c>
      <c r="M90" s="4">
        <f t="shared" si="26"/>
        <v>0</v>
      </c>
      <c r="N90" s="4">
        <f t="shared" si="26"/>
        <v>0</v>
      </c>
      <c r="O90" s="4">
        <f t="shared" si="26"/>
        <v>0</v>
      </c>
      <c r="P90" s="4">
        <f t="shared" si="26"/>
        <v>0</v>
      </c>
      <c r="Q90" s="4">
        <f t="shared" si="26"/>
        <v>0</v>
      </c>
      <c r="R90" s="4">
        <f t="shared" si="26"/>
        <v>0</v>
      </c>
      <c r="S90" s="4">
        <f t="shared" si="26"/>
        <v>0</v>
      </c>
      <c r="T90" s="4">
        <f t="shared" si="26"/>
        <v>0</v>
      </c>
      <c r="U90" s="4">
        <f t="shared" si="26"/>
        <v>0</v>
      </c>
      <c r="V90" s="4">
        <f t="shared" si="26"/>
        <v>0</v>
      </c>
      <c r="W90" s="4">
        <f t="shared" si="26"/>
        <v>0</v>
      </c>
      <c r="X90" s="4">
        <f t="shared" si="26"/>
        <v>0</v>
      </c>
      <c r="Y90" s="4">
        <f t="shared" si="26"/>
        <v>0</v>
      </c>
      <c r="Z90" s="4">
        <f t="shared" si="26"/>
        <v>0</v>
      </c>
      <c r="AA90" s="4">
        <f t="shared" si="26"/>
        <v>0</v>
      </c>
      <c r="AB90" s="4">
        <f t="shared" si="26"/>
        <v>0</v>
      </c>
      <c r="AC90" s="4">
        <f t="shared" si="26"/>
        <v>0</v>
      </c>
      <c r="AD90" s="4">
        <f t="shared" si="26"/>
        <v>0</v>
      </c>
      <c r="AE90" s="4">
        <f t="shared" si="26"/>
        <v>0</v>
      </c>
      <c r="AF90" s="4">
        <f t="shared" si="26"/>
        <v>0</v>
      </c>
      <c r="AG90" s="4">
        <f t="shared" si="26"/>
        <v>0</v>
      </c>
      <c r="AH90" s="4">
        <f t="shared" si="26"/>
        <v>0</v>
      </c>
      <c r="AI90" s="4">
        <f t="shared" si="26"/>
        <v>0</v>
      </c>
      <c r="AJ90" s="4">
        <f t="shared" si="26"/>
        <v>0</v>
      </c>
      <c r="AK90" s="4">
        <f t="shared" si="26"/>
        <v>0</v>
      </c>
      <c r="AL90" s="4">
        <f t="shared" si="26"/>
        <v>0</v>
      </c>
      <c r="AM90" s="4">
        <f t="shared" si="26"/>
        <v>0</v>
      </c>
      <c r="AN90" s="4">
        <f t="shared" si="26"/>
        <v>0</v>
      </c>
      <c r="AO90" s="4">
        <f t="shared" si="26"/>
        <v>0</v>
      </c>
      <c r="AP90" s="4">
        <f t="shared" si="26"/>
        <v>0</v>
      </c>
      <c r="AQ90" s="4">
        <f t="shared" si="26"/>
        <v>0</v>
      </c>
      <c r="AR90" s="4">
        <f t="shared" si="26"/>
        <v>0</v>
      </c>
      <c r="AS90" s="4">
        <f t="shared" si="26"/>
        <v>0</v>
      </c>
      <c r="AT90" s="4">
        <f t="shared" si="26"/>
        <v>0</v>
      </c>
      <c r="AU90" s="4">
        <f t="shared" si="26"/>
        <v>0</v>
      </c>
      <c r="AV90" s="4">
        <f t="shared" si="26"/>
        <v>0</v>
      </c>
      <c r="AW90" s="4">
        <f t="shared" si="26"/>
        <v>0</v>
      </c>
      <c r="AX90" s="4">
        <f t="shared" si="26"/>
        <v>0</v>
      </c>
      <c r="AY90" s="4">
        <f t="shared" si="26"/>
        <v>0</v>
      </c>
      <c r="AZ90" s="4">
        <f t="shared" si="26"/>
        <v>0</v>
      </c>
      <c r="BA90" s="4">
        <f t="shared" si="26"/>
        <v>0</v>
      </c>
      <c r="BB90" s="4">
        <f t="shared" si="26"/>
        <v>0</v>
      </c>
      <c r="BC90" s="4">
        <f t="shared" si="26"/>
        <v>0</v>
      </c>
      <c r="BD90" s="4">
        <f t="shared" si="26"/>
        <v>0</v>
      </c>
      <c r="BE90" s="4">
        <f t="shared" si="26"/>
        <v>0</v>
      </c>
      <c r="BF90" s="4">
        <f t="shared" si="26"/>
        <v>0</v>
      </c>
      <c r="BG90" s="4">
        <f t="shared" si="26"/>
        <v>0</v>
      </c>
      <c r="BH90" s="4">
        <f t="shared" si="26"/>
        <v>0</v>
      </c>
      <c r="BI90" s="4">
        <f t="shared" si="26"/>
        <v>0</v>
      </c>
      <c r="BJ90" s="4">
        <f t="shared" si="26"/>
        <v>0</v>
      </c>
      <c r="BK90" s="4">
        <f t="shared" si="26"/>
        <v>0</v>
      </c>
      <c r="BL90" s="4">
        <f t="shared" si="26"/>
        <v>0</v>
      </c>
    </row>
    <row r="91" spans="1:64" x14ac:dyDescent="0.35">
      <c r="A91" s="1"/>
      <c r="C91" s="2" t="s">
        <v>409</v>
      </c>
      <c r="D91" s="4"/>
      <c r="E91" s="4">
        <f>E75</f>
        <v>62.983708593750009</v>
      </c>
      <c r="F91" s="4">
        <f t="shared" ref="F91:BL91" ca="1" si="27">F75</f>
        <v>62.242833503728129</v>
      </c>
      <c r="G91" s="4">
        <f t="shared" ca="1" si="27"/>
        <v>61.448704519382709</v>
      </c>
      <c r="H91" s="4">
        <f t="shared" ca="1" si="27"/>
        <v>60.599469313099569</v>
      </c>
      <c r="I91" s="4">
        <f t="shared" ca="1" si="27"/>
        <v>59.693221434370344</v>
      </c>
      <c r="J91" s="4">
        <f t="shared" ca="1" si="27"/>
        <v>58.727998839499534</v>
      </c>
      <c r="K91" s="4">
        <f t="shared" ca="1" si="27"/>
        <v>57.701782382796004</v>
      </c>
      <c r="L91" s="4">
        <f t="shared" ca="1" si="27"/>
        <v>56.612494268259518</v>
      </c>
      <c r="M91" s="4">
        <f t="shared" ca="1" si="27"/>
        <v>64.700995870872717</v>
      </c>
      <c r="N91" s="4">
        <f t="shared" ca="1" si="27"/>
        <v>63.43716099985177</v>
      </c>
      <c r="O91" s="4">
        <f t="shared" ca="1" si="27"/>
        <v>62.102525794694564</v>
      </c>
      <c r="P91" s="4">
        <f t="shared" ca="1" si="27"/>
        <v>60.779268758765276</v>
      </c>
      <c r="Q91" s="4">
        <f t="shared" ca="1" si="27"/>
        <v>59.411733627559443</v>
      </c>
      <c r="R91" s="4">
        <f t="shared" ca="1" si="27"/>
        <v>57.998922573824458</v>
      </c>
      <c r="S91" s="4">
        <f t="shared" ca="1" si="27"/>
        <v>56.53981824420849</v>
      </c>
      <c r="T91" s="4">
        <f t="shared" ca="1" si="27"/>
        <v>55.033383370323001</v>
      </c>
      <c r="U91" s="4">
        <f t="shared" ca="1" si="27"/>
        <v>53.478560500006708</v>
      </c>
      <c r="V91" s="4">
        <f t="shared" ca="1" si="27"/>
        <v>51.874271563961656</v>
      </c>
      <c r="W91" s="4">
        <f t="shared" ca="1" si="27"/>
        <v>57.393681674506134</v>
      </c>
      <c r="X91" s="4">
        <f t="shared" ca="1" si="27"/>
        <v>55.555334228314415</v>
      </c>
      <c r="Y91" s="4">
        <f t="shared" ca="1" si="27"/>
        <v>53.65455461973292</v>
      </c>
      <c r="Z91" s="4">
        <f t="shared" ca="1" si="27"/>
        <v>51.689862243885877</v>
      </c>
      <c r="AA91" s="4">
        <f t="shared" ca="1" si="27"/>
        <v>49.659745824833927</v>
      </c>
      <c r="AB91" s="4">
        <f t="shared" ca="1" si="27"/>
        <v>47.562662793000811</v>
      </c>
      <c r="AC91" s="4">
        <f t="shared" ca="1" si="27"/>
        <v>45.397038661618019</v>
      </c>
      <c r="AD91" s="4">
        <f t="shared" ca="1" si="27"/>
        <v>43.161266416037918</v>
      </c>
      <c r="AE91" s="4">
        <f t="shared" ca="1" si="27"/>
        <v>40.853705944579204</v>
      </c>
      <c r="AF91" s="4">
        <f t="shared" ca="1" si="27"/>
        <v>38.472683315253938</v>
      </c>
      <c r="AG91" s="4">
        <f t="shared" ca="1" si="27"/>
        <v>36.016490203512632</v>
      </c>
      <c r="AH91" s="4">
        <f t="shared" ca="1" si="27"/>
        <v>33.483383165941959</v>
      </c>
      <c r="AI91" s="4">
        <f t="shared" ca="1" si="27"/>
        <v>30.871582980491471</v>
      </c>
      <c r="AJ91" s="4">
        <f t="shared" ca="1" si="27"/>
        <v>28.179274027056863</v>
      </c>
      <c r="AK91" s="4">
        <f t="shared" ca="1" si="27"/>
        <v>25.4046035129528</v>
      </c>
      <c r="AL91" s="4">
        <f t="shared" ca="1" si="27"/>
        <v>22.545680763968548</v>
      </c>
      <c r="AM91" s="4">
        <f t="shared" ca="1" si="27"/>
        <v>19.600576498276229</v>
      </c>
      <c r="AN91" s="4">
        <f t="shared" ca="1" si="27"/>
        <v>16.567322138993134</v>
      </c>
      <c r="AO91" s="4">
        <f t="shared" ca="1" si="27"/>
        <v>13.443909054314961</v>
      </c>
      <c r="AP91" s="4">
        <f t="shared" ca="1" si="27"/>
        <v>10.22828772330725</v>
      </c>
      <c r="AQ91" s="4">
        <f t="shared" ca="1" si="27"/>
        <v>6.9183669908815038</v>
      </c>
      <c r="AR91" s="4">
        <f t="shared" ca="1" si="27"/>
        <v>3.5120094986899999</v>
      </c>
      <c r="AS91" s="4">
        <f t="shared" ca="1" si="27"/>
        <v>-2.1277395036349843E-5</v>
      </c>
      <c r="AT91" s="4">
        <f t="shared" ca="1" si="27"/>
        <v>-2.1702942937076842E-5</v>
      </c>
      <c r="AU91" s="4">
        <f t="shared" ca="1" si="27"/>
        <v>-2.2137001795818382E-5</v>
      </c>
      <c r="AV91" s="4">
        <f t="shared" ca="1" si="27"/>
        <v>-2.2579741831734748E-5</v>
      </c>
      <c r="AW91" s="4">
        <f t="shared" ca="1" si="27"/>
        <v>-2.3031336668369442E-5</v>
      </c>
      <c r="AX91" s="4">
        <f t="shared" ca="1" si="27"/>
        <v>-2.3491963401736831E-5</v>
      </c>
      <c r="AY91" s="4">
        <f t="shared" ca="1" si="27"/>
        <v>-2.3961802669771571E-5</v>
      </c>
      <c r="AZ91" s="4">
        <f t="shared" ca="1" si="27"/>
        <v>-2.4441038723167002E-5</v>
      </c>
      <c r="BA91" s="4">
        <f t="shared" ca="1" si="27"/>
        <v>-2.4929859497630343E-5</v>
      </c>
      <c r="BB91" s="4">
        <f t="shared" ca="1" si="27"/>
        <v>-2.5428456687582951E-5</v>
      </c>
      <c r="BC91" s="4">
        <f t="shared" ca="1" si="27"/>
        <v>-2.5937025821334612E-5</v>
      </c>
      <c r="BD91" s="4">
        <f t="shared" ca="1" si="27"/>
        <v>-2.6455766337761305E-5</v>
      </c>
      <c r="BE91" s="4">
        <f t="shared" ca="1" si="27"/>
        <v>-2.6984881664516532E-5</v>
      </c>
      <c r="BF91" s="4">
        <f t="shared" ca="1" si="27"/>
        <v>-2.752457929780686E-5</v>
      </c>
      <c r="BG91" s="4">
        <f t="shared" ca="1" si="27"/>
        <v>-2.8075070883762996E-5</v>
      </c>
      <c r="BH91" s="4">
        <f t="shared" ca="1" si="27"/>
        <v>-2.863657230143826E-5</v>
      </c>
      <c r="BI91" s="4">
        <f t="shared" ca="1" si="27"/>
        <v>-2.9209303747467023E-5</v>
      </c>
      <c r="BJ91" s="4">
        <f t="shared" ca="1" si="27"/>
        <v>-2.9793489822416362E-5</v>
      </c>
      <c r="BK91" s="4">
        <f t="shared" ca="1" si="27"/>
        <v>-3.0389359618864689E-5</v>
      </c>
      <c r="BL91" s="4">
        <f t="shared" ca="1" si="27"/>
        <v>-3.0997146811241984E-5</v>
      </c>
    </row>
    <row r="92" spans="1:64" x14ac:dyDescent="0.35">
      <c r="A92" s="1"/>
      <c r="C92" s="2" t="s">
        <v>410</v>
      </c>
      <c r="D92" s="4">
        <f>D28+D30</f>
        <v>4419.9093750000002</v>
      </c>
      <c r="E92" s="4">
        <f t="shared" ref="E92:BL92" si="28">E51</f>
        <v>0.57180905342102051</v>
      </c>
      <c r="F92" s="4">
        <f t="shared" si="28"/>
        <v>0.58610427379608154</v>
      </c>
      <c r="G92" s="4">
        <f t="shared" si="28"/>
        <v>0.60075688362121582</v>
      </c>
      <c r="H92" s="4">
        <f t="shared" si="28"/>
        <v>0.61577582359313965</v>
      </c>
      <c r="I92" s="4">
        <f t="shared" si="28"/>
        <v>0.63117021322250366</v>
      </c>
      <c r="J92" s="4">
        <f t="shared" si="28"/>
        <v>0.64694947004318237</v>
      </c>
      <c r="K92" s="4">
        <f t="shared" si="28"/>
        <v>0.66312319040298462</v>
      </c>
      <c r="L92" s="4">
        <f t="shared" si="28"/>
        <v>0.67970120906829834</v>
      </c>
      <c r="M92" s="4">
        <f t="shared" si="28"/>
        <v>0.69505256414413452</v>
      </c>
      <c r="N92" s="4">
        <f t="shared" si="28"/>
        <v>0.69704544544219971</v>
      </c>
      <c r="O92" s="4">
        <f t="shared" si="28"/>
        <v>0.69511109590530396</v>
      </c>
      <c r="P92" s="4">
        <f t="shared" si="28"/>
        <v>0.70120835304260254</v>
      </c>
      <c r="Q92" s="4">
        <f t="shared" si="28"/>
        <v>0.70736986398696899</v>
      </c>
      <c r="R92" s="4">
        <f t="shared" si="28"/>
        <v>0.71359634399414063</v>
      </c>
      <c r="S92" s="4">
        <f t="shared" si="28"/>
        <v>0.71988838911056519</v>
      </c>
      <c r="T92" s="4">
        <f t="shared" si="28"/>
        <v>0.72624647617340088</v>
      </c>
      <c r="U92" s="4">
        <f t="shared" si="28"/>
        <v>0.73267358541488647</v>
      </c>
      <c r="V92" s="4">
        <f t="shared" si="28"/>
        <v>0.74312317371368408</v>
      </c>
      <c r="W92" s="4">
        <f t="shared" si="28"/>
        <v>0.75356584787368774</v>
      </c>
      <c r="X92" s="4">
        <f t="shared" si="28"/>
        <v>0.76004379987716675</v>
      </c>
      <c r="Y92" s="4">
        <f t="shared" si="28"/>
        <v>0.76658022403717041</v>
      </c>
      <c r="Z92" s="4">
        <f t="shared" si="28"/>
        <v>0.77317529916763306</v>
      </c>
      <c r="AA92" s="4">
        <f t="shared" si="28"/>
        <v>0.77982926368713379</v>
      </c>
      <c r="AB92" s="4">
        <f t="shared" si="28"/>
        <v>0.78654253482818604</v>
      </c>
      <c r="AC92" s="4">
        <f t="shared" si="28"/>
        <v>0.79331529140472412</v>
      </c>
      <c r="AD92" s="4">
        <f t="shared" si="28"/>
        <v>0.80014771223068237</v>
      </c>
      <c r="AE92" s="4">
        <f t="shared" si="28"/>
        <v>0.80704015493392944</v>
      </c>
      <c r="AF92" s="4">
        <f t="shared" si="28"/>
        <v>0.81399273872375488</v>
      </c>
      <c r="AG92" s="4">
        <f t="shared" si="28"/>
        <v>0.82100576162338257</v>
      </c>
      <c r="AH92" s="4">
        <f t="shared" si="28"/>
        <v>0.8280794620513916</v>
      </c>
      <c r="AI92" s="4">
        <f t="shared" si="28"/>
        <v>0.83521389961242676</v>
      </c>
      <c r="AJ92" s="4">
        <f t="shared" si="28"/>
        <v>0.84240949153900146</v>
      </c>
      <c r="AK92" s="4">
        <f t="shared" si="28"/>
        <v>0.84966641664505005</v>
      </c>
      <c r="AL92" s="4">
        <f t="shared" si="28"/>
        <v>0.85698473453521729</v>
      </c>
      <c r="AM92" s="4">
        <f t="shared" si="28"/>
        <v>0.8643646240234375</v>
      </c>
      <c r="AN92" s="4">
        <f t="shared" si="28"/>
        <v>0.87180638313293457</v>
      </c>
      <c r="AO92" s="4">
        <f t="shared" si="28"/>
        <v>0.87931013107299805</v>
      </c>
      <c r="AP92" s="4">
        <f t="shared" si="28"/>
        <v>0.88687574863433838</v>
      </c>
      <c r="AQ92" s="4">
        <f t="shared" si="28"/>
        <v>0.89425414800643921</v>
      </c>
      <c r="AR92" s="4">
        <f t="shared" si="28"/>
        <v>0.44891712069511414</v>
      </c>
      <c r="AS92" s="4">
        <f t="shared" si="28"/>
        <v>0</v>
      </c>
      <c r="AT92" s="4">
        <f t="shared" si="28"/>
        <v>0</v>
      </c>
      <c r="AU92" s="4">
        <f t="shared" si="28"/>
        <v>0</v>
      </c>
      <c r="AV92" s="4">
        <f t="shared" si="28"/>
        <v>0</v>
      </c>
      <c r="AW92" s="4">
        <f t="shared" si="28"/>
        <v>0</v>
      </c>
      <c r="AX92" s="4">
        <f t="shared" si="28"/>
        <v>0</v>
      </c>
      <c r="AY92" s="4">
        <f t="shared" si="28"/>
        <v>0</v>
      </c>
      <c r="AZ92" s="4">
        <f t="shared" si="28"/>
        <v>0</v>
      </c>
      <c r="BA92" s="4">
        <f t="shared" si="28"/>
        <v>0</v>
      </c>
      <c r="BB92" s="4">
        <f t="shared" si="28"/>
        <v>0</v>
      </c>
      <c r="BC92" s="4">
        <f t="shared" si="28"/>
        <v>0</v>
      </c>
      <c r="BD92" s="4">
        <f t="shared" si="28"/>
        <v>0</v>
      </c>
      <c r="BE92" s="4">
        <f t="shared" si="28"/>
        <v>0</v>
      </c>
      <c r="BF92" s="4">
        <f t="shared" si="28"/>
        <v>0</v>
      </c>
      <c r="BG92" s="4">
        <f t="shared" si="28"/>
        <v>0</v>
      </c>
      <c r="BH92" s="4">
        <f t="shared" si="28"/>
        <v>0</v>
      </c>
      <c r="BI92" s="4">
        <f t="shared" si="28"/>
        <v>0</v>
      </c>
      <c r="BJ92" s="4">
        <f t="shared" si="28"/>
        <v>0</v>
      </c>
      <c r="BK92" s="4">
        <f t="shared" si="28"/>
        <v>0</v>
      </c>
      <c r="BL92" s="4">
        <f t="shared" si="28"/>
        <v>0</v>
      </c>
    </row>
    <row r="93" spans="1:64" x14ac:dyDescent="0.35">
      <c r="A93" s="1"/>
      <c r="C93" s="2" t="s">
        <v>492</v>
      </c>
      <c r="D93" s="12">
        <f>D25</f>
        <v>2.5000000000000001E-2</v>
      </c>
      <c r="E93" s="4">
        <f>$D$93*$D$92</f>
        <v>110.49773437500001</v>
      </c>
      <c r="F93" s="4">
        <f t="shared" ref="F93:BL93" si="29">$D$93*$D$92</f>
        <v>110.49773437500001</v>
      </c>
      <c r="G93" s="4">
        <f t="shared" si="29"/>
        <v>110.49773437500001</v>
      </c>
      <c r="H93" s="4">
        <f t="shared" si="29"/>
        <v>110.49773437500001</v>
      </c>
      <c r="I93" s="4">
        <f t="shared" si="29"/>
        <v>110.49773437500001</v>
      </c>
      <c r="J93" s="4">
        <f t="shared" si="29"/>
        <v>110.49773437500001</v>
      </c>
      <c r="K93" s="4">
        <f t="shared" si="29"/>
        <v>110.49773437500001</v>
      </c>
      <c r="L93" s="4">
        <f t="shared" si="29"/>
        <v>110.49773437500001</v>
      </c>
      <c r="M93" s="4">
        <f t="shared" si="29"/>
        <v>110.49773437500001</v>
      </c>
      <c r="N93" s="4">
        <f t="shared" si="29"/>
        <v>110.49773437500001</v>
      </c>
      <c r="O93" s="4">
        <f t="shared" si="29"/>
        <v>110.49773437500001</v>
      </c>
      <c r="P93" s="4">
        <f t="shared" si="29"/>
        <v>110.49773437500001</v>
      </c>
      <c r="Q93" s="4">
        <f t="shared" si="29"/>
        <v>110.49773437500001</v>
      </c>
      <c r="R93" s="4">
        <f t="shared" si="29"/>
        <v>110.49773437500001</v>
      </c>
      <c r="S93" s="4">
        <f t="shared" si="29"/>
        <v>110.49773437500001</v>
      </c>
      <c r="T93" s="4">
        <f t="shared" si="29"/>
        <v>110.49773437500001</v>
      </c>
      <c r="U93" s="4">
        <f t="shared" si="29"/>
        <v>110.49773437500001</v>
      </c>
      <c r="V93" s="4">
        <f t="shared" si="29"/>
        <v>110.49773437500001</v>
      </c>
      <c r="W93" s="4">
        <f t="shared" si="29"/>
        <v>110.49773437500001</v>
      </c>
      <c r="X93" s="4">
        <f t="shared" si="29"/>
        <v>110.49773437500001</v>
      </c>
      <c r="Y93" s="4">
        <f t="shared" si="29"/>
        <v>110.49773437500001</v>
      </c>
      <c r="Z93" s="4">
        <f t="shared" si="29"/>
        <v>110.49773437500001</v>
      </c>
      <c r="AA93" s="4">
        <f t="shared" si="29"/>
        <v>110.49773437500001</v>
      </c>
      <c r="AB93" s="4">
        <f t="shared" si="29"/>
        <v>110.49773437500001</v>
      </c>
      <c r="AC93" s="4">
        <f t="shared" si="29"/>
        <v>110.49773437500001</v>
      </c>
      <c r="AD93" s="4">
        <f t="shared" si="29"/>
        <v>110.49773437500001</v>
      </c>
      <c r="AE93" s="4">
        <f t="shared" si="29"/>
        <v>110.49773437500001</v>
      </c>
      <c r="AF93" s="4">
        <f t="shared" si="29"/>
        <v>110.49773437500001</v>
      </c>
      <c r="AG93" s="4">
        <f t="shared" si="29"/>
        <v>110.49773437500001</v>
      </c>
      <c r="AH93" s="4">
        <f t="shared" si="29"/>
        <v>110.49773437500001</v>
      </c>
      <c r="AI93" s="4">
        <f t="shared" si="29"/>
        <v>110.49773437500001</v>
      </c>
      <c r="AJ93" s="4">
        <f t="shared" si="29"/>
        <v>110.49773437500001</v>
      </c>
      <c r="AK93" s="4">
        <f t="shared" si="29"/>
        <v>110.49773437500001</v>
      </c>
      <c r="AL93" s="4">
        <f t="shared" si="29"/>
        <v>110.49773437500001</v>
      </c>
      <c r="AM93" s="4">
        <f t="shared" si="29"/>
        <v>110.49773437500001</v>
      </c>
      <c r="AN93" s="4">
        <f t="shared" si="29"/>
        <v>110.49773437500001</v>
      </c>
      <c r="AO93" s="4">
        <f t="shared" si="29"/>
        <v>110.49773437500001</v>
      </c>
      <c r="AP93" s="4">
        <f t="shared" si="29"/>
        <v>110.49773437500001</v>
      </c>
      <c r="AQ93" s="4">
        <f t="shared" si="29"/>
        <v>110.49773437500001</v>
      </c>
      <c r="AR93" s="4">
        <f t="shared" si="29"/>
        <v>110.49773437500001</v>
      </c>
      <c r="AS93" s="4">
        <f t="shared" si="29"/>
        <v>110.49773437500001</v>
      </c>
      <c r="AT93" s="4">
        <f t="shared" si="29"/>
        <v>110.49773437500001</v>
      </c>
      <c r="AU93" s="4">
        <f t="shared" si="29"/>
        <v>110.49773437500001</v>
      </c>
      <c r="AV93" s="4">
        <f t="shared" si="29"/>
        <v>110.49773437500001</v>
      </c>
      <c r="AW93" s="4">
        <f t="shared" si="29"/>
        <v>110.49773437500001</v>
      </c>
      <c r="AX93" s="4">
        <f t="shared" si="29"/>
        <v>110.49773437500001</v>
      </c>
      <c r="AY93" s="4">
        <f t="shared" si="29"/>
        <v>110.49773437500001</v>
      </c>
      <c r="AZ93" s="4">
        <f t="shared" si="29"/>
        <v>110.49773437500001</v>
      </c>
      <c r="BA93" s="4">
        <f t="shared" si="29"/>
        <v>110.49773437500001</v>
      </c>
      <c r="BB93" s="4">
        <f t="shared" si="29"/>
        <v>110.49773437500001</v>
      </c>
      <c r="BC93" s="4">
        <f t="shared" si="29"/>
        <v>110.49773437500001</v>
      </c>
      <c r="BD93" s="4">
        <f t="shared" si="29"/>
        <v>110.49773437500001</v>
      </c>
      <c r="BE93" s="4">
        <f t="shared" si="29"/>
        <v>110.49773437500001</v>
      </c>
      <c r="BF93" s="4">
        <f t="shared" si="29"/>
        <v>110.49773437500001</v>
      </c>
      <c r="BG93" s="4">
        <f t="shared" si="29"/>
        <v>110.49773437500001</v>
      </c>
      <c r="BH93" s="4">
        <f t="shared" si="29"/>
        <v>110.49773437500001</v>
      </c>
      <c r="BI93" s="4">
        <f t="shared" si="29"/>
        <v>110.49773437500001</v>
      </c>
      <c r="BJ93" s="4">
        <f t="shared" si="29"/>
        <v>110.49773437500001</v>
      </c>
      <c r="BK93" s="4">
        <f t="shared" si="29"/>
        <v>110.49773437500001</v>
      </c>
      <c r="BL93" s="4">
        <f t="shared" si="29"/>
        <v>110.49773437500001</v>
      </c>
    </row>
    <row r="94" spans="1:64" ht="15" thickBot="1" x14ac:dyDescent="0.4">
      <c r="A94" s="1"/>
      <c r="C94" s="24" t="s">
        <v>493</v>
      </c>
      <c r="D94" s="25"/>
      <c r="E94" s="25">
        <f>E89+E90-E91-E92-E93</f>
        <v>-20.303252022171037</v>
      </c>
      <c r="F94" s="25">
        <f t="shared" ref="F94:BL94" ca="1" si="30">F89+F90-F91-F92-F93</f>
        <v>-15.73292215252421</v>
      </c>
      <c r="G94" s="25">
        <f t="shared" ca="1" si="30"/>
        <v>-11.013602028003945</v>
      </c>
      <c r="H94" s="25">
        <f t="shared" ca="1" si="30"/>
        <v>-6.1410459179427477</v>
      </c>
      <c r="I94" s="25">
        <f t="shared" ca="1" si="30"/>
        <v>-1.1108940889991317</v>
      </c>
      <c r="J94" s="25">
        <f t="shared" ca="1" si="30"/>
        <v>4.0813300473908214</v>
      </c>
      <c r="K94" s="25">
        <f t="shared" ca="1" si="30"/>
        <v>9.4402231020328742</v>
      </c>
      <c r="L94" s="25">
        <f t="shared" ca="1" si="30"/>
        <v>14.970504774159835</v>
      </c>
      <c r="M94" s="25">
        <f t="shared" ca="1" si="30"/>
        <v>11.435662682132971</v>
      </c>
      <c r="N94" s="25">
        <f t="shared" ca="1" si="30"/>
        <v>17.380740809159576</v>
      </c>
      <c r="O94" s="25">
        <f t="shared" ca="1" si="30"/>
        <v>21.59750058829546</v>
      </c>
      <c r="P94" s="25">
        <f t="shared" ca="1" si="30"/>
        <v>25.838053444895863</v>
      </c>
      <c r="Q94" s="25">
        <f t="shared" ca="1" si="30"/>
        <v>30.166671039132879</v>
      </c>
      <c r="R94" s="25">
        <f t="shared" ca="1" si="30"/>
        <v>34.585008246445838</v>
      </c>
      <c r="S94" s="25">
        <f t="shared" ca="1" si="30"/>
        <v>39.094749454034329</v>
      </c>
      <c r="T94" s="25">
        <f t="shared" ca="1" si="30"/>
        <v>43.697609097792267</v>
      </c>
      <c r="U94" s="25">
        <f t="shared" ca="1" si="30"/>
        <v>48.395329458656406</v>
      </c>
      <c r="V94" s="25">
        <f t="shared" ca="1" si="30"/>
        <v>53.185733275188781</v>
      </c>
      <c r="W94" s="25">
        <f t="shared" ca="1" si="30"/>
        <v>50.900393426302244</v>
      </c>
      <c r="X94" s="25">
        <f t="shared" ca="1" si="30"/>
        <v>56.025443550345685</v>
      </c>
      <c r="Y94" s="25">
        <f t="shared" ca="1" si="30"/>
        <v>61.262265074070214</v>
      </c>
      <c r="Z94" s="25">
        <f t="shared" ca="1" si="30"/>
        <v>66.61307938917939</v>
      </c>
      <c r="AA94" s="25">
        <f t="shared" ca="1" si="30"/>
        <v>72.080149613320302</v>
      </c>
      <c r="AB94" s="25">
        <f t="shared" ca="1" si="30"/>
        <v>77.665781260164962</v>
      </c>
      <c r="AC94" s="25">
        <f t="shared" ca="1" si="30"/>
        <v>83.372323449416101</v>
      </c>
      <c r="AD94" s="25">
        <f t="shared" ca="1" si="30"/>
        <v>89.202169450831818</v>
      </c>
      <c r="AE94" s="25">
        <f t="shared" ca="1" si="30"/>
        <v>95.157757248898733</v>
      </c>
      <c r="AF94" s="25">
        <f t="shared" ca="1" si="30"/>
        <v>101.24157086028534</v>
      </c>
      <c r="AG94" s="25">
        <f t="shared" ca="1" si="30"/>
        <v>107.45614066846592</v>
      </c>
      <c r="AH94" s="25">
        <f t="shared" ca="1" si="30"/>
        <v>113.80404457073756</v>
      </c>
      <c r="AI94" s="25">
        <f t="shared" ca="1" si="30"/>
        <v>120.28790894223296</v>
      </c>
      <c r="AJ94" s="25">
        <f t="shared" ca="1" si="30"/>
        <v>126.91040890670102</v>
      </c>
      <c r="AK94" s="25">
        <f t="shared" ca="1" si="30"/>
        <v>133.67426989770348</v>
      </c>
      <c r="AL94" s="25">
        <f t="shared" ca="1" si="30"/>
        <v>140.58226844183207</v>
      </c>
      <c r="AM94" s="25">
        <f t="shared" ca="1" si="30"/>
        <v>147.6372328427662</v>
      </c>
      <c r="AN94" s="25">
        <f t="shared" ca="1" si="30"/>
        <v>154.84204406804076</v>
      </c>
      <c r="AO94" s="25">
        <f t="shared" ca="1" si="30"/>
        <v>162.19963700925632</v>
      </c>
      <c r="AP94" s="25">
        <f t="shared" ca="1" si="30"/>
        <v>169.7130015812474</v>
      </c>
      <c r="AQ94" s="25">
        <f t="shared" ca="1" si="30"/>
        <v>177.3854324057238</v>
      </c>
      <c r="AR94" s="25">
        <f t="shared" ca="1" si="30"/>
        <v>185.67256374402075</v>
      </c>
      <c r="AS94" s="25">
        <f t="shared" ca="1" si="30"/>
        <v>194.13548001187695</v>
      </c>
      <c r="AT94" s="25">
        <f t="shared" ca="1" si="30"/>
        <v>198.70497833406705</v>
      </c>
      <c r="AU94" s="25">
        <f t="shared" ca="1" si="30"/>
        <v>203.34301913321775</v>
      </c>
      <c r="AV94" s="25">
        <f t="shared" ca="1" si="30"/>
        <v>208.05063054652601</v>
      </c>
      <c r="AW94" s="25">
        <f t="shared" ca="1" si="30"/>
        <v>212.8288561332476</v>
      </c>
      <c r="AX94" s="25">
        <f t="shared" ca="1" si="30"/>
        <v>217.67875510602795</v>
      </c>
      <c r="AY94" s="25">
        <f t="shared" ca="1" si="30"/>
        <v>222.60140256570315</v>
      </c>
      <c r="AZ94" s="25">
        <f t="shared" ca="1" si="30"/>
        <v>227.59788973962264</v>
      </c>
      <c r="BA94" s="25">
        <f t="shared" ca="1" si="30"/>
        <v>232.66932422354716</v>
      </c>
      <c r="BB94" s="25">
        <f t="shared" ca="1" si="30"/>
        <v>237.81683022717465</v>
      </c>
      <c r="BC94" s="25">
        <f t="shared" ca="1" si="30"/>
        <v>243.0415488233495</v>
      </c>
      <c r="BD94" s="25">
        <f t="shared" ca="1" si="30"/>
        <v>248.34463820100979</v>
      </c>
      <c r="BE94" s="25">
        <f t="shared" ca="1" si="30"/>
        <v>253.72727392192877</v>
      </c>
      <c r="BF94" s="25">
        <f t="shared" ca="1" si="30"/>
        <v>259.19064918130704</v>
      </c>
      <c r="BG94" s="25">
        <f t="shared" ca="1" si="30"/>
        <v>264.73597507227447</v>
      </c>
      <c r="BH94" s="25">
        <f t="shared" ca="1" si="30"/>
        <v>270.36448085435893</v>
      </c>
      <c r="BI94" s="25">
        <f t="shared" ca="1" si="30"/>
        <v>276.07741422598212</v>
      </c>
      <c r="BJ94" s="25">
        <f t="shared" ca="1" si="30"/>
        <v>281.87604160104331</v>
      </c>
      <c r="BK94" s="25">
        <f t="shared" ca="1" si="30"/>
        <v>287.76164838965133</v>
      </c>
      <c r="BL94" s="25">
        <f t="shared" ca="1" si="30"/>
        <v>293.73553928306791</v>
      </c>
    </row>
    <row r="95" spans="1:64" x14ac:dyDescent="0.35">
      <c r="A95" s="1"/>
      <c r="C95" s="10" t="s">
        <v>494</v>
      </c>
      <c r="D95" s="46"/>
      <c r="E95" s="162">
        <f>D98</f>
        <v>0</v>
      </c>
      <c r="F95" s="162">
        <f t="shared" ref="F95:BL95" si="31">E98</f>
        <v>20.303252022171037</v>
      </c>
      <c r="G95" s="162">
        <f t="shared" ca="1" si="31"/>
        <v>36.036174174695248</v>
      </c>
      <c r="H95" s="162">
        <f t="shared" ca="1" si="31"/>
        <v>47.049776202699192</v>
      </c>
      <c r="I95" s="162">
        <f t="shared" ca="1" si="31"/>
        <v>53.19082212064194</v>
      </c>
      <c r="J95" s="162">
        <f t="shared" ca="1" si="31"/>
        <v>54.301716209641071</v>
      </c>
      <c r="K95" s="162">
        <f t="shared" ca="1" si="31"/>
        <v>50.22038616225025</v>
      </c>
      <c r="L95" s="162">
        <f t="shared" ca="1" si="31"/>
        <v>40.780163060217376</v>
      </c>
      <c r="M95" s="162">
        <f t="shared" ca="1" si="31"/>
        <v>25.809658286057541</v>
      </c>
      <c r="N95" s="162">
        <f t="shared" ca="1" si="31"/>
        <v>14.37399560392457</v>
      </c>
      <c r="O95" s="162">
        <f t="shared" ca="1" si="31"/>
        <v>0</v>
      </c>
      <c r="P95" s="162">
        <f t="shared" ca="1" si="31"/>
        <v>0</v>
      </c>
      <c r="Q95" s="162">
        <f t="shared" ca="1" si="31"/>
        <v>0</v>
      </c>
      <c r="R95" s="162">
        <f t="shared" ca="1" si="31"/>
        <v>0</v>
      </c>
      <c r="S95" s="162">
        <f t="shared" ca="1" si="31"/>
        <v>0</v>
      </c>
      <c r="T95" s="162">
        <f t="shared" ca="1" si="31"/>
        <v>0</v>
      </c>
      <c r="U95" s="162">
        <f t="shared" ca="1" si="31"/>
        <v>0</v>
      </c>
      <c r="V95" s="162">
        <f t="shared" ca="1" si="31"/>
        <v>0</v>
      </c>
      <c r="W95" s="162">
        <f t="shared" ca="1" si="31"/>
        <v>0</v>
      </c>
      <c r="X95" s="162">
        <f t="shared" ca="1" si="31"/>
        <v>0</v>
      </c>
      <c r="Y95" s="162">
        <f t="shared" ca="1" si="31"/>
        <v>0</v>
      </c>
      <c r="Z95" s="162">
        <f t="shared" ca="1" si="31"/>
        <v>0</v>
      </c>
      <c r="AA95" s="162">
        <f t="shared" ca="1" si="31"/>
        <v>0</v>
      </c>
      <c r="AB95" s="162">
        <f t="shared" ca="1" si="31"/>
        <v>0</v>
      </c>
      <c r="AC95" s="162">
        <f t="shared" ca="1" si="31"/>
        <v>0</v>
      </c>
      <c r="AD95" s="162">
        <f t="shared" ca="1" si="31"/>
        <v>0</v>
      </c>
      <c r="AE95" s="162">
        <f t="shared" ca="1" si="31"/>
        <v>0</v>
      </c>
      <c r="AF95" s="162">
        <f t="shared" ca="1" si="31"/>
        <v>0</v>
      </c>
      <c r="AG95" s="162">
        <f t="shared" ca="1" si="31"/>
        <v>0</v>
      </c>
      <c r="AH95" s="162">
        <f t="shared" ca="1" si="31"/>
        <v>0</v>
      </c>
      <c r="AI95" s="162">
        <f t="shared" ca="1" si="31"/>
        <v>0</v>
      </c>
      <c r="AJ95" s="162">
        <f t="shared" ca="1" si="31"/>
        <v>0</v>
      </c>
      <c r="AK95" s="162">
        <f t="shared" ca="1" si="31"/>
        <v>0</v>
      </c>
      <c r="AL95" s="162">
        <f t="shared" ca="1" si="31"/>
        <v>0</v>
      </c>
      <c r="AM95" s="162">
        <f t="shared" ca="1" si="31"/>
        <v>0</v>
      </c>
      <c r="AN95" s="162">
        <f t="shared" ca="1" si="31"/>
        <v>0</v>
      </c>
      <c r="AO95" s="162">
        <f t="shared" ca="1" si="31"/>
        <v>0</v>
      </c>
      <c r="AP95" s="162">
        <f t="shared" ca="1" si="31"/>
        <v>0</v>
      </c>
      <c r="AQ95" s="162">
        <f t="shared" ca="1" si="31"/>
        <v>0</v>
      </c>
      <c r="AR95" s="162">
        <f t="shared" ca="1" si="31"/>
        <v>0</v>
      </c>
      <c r="AS95" s="162">
        <f t="shared" ca="1" si="31"/>
        <v>0</v>
      </c>
      <c r="AT95" s="162">
        <f t="shared" ca="1" si="31"/>
        <v>0</v>
      </c>
      <c r="AU95" s="162">
        <f t="shared" ca="1" si="31"/>
        <v>0</v>
      </c>
      <c r="AV95" s="162">
        <f t="shared" ca="1" si="31"/>
        <v>0</v>
      </c>
      <c r="AW95" s="162">
        <f t="shared" ca="1" si="31"/>
        <v>0</v>
      </c>
      <c r="AX95" s="162">
        <f t="shared" ca="1" si="31"/>
        <v>0</v>
      </c>
      <c r="AY95" s="162">
        <f t="shared" ca="1" si="31"/>
        <v>0</v>
      </c>
      <c r="AZ95" s="162">
        <f t="shared" ca="1" si="31"/>
        <v>0</v>
      </c>
      <c r="BA95" s="162">
        <f t="shared" ca="1" si="31"/>
        <v>0</v>
      </c>
      <c r="BB95" s="162">
        <f t="shared" ca="1" si="31"/>
        <v>0</v>
      </c>
      <c r="BC95" s="162">
        <f t="shared" ca="1" si="31"/>
        <v>0</v>
      </c>
      <c r="BD95" s="162">
        <f t="shared" ca="1" si="31"/>
        <v>0</v>
      </c>
      <c r="BE95" s="162">
        <f t="shared" ca="1" si="31"/>
        <v>0</v>
      </c>
      <c r="BF95" s="162">
        <f t="shared" ca="1" si="31"/>
        <v>0</v>
      </c>
      <c r="BG95" s="162">
        <f t="shared" ca="1" si="31"/>
        <v>0</v>
      </c>
      <c r="BH95" s="162">
        <f t="shared" ca="1" si="31"/>
        <v>0</v>
      </c>
      <c r="BI95" s="162">
        <f t="shared" ca="1" si="31"/>
        <v>0</v>
      </c>
      <c r="BJ95" s="162">
        <f t="shared" ca="1" si="31"/>
        <v>0</v>
      </c>
      <c r="BK95" s="162">
        <f t="shared" ca="1" si="31"/>
        <v>0</v>
      </c>
      <c r="BL95" s="162">
        <f t="shared" ca="1" si="31"/>
        <v>0</v>
      </c>
    </row>
    <row r="96" spans="1:64" x14ac:dyDescent="0.35">
      <c r="A96" s="1"/>
      <c r="C96" s="10" t="s">
        <v>495</v>
      </c>
      <c r="D96" s="46"/>
      <c r="E96" s="162">
        <f>MAX(-E94,0)</f>
        <v>20.303252022171037</v>
      </c>
      <c r="F96" s="162">
        <f t="shared" ref="F96:BL96" ca="1" si="32">MAX(-F94,0)</f>
        <v>15.73292215252421</v>
      </c>
      <c r="G96" s="162">
        <f t="shared" ca="1" si="32"/>
        <v>11.013602028003945</v>
      </c>
      <c r="H96" s="162">
        <f t="shared" ca="1" si="32"/>
        <v>6.1410459179427477</v>
      </c>
      <c r="I96" s="162">
        <f t="shared" ca="1" si="32"/>
        <v>1.1108940889991317</v>
      </c>
      <c r="J96" s="162">
        <f t="shared" ca="1" si="32"/>
        <v>0</v>
      </c>
      <c r="K96" s="162">
        <f t="shared" ca="1" si="32"/>
        <v>0</v>
      </c>
      <c r="L96" s="162">
        <f t="shared" ca="1" si="32"/>
        <v>0</v>
      </c>
      <c r="M96" s="162">
        <f t="shared" ca="1" si="32"/>
        <v>0</v>
      </c>
      <c r="N96" s="162">
        <f t="shared" ca="1" si="32"/>
        <v>0</v>
      </c>
      <c r="O96" s="162">
        <f t="shared" ca="1" si="32"/>
        <v>0</v>
      </c>
      <c r="P96" s="162">
        <f t="shared" ca="1" si="32"/>
        <v>0</v>
      </c>
      <c r="Q96" s="162">
        <f t="shared" ca="1" si="32"/>
        <v>0</v>
      </c>
      <c r="R96" s="162">
        <f t="shared" ca="1" si="32"/>
        <v>0</v>
      </c>
      <c r="S96" s="162">
        <f t="shared" ca="1" si="32"/>
        <v>0</v>
      </c>
      <c r="T96" s="162">
        <f t="shared" ca="1" si="32"/>
        <v>0</v>
      </c>
      <c r="U96" s="162">
        <f t="shared" ca="1" si="32"/>
        <v>0</v>
      </c>
      <c r="V96" s="162">
        <f t="shared" ca="1" si="32"/>
        <v>0</v>
      </c>
      <c r="W96" s="162">
        <f t="shared" ca="1" si="32"/>
        <v>0</v>
      </c>
      <c r="X96" s="162">
        <f t="shared" ca="1" si="32"/>
        <v>0</v>
      </c>
      <c r="Y96" s="162">
        <f t="shared" ca="1" si="32"/>
        <v>0</v>
      </c>
      <c r="Z96" s="162">
        <f t="shared" ca="1" si="32"/>
        <v>0</v>
      </c>
      <c r="AA96" s="162">
        <f t="shared" ca="1" si="32"/>
        <v>0</v>
      </c>
      <c r="AB96" s="162">
        <f t="shared" ca="1" si="32"/>
        <v>0</v>
      </c>
      <c r="AC96" s="162">
        <f t="shared" ca="1" si="32"/>
        <v>0</v>
      </c>
      <c r="AD96" s="162">
        <f t="shared" ca="1" si="32"/>
        <v>0</v>
      </c>
      <c r="AE96" s="162">
        <f t="shared" ca="1" si="32"/>
        <v>0</v>
      </c>
      <c r="AF96" s="162">
        <f t="shared" ca="1" si="32"/>
        <v>0</v>
      </c>
      <c r="AG96" s="162">
        <f t="shared" ca="1" si="32"/>
        <v>0</v>
      </c>
      <c r="AH96" s="162">
        <f t="shared" ca="1" si="32"/>
        <v>0</v>
      </c>
      <c r="AI96" s="162">
        <f t="shared" ca="1" si="32"/>
        <v>0</v>
      </c>
      <c r="AJ96" s="162">
        <f t="shared" ca="1" si="32"/>
        <v>0</v>
      </c>
      <c r="AK96" s="162">
        <f t="shared" ca="1" si="32"/>
        <v>0</v>
      </c>
      <c r="AL96" s="162">
        <f t="shared" ca="1" si="32"/>
        <v>0</v>
      </c>
      <c r="AM96" s="162">
        <f t="shared" ca="1" si="32"/>
        <v>0</v>
      </c>
      <c r="AN96" s="162">
        <f t="shared" ca="1" si="32"/>
        <v>0</v>
      </c>
      <c r="AO96" s="162">
        <f t="shared" ca="1" si="32"/>
        <v>0</v>
      </c>
      <c r="AP96" s="162">
        <f t="shared" ca="1" si="32"/>
        <v>0</v>
      </c>
      <c r="AQ96" s="162">
        <f t="shared" ca="1" si="32"/>
        <v>0</v>
      </c>
      <c r="AR96" s="162">
        <f t="shared" ca="1" si="32"/>
        <v>0</v>
      </c>
      <c r="AS96" s="162">
        <f t="shared" ca="1" si="32"/>
        <v>0</v>
      </c>
      <c r="AT96" s="162">
        <f t="shared" ca="1" si="32"/>
        <v>0</v>
      </c>
      <c r="AU96" s="162">
        <f t="shared" ca="1" si="32"/>
        <v>0</v>
      </c>
      <c r="AV96" s="162">
        <f t="shared" ca="1" si="32"/>
        <v>0</v>
      </c>
      <c r="AW96" s="162">
        <f t="shared" ca="1" si="32"/>
        <v>0</v>
      </c>
      <c r="AX96" s="162">
        <f t="shared" ca="1" si="32"/>
        <v>0</v>
      </c>
      <c r="AY96" s="162">
        <f t="shared" ca="1" si="32"/>
        <v>0</v>
      </c>
      <c r="AZ96" s="162">
        <f t="shared" ca="1" si="32"/>
        <v>0</v>
      </c>
      <c r="BA96" s="162">
        <f t="shared" ca="1" si="32"/>
        <v>0</v>
      </c>
      <c r="BB96" s="162">
        <f t="shared" ca="1" si="32"/>
        <v>0</v>
      </c>
      <c r="BC96" s="162">
        <f t="shared" ca="1" si="32"/>
        <v>0</v>
      </c>
      <c r="BD96" s="162">
        <f t="shared" ca="1" si="32"/>
        <v>0</v>
      </c>
      <c r="BE96" s="162">
        <f t="shared" ca="1" si="32"/>
        <v>0</v>
      </c>
      <c r="BF96" s="162">
        <f t="shared" ca="1" si="32"/>
        <v>0</v>
      </c>
      <c r="BG96" s="162">
        <f t="shared" ca="1" si="32"/>
        <v>0</v>
      </c>
      <c r="BH96" s="162">
        <f t="shared" ca="1" si="32"/>
        <v>0</v>
      </c>
      <c r="BI96" s="162">
        <f t="shared" ca="1" si="32"/>
        <v>0</v>
      </c>
      <c r="BJ96" s="162">
        <f t="shared" ca="1" si="32"/>
        <v>0</v>
      </c>
      <c r="BK96" s="162">
        <f t="shared" ca="1" si="32"/>
        <v>0</v>
      </c>
      <c r="BL96" s="162">
        <f t="shared" ca="1" si="32"/>
        <v>0</v>
      </c>
    </row>
    <row r="97" spans="1:64" x14ac:dyDescent="0.35">
      <c r="A97" s="1"/>
      <c r="C97" s="10" t="s">
        <v>496</v>
      </c>
      <c r="D97" s="46"/>
      <c r="E97" s="162">
        <f>MIN(MAX(E94,0),E95)</f>
        <v>0</v>
      </c>
      <c r="F97" s="162">
        <f t="shared" ref="F97:BL97" ca="1" si="33">MIN(MAX(F94,0),F95)</f>
        <v>0</v>
      </c>
      <c r="G97" s="162">
        <f t="shared" ca="1" si="33"/>
        <v>0</v>
      </c>
      <c r="H97" s="162">
        <f t="shared" ca="1" si="33"/>
        <v>0</v>
      </c>
      <c r="I97" s="162">
        <f t="shared" ca="1" si="33"/>
        <v>0</v>
      </c>
      <c r="J97" s="162">
        <f t="shared" ca="1" si="33"/>
        <v>4.0813300473908214</v>
      </c>
      <c r="K97" s="162">
        <f t="shared" ca="1" si="33"/>
        <v>9.4402231020328742</v>
      </c>
      <c r="L97" s="162">
        <f t="shared" ca="1" si="33"/>
        <v>14.970504774159835</v>
      </c>
      <c r="M97" s="162">
        <f t="shared" ca="1" si="33"/>
        <v>11.435662682132971</v>
      </c>
      <c r="N97" s="162">
        <f t="shared" ca="1" si="33"/>
        <v>14.37399560392457</v>
      </c>
      <c r="O97" s="162">
        <f t="shared" ca="1" si="33"/>
        <v>0</v>
      </c>
      <c r="P97" s="162">
        <f t="shared" ca="1" si="33"/>
        <v>0</v>
      </c>
      <c r="Q97" s="162">
        <f t="shared" ca="1" si="33"/>
        <v>0</v>
      </c>
      <c r="R97" s="162">
        <f t="shared" ca="1" si="33"/>
        <v>0</v>
      </c>
      <c r="S97" s="162">
        <f t="shared" ca="1" si="33"/>
        <v>0</v>
      </c>
      <c r="T97" s="162">
        <f t="shared" ca="1" si="33"/>
        <v>0</v>
      </c>
      <c r="U97" s="162">
        <f t="shared" ca="1" si="33"/>
        <v>0</v>
      </c>
      <c r="V97" s="162">
        <f t="shared" ca="1" si="33"/>
        <v>0</v>
      </c>
      <c r="W97" s="162">
        <f t="shared" ca="1" si="33"/>
        <v>0</v>
      </c>
      <c r="X97" s="162">
        <f t="shared" ca="1" si="33"/>
        <v>0</v>
      </c>
      <c r="Y97" s="162">
        <f t="shared" ca="1" si="33"/>
        <v>0</v>
      </c>
      <c r="Z97" s="162">
        <f t="shared" ca="1" si="33"/>
        <v>0</v>
      </c>
      <c r="AA97" s="162">
        <f t="shared" ca="1" si="33"/>
        <v>0</v>
      </c>
      <c r="AB97" s="162">
        <f t="shared" ca="1" si="33"/>
        <v>0</v>
      </c>
      <c r="AC97" s="162">
        <f t="shared" ca="1" si="33"/>
        <v>0</v>
      </c>
      <c r="AD97" s="162">
        <f t="shared" ca="1" si="33"/>
        <v>0</v>
      </c>
      <c r="AE97" s="162">
        <f t="shared" ca="1" si="33"/>
        <v>0</v>
      </c>
      <c r="AF97" s="162">
        <f t="shared" ca="1" si="33"/>
        <v>0</v>
      </c>
      <c r="AG97" s="162">
        <f t="shared" ca="1" si="33"/>
        <v>0</v>
      </c>
      <c r="AH97" s="162">
        <f t="shared" ca="1" si="33"/>
        <v>0</v>
      </c>
      <c r="AI97" s="162">
        <f t="shared" ca="1" si="33"/>
        <v>0</v>
      </c>
      <c r="AJ97" s="162">
        <f t="shared" ca="1" si="33"/>
        <v>0</v>
      </c>
      <c r="AK97" s="162">
        <f t="shared" ca="1" si="33"/>
        <v>0</v>
      </c>
      <c r="AL97" s="162">
        <f t="shared" ca="1" si="33"/>
        <v>0</v>
      </c>
      <c r="AM97" s="162">
        <f t="shared" ca="1" si="33"/>
        <v>0</v>
      </c>
      <c r="AN97" s="162">
        <f t="shared" ca="1" si="33"/>
        <v>0</v>
      </c>
      <c r="AO97" s="162">
        <f t="shared" ca="1" si="33"/>
        <v>0</v>
      </c>
      <c r="AP97" s="162">
        <f t="shared" ca="1" si="33"/>
        <v>0</v>
      </c>
      <c r="AQ97" s="162">
        <f t="shared" ca="1" si="33"/>
        <v>0</v>
      </c>
      <c r="AR97" s="162">
        <f t="shared" ca="1" si="33"/>
        <v>0</v>
      </c>
      <c r="AS97" s="162">
        <f t="shared" ca="1" si="33"/>
        <v>0</v>
      </c>
      <c r="AT97" s="162">
        <f t="shared" ca="1" si="33"/>
        <v>0</v>
      </c>
      <c r="AU97" s="162">
        <f t="shared" ca="1" si="33"/>
        <v>0</v>
      </c>
      <c r="AV97" s="162">
        <f t="shared" ca="1" si="33"/>
        <v>0</v>
      </c>
      <c r="AW97" s="162">
        <f t="shared" ca="1" si="33"/>
        <v>0</v>
      </c>
      <c r="AX97" s="162">
        <f t="shared" ca="1" si="33"/>
        <v>0</v>
      </c>
      <c r="AY97" s="162">
        <f t="shared" ca="1" si="33"/>
        <v>0</v>
      </c>
      <c r="AZ97" s="162">
        <f t="shared" ca="1" si="33"/>
        <v>0</v>
      </c>
      <c r="BA97" s="162">
        <f t="shared" ca="1" si="33"/>
        <v>0</v>
      </c>
      <c r="BB97" s="162">
        <f t="shared" ca="1" si="33"/>
        <v>0</v>
      </c>
      <c r="BC97" s="162">
        <f t="shared" ca="1" si="33"/>
        <v>0</v>
      </c>
      <c r="BD97" s="162">
        <f t="shared" ca="1" si="33"/>
        <v>0</v>
      </c>
      <c r="BE97" s="162">
        <f t="shared" ca="1" si="33"/>
        <v>0</v>
      </c>
      <c r="BF97" s="162">
        <f t="shared" ca="1" si="33"/>
        <v>0</v>
      </c>
      <c r="BG97" s="162">
        <f t="shared" ca="1" si="33"/>
        <v>0</v>
      </c>
      <c r="BH97" s="162">
        <f t="shared" ca="1" si="33"/>
        <v>0</v>
      </c>
      <c r="BI97" s="162">
        <f t="shared" ca="1" si="33"/>
        <v>0</v>
      </c>
      <c r="BJ97" s="162">
        <f t="shared" ca="1" si="33"/>
        <v>0</v>
      </c>
      <c r="BK97" s="162">
        <f t="shared" ca="1" si="33"/>
        <v>0</v>
      </c>
      <c r="BL97" s="162">
        <f t="shared" ca="1" si="33"/>
        <v>0</v>
      </c>
    </row>
    <row r="98" spans="1:64" x14ac:dyDescent="0.35">
      <c r="A98" s="1"/>
      <c r="C98" s="10" t="s">
        <v>497</v>
      </c>
      <c r="D98" s="46"/>
      <c r="E98" s="162">
        <f>E95+E96-E97</f>
        <v>20.303252022171037</v>
      </c>
      <c r="F98" s="162">
        <f t="shared" ref="F98:BL98" ca="1" si="34">F95+F96-F97</f>
        <v>36.036174174695248</v>
      </c>
      <c r="G98" s="162">
        <f t="shared" ca="1" si="34"/>
        <v>47.049776202699192</v>
      </c>
      <c r="H98" s="162">
        <f t="shared" ca="1" si="34"/>
        <v>53.19082212064194</v>
      </c>
      <c r="I98" s="162">
        <f t="shared" ca="1" si="34"/>
        <v>54.301716209641071</v>
      </c>
      <c r="J98" s="162">
        <f t="shared" ca="1" si="34"/>
        <v>50.22038616225025</v>
      </c>
      <c r="K98" s="162">
        <f t="shared" ca="1" si="34"/>
        <v>40.780163060217376</v>
      </c>
      <c r="L98" s="162">
        <f t="shared" ca="1" si="34"/>
        <v>25.809658286057541</v>
      </c>
      <c r="M98" s="162">
        <f t="shared" ca="1" si="34"/>
        <v>14.37399560392457</v>
      </c>
      <c r="N98" s="162">
        <f t="shared" ca="1" si="34"/>
        <v>0</v>
      </c>
      <c r="O98" s="162">
        <f t="shared" ca="1" si="34"/>
        <v>0</v>
      </c>
      <c r="P98" s="162">
        <f t="shared" ca="1" si="34"/>
        <v>0</v>
      </c>
      <c r="Q98" s="162">
        <f t="shared" ca="1" si="34"/>
        <v>0</v>
      </c>
      <c r="R98" s="162">
        <f t="shared" ca="1" si="34"/>
        <v>0</v>
      </c>
      <c r="S98" s="162">
        <f t="shared" ca="1" si="34"/>
        <v>0</v>
      </c>
      <c r="T98" s="162">
        <f t="shared" ca="1" si="34"/>
        <v>0</v>
      </c>
      <c r="U98" s="162">
        <f t="shared" ca="1" si="34"/>
        <v>0</v>
      </c>
      <c r="V98" s="162">
        <f t="shared" ca="1" si="34"/>
        <v>0</v>
      </c>
      <c r="W98" s="162">
        <f t="shared" ca="1" si="34"/>
        <v>0</v>
      </c>
      <c r="X98" s="162">
        <f t="shared" ca="1" si="34"/>
        <v>0</v>
      </c>
      <c r="Y98" s="162">
        <f t="shared" ca="1" si="34"/>
        <v>0</v>
      </c>
      <c r="Z98" s="162">
        <f t="shared" ca="1" si="34"/>
        <v>0</v>
      </c>
      <c r="AA98" s="162">
        <f t="shared" ca="1" si="34"/>
        <v>0</v>
      </c>
      <c r="AB98" s="162">
        <f t="shared" ca="1" si="34"/>
        <v>0</v>
      </c>
      <c r="AC98" s="162">
        <f t="shared" ca="1" si="34"/>
        <v>0</v>
      </c>
      <c r="AD98" s="162">
        <f t="shared" ca="1" si="34"/>
        <v>0</v>
      </c>
      <c r="AE98" s="162">
        <f t="shared" ca="1" si="34"/>
        <v>0</v>
      </c>
      <c r="AF98" s="162">
        <f t="shared" ca="1" si="34"/>
        <v>0</v>
      </c>
      <c r="AG98" s="162">
        <f t="shared" ca="1" si="34"/>
        <v>0</v>
      </c>
      <c r="AH98" s="162">
        <f t="shared" ca="1" si="34"/>
        <v>0</v>
      </c>
      <c r="AI98" s="162">
        <f t="shared" ca="1" si="34"/>
        <v>0</v>
      </c>
      <c r="AJ98" s="162">
        <f t="shared" ca="1" si="34"/>
        <v>0</v>
      </c>
      <c r="AK98" s="162">
        <f t="shared" ca="1" si="34"/>
        <v>0</v>
      </c>
      <c r="AL98" s="162">
        <f t="shared" ca="1" si="34"/>
        <v>0</v>
      </c>
      <c r="AM98" s="162">
        <f t="shared" ca="1" si="34"/>
        <v>0</v>
      </c>
      <c r="AN98" s="162">
        <f t="shared" ca="1" si="34"/>
        <v>0</v>
      </c>
      <c r="AO98" s="162">
        <f t="shared" ca="1" si="34"/>
        <v>0</v>
      </c>
      <c r="AP98" s="162">
        <f t="shared" ca="1" si="34"/>
        <v>0</v>
      </c>
      <c r="AQ98" s="162">
        <f t="shared" ca="1" si="34"/>
        <v>0</v>
      </c>
      <c r="AR98" s="162">
        <f t="shared" ca="1" si="34"/>
        <v>0</v>
      </c>
      <c r="AS98" s="162">
        <f t="shared" ca="1" si="34"/>
        <v>0</v>
      </c>
      <c r="AT98" s="162">
        <f t="shared" ca="1" si="34"/>
        <v>0</v>
      </c>
      <c r="AU98" s="162">
        <f t="shared" ca="1" si="34"/>
        <v>0</v>
      </c>
      <c r="AV98" s="162">
        <f t="shared" ca="1" si="34"/>
        <v>0</v>
      </c>
      <c r="AW98" s="162">
        <f t="shared" ca="1" si="34"/>
        <v>0</v>
      </c>
      <c r="AX98" s="162">
        <f t="shared" ca="1" si="34"/>
        <v>0</v>
      </c>
      <c r="AY98" s="162">
        <f t="shared" ca="1" si="34"/>
        <v>0</v>
      </c>
      <c r="AZ98" s="162">
        <f t="shared" ca="1" si="34"/>
        <v>0</v>
      </c>
      <c r="BA98" s="162">
        <f t="shared" ca="1" si="34"/>
        <v>0</v>
      </c>
      <c r="BB98" s="162">
        <f t="shared" ca="1" si="34"/>
        <v>0</v>
      </c>
      <c r="BC98" s="162">
        <f t="shared" ca="1" si="34"/>
        <v>0</v>
      </c>
      <c r="BD98" s="162">
        <f t="shared" ca="1" si="34"/>
        <v>0</v>
      </c>
      <c r="BE98" s="162">
        <f t="shared" ca="1" si="34"/>
        <v>0</v>
      </c>
      <c r="BF98" s="162">
        <f t="shared" ca="1" si="34"/>
        <v>0</v>
      </c>
      <c r="BG98" s="162">
        <f t="shared" ca="1" si="34"/>
        <v>0</v>
      </c>
      <c r="BH98" s="162">
        <f t="shared" ca="1" si="34"/>
        <v>0</v>
      </c>
      <c r="BI98" s="162">
        <f t="shared" ca="1" si="34"/>
        <v>0</v>
      </c>
      <c r="BJ98" s="162">
        <f t="shared" ca="1" si="34"/>
        <v>0</v>
      </c>
      <c r="BK98" s="162">
        <f t="shared" ca="1" si="34"/>
        <v>0</v>
      </c>
      <c r="BL98" s="162">
        <f t="shared" ca="1" si="34"/>
        <v>0</v>
      </c>
    </row>
    <row r="99" spans="1:64" x14ac:dyDescent="0.35">
      <c r="A99" s="1"/>
      <c r="C99" s="10" t="s">
        <v>498</v>
      </c>
      <c r="D99" s="46"/>
      <c r="E99" s="162">
        <f>E96-E97</f>
        <v>20.303252022171037</v>
      </c>
      <c r="F99" s="162">
        <f t="shared" ref="F99:BL99" ca="1" si="35">F96-F97</f>
        <v>15.73292215252421</v>
      </c>
      <c r="G99" s="162">
        <f t="shared" ca="1" si="35"/>
        <v>11.013602028003945</v>
      </c>
      <c r="H99" s="162">
        <f t="shared" ca="1" si="35"/>
        <v>6.1410459179427477</v>
      </c>
      <c r="I99" s="162">
        <f t="shared" ca="1" si="35"/>
        <v>1.1108940889991317</v>
      </c>
      <c r="J99" s="162">
        <f t="shared" ca="1" si="35"/>
        <v>-4.0813300473908214</v>
      </c>
      <c r="K99" s="162">
        <f t="shared" ca="1" si="35"/>
        <v>-9.4402231020328742</v>
      </c>
      <c r="L99" s="162">
        <f t="shared" ca="1" si="35"/>
        <v>-14.970504774159835</v>
      </c>
      <c r="M99" s="162">
        <f t="shared" ca="1" si="35"/>
        <v>-11.435662682132971</v>
      </c>
      <c r="N99" s="162">
        <f t="shared" ca="1" si="35"/>
        <v>-14.37399560392457</v>
      </c>
      <c r="O99" s="162">
        <f t="shared" ca="1" si="35"/>
        <v>0</v>
      </c>
      <c r="P99" s="162">
        <f t="shared" ca="1" si="35"/>
        <v>0</v>
      </c>
      <c r="Q99" s="162">
        <f t="shared" ca="1" si="35"/>
        <v>0</v>
      </c>
      <c r="R99" s="162">
        <f t="shared" ca="1" si="35"/>
        <v>0</v>
      </c>
      <c r="S99" s="162">
        <f t="shared" ca="1" si="35"/>
        <v>0</v>
      </c>
      <c r="T99" s="162">
        <f t="shared" ca="1" si="35"/>
        <v>0</v>
      </c>
      <c r="U99" s="162">
        <f t="shared" ca="1" si="35"/>
        <v>0</v>
      </c>
      <c r="V99" s="162">
        <f t="shared" ca="1" si="35"/>
        <v>0</v>
      </c>
      <c r="W99" s="162">
        <f t="shared" ca="1" si="35"/>
        <v>0</v>
      </c>
      <c r="X99" s="162">
        <f t="shared" ca="1" si="35"/>
        <v>0</v>
      </c>
      <c r="Y99" s="162">
        <f t="shared" ca="1" si="35"/>
        <v>0</v>
      </c>
      <c r="Z99" s="162">
        <f t="shared" ca="1" si="35"/>
        <v>0</v>
      </c>
      <c r="AA99" s="162">
        <f t="shared" ca="1" si="35"/>
        <v>0</v>
      </c>
      <c r="AB99" s="162">
        <f t="shared" ca="1" si="35"/>
        <v>0</v>
      </c>
      <c r="AC99" s="162">
        <f t="shared" ca="1" si="35"/>
        <v>0</v>
      </c>
      <c r="AD99" s="162">
        <f t="shared" ca="1" si="35"/>
        <v>0</v>
      </c>
      <c r="AE99" s="162">
        <f t="shared" ca="1" si="35"/>
        <v>0</v>
      </c>
      <c r="AF99" s="162">
        <f t="shared" ca="1" si="35"/>
        <v>0</v>
      </c>
      <c r="AG99" s="162">
        <f t="shared" ca="1" si="35"/>
        <v>0</v>
      </c>
      <c r="AH99" s="162">
        <f t="shared" ca="1" si="35"/>
        <v>0</v>
      </c>
      <c r="AI99" s="162">
        <f t="shared" ca="1" si="35"/>
        <v>0</v>
      </c>
      <c r="AJ99" s="162">
        <f t="shared" ca="1" si="35"/>
        <v>0</v>
      </c>
      <c r="AK99" s="162">
        <f t="shared" ca="1" si="35"/>
        <v>0</v>
      </c>
      <c r="AL99" s="162">
        <f t="shared" ca="1" si="35"/>
        <v>0</v>
      </c>
      <c r="AM99" s="162">
        <f t="shared" ca="1" si="35"/>
        <v>0</v>
      </c>
      <c r="AN99" s="162">
        <f t="shared" ca="1" si="35"/>
        <v>0</v>
      </c>
      <c r="AO99" s="162">
        <f t="shared" ca="1" si="35"/>
        <v>0</v>
      </c>
      <c r="AP99" s="162">
        <f t="shared" ca="1" si="35"/>
        <v>0</v>
      </c>
      <c r="AQ99" s="162">
        <f t="shared" ca="1" si="35"/>
        <v>0</v>
      </c>
      <c r="AR99" s="162">
        <f t="shared" ca="1" si="35"/>
        <v>0</v>
      </c>
      <c r="AS99" s="162">
        <f t="shared" ca="1" si="35"/>
        <v>0</v>
      </c>
      <c r="AT99" s="162">
        <f t="shared" ca="1" si="35"/>
        <v>0</v>
      </c>
      <c r="AU99" s="162">
        <f t="shared" ca="1" si="35"/>
        <v>0</v>
      </c>
      <c r="AV99" s="162">
        <f t="shared" ca="1" si="35"/>
        <v>0</v>
      </c>
      <c r="AW99" s="162">
        <f t="shared" ca="1" si="35"/>
        <v>0</v>
      </c>
      <c r="AX99" s="162">
        <f t="shared" ca="1" si="35"/>
        <v>0</v>
      </c>
      <c r="AY99" s="162">
        <f t="shared" ca="1" si="35"/>
        <v>0</v>
      </c>
      <c r="AZ99" s="162">
        <f t="shared" ca="1" si="35"/>
        <v>0</v>
      </c>
      <c r="BA99" s="162">
        <f t="shared" ca="1" si="35"/>
        <v>0</v>
      </c>
      <c r="BB99" s="162">
        <f t="shared" ca="1" si="35"/>
        <v>0</v>
      </c>
      <c r="BC99" s="162">
        <f t="shared" ca="1" si="35"/>
        <v>0</v>
      </c>
      <c r="BD99" s="162">
        <f t="shared" ca="1" si="35"/>
        <v>0</v>
      </c>
      <c r="BE99" s="162">
        <f t="shared" ca="1" si="35"/>
        <v>0</v>
      </c>
      <c r="BF99" s="162">
        <f t="shared" ca="1" si="35"/>
        <v>0</v>
      </c>
      <c r="BG99" s="162">
        <f t="shared" ca="1" si="35"/>
        <v>0</v>
      </c>
      <c r="BH99" s="162">
        <f t="shared" ca="1" si="35"/>
        <v>0</v>
      </c>
      <c r="BI99" s="162">
        <f t="shared" ca="1" si="35"/>
        <v>0</v>
      </c>
      <c r="BJ99" s="162">
        <f t="shared" ca="1" si="35"/>
        <v>0</v>
      </c>
      <c r="BK99" s="162">
        <f t="shared" ca="1" si="35"/>
        <v>0</v>
      </c>
      <c r="BL99" s="162">
        <f t="shared" ca="1" si="35"/>
        <v>0</v>
      </c>
    </row>
    <row r="100" spans="1:64" x14ac:dyDescent="0.35">
      <c r="A100" s="1"/>
      <c r="C100" s="10" t="s">
        <v>499</v>
      </c>
      <c r="D100" s="46"/>
      <c r="E100" s="46">
        <f>E94+E99</f>
        <v>0</v>
      </c>
      <c r="F100" s="46">
        <f t="shared" ref="F100:BL100" ca="1" si="36">F94+F99</f>
        <v>0</v>
      </c>
      <c r="G100" s="46">
        <f t="shared" ca="1" si="36"/>
        <v>0</v>
      </c>
      <c r="H100" s="46">
        <f t="shared" ca="1" si="36"/>
        <v>0</v>
      </c>
      <c r="I100" s="46">
        <f t="shared" ca="1" si="36"/>
        <v>0</v>
      </c>
      <c r="J100" s="46">
        <f t="shared" ca="1" si="36"/>
        <v>0</v>
      </c>
      <c r="K100" s="46">
        <f t="shared" ca="1" si="36"/>
        <v>0</v>
      </c>
      <c r="L100" s="46">
        <f t="shared" ca="1" si="36"/>
        <v>0</v>
      </c>
      <c r="M100" s="46">
        <f t="shared" ca="1" si="36"/>
        <v>0</v>
      </c>
      <c r="N100" s="46">
        <f t="shared" ca="1" si="36"/>
        <v>3.0067452052350063</v>
      </c>
      <c r="O100" s="46">
        <f t="shared" ca="1" si="36"/>
        <v>21.59750058829546</v>
      </c>
      <c r="P100" s="46">
        <f t="shared" ca="1" si="36"/>
        <v>25.838053444895863</v>
      </c>
      <c r="Q100" s="46">
        <f t="shared" ca="1" si="36"/>
        <v>30.166671039132879</v>
      </c>
      <c r="R100" s="46">
        <f t="shared" ca="1" si="36"/>
        <v>34.585008246445838</v>
      </c>
      <c r="S100" s="46">
        <f t="shared" ca="1" si="36"/>
        <v>39.094749454034329</v>
      </c>
      <c r="T100" s="46">
        <f t="shared" ca="1" si="36"/>
        <v>43.697609097792267</v>
      </c>
      <c r="U100" s="46">
        <f t="shared" ca="1" si="36"/>
        <v>48.395329458656406</v>
      </c>
      <c r="V100" s="46">
        <f t="shared" ca="1" si="36"/>
        <v>53.185733275188781</v>
      </c>
      <c r="W100" s="46">
        <f t="shared" ca="1" si="36"/>
        <v>50.900393426302244</v>
      </c>
      <c r="X100" s="46">
        <f t="shared" ca="1" si="36"/>
        <v>56.025443550345685</v>
      </c>
      <c r="Y100" s="46">
        <f t="shared" ca="1" si="36"/>
        <v>61.262265074070214</v>
      </c>
      <c r="Z100" s="46">
        <f t="shared" ca="1" si="36"/>
        <v>66.61307938917939</v>
      </c>
      <c r="AA100" s="46">
        <f t="shared" ca="1" si="36"/>
        <v>72.080149613320302</v>
      </c>
      <c r="AB100" s="46">
        <f t="shared" ca="1" si="36"/>
        <v>77.665781260164962</v>
      </c>
      <c r="AC100" s="46">
        <f t="shared" ca="1" si="36"/>
        <v>83.372323449416101</v>
      </c>
      <c r="AD100" s="46">
        <f t="shared" ca="1" si="36"/>
        <v>89.202169450831818</v>
      </c>
      <c r="AE100" s="46">
        <f t="shared" ca="1" si="36"/>
        <v>95.157757248898733</v>
      </c>
      <c r="AF100" s="46">
        <f t="shared" ca="1" si="36"/>
        <v>101.24157086028534</v>
      </c>
      <c r="AG100" s="46">
        <f t="shared" ca="1" si="36"/>
        <v>107.45614066846592</v>
      </c>
      <c r="AH100" s="46">
        <f t="shared" ca="1" si="36"/>
        <v>113.80404457073756</v>
      </c>
      <c r="AI100" s="46">
        <f t="shared" ca="1" si="36"/>
        <v>120.28790894223296</v>
      </c>
      <c r="AJ100" s="46">
        <f t="shared" ca="1" si="36"/>
        <v>126.91040890670102</v>
      </c>
      <c r="AK100" s="46">
        <f t="shared" ca="1" si="36"/>
        <v>133.67426989770348</v>
      </c>
      <c r="AL100" s="46">
        <f t="shared" ca="1" si="36"/>
        <v>140.58226844183207</v>
      </c>
      <c r="AM100" s="46">
        <f t="shared" ca="1" si="36"/>
        <v>147.6372328427662</v>
      </c>
      <c r="AN100" s="46">
        <f t="shared" ca="1" si="36"/>
        <v>154.84204406804076</v>
      </c>
      <c r="AO100" s="46">
        <f t="shared" ca="1" si="36"/>
        <v>162.19963700925632</v>
      </c>
      <c r="AP100" s="46">
        <f t="shared" ca="1" si="36"/>
        <v>169.7130015812474</v>
      </c>
      <c r="AQ100" s="46">
        <f t="shared" ca="1" si="36"/>
        <v>177.3854324057238</v>
      </c>
      <c r="AR100" s="46">
        <f t="shared" ca="1" si="36"/>
        <v>185.67256374402075</v>
      </c>
      <c r="AS100" s="46">
        <f t="shared" ca="1" si="36"/>
        <v>194.13548001187695</v>
      </c>
      <c r="AT100" s="46">
        <f t="shared" ca="1" si="36"/>
        <v>198.70497833406705</v>
      </c>
      <c r="AU100" s="46">
        <f t="shared" ca="1" si="36"/>
        <v>203.34301913321775</v>
      </c>
      <c r="AV100" s="46">
        <f t="shared" ca="1" si="36"/>
        <v>208.05063054652601</v>
      </c>
      <c r="AW100" s="46">
        <f t="shared" ca="1" si="36"/>
        <v>212.8288561332476</v>
      </c>
      <c r="AX100" s="46">
        <f t="shared" ca="1" si="36"/>
        <v>217.67875510602795</v>
      </c>
      <c r="AY100" s="46">
        <f t="shared" ca="1" si="36"/>
        <v>222.60140256570315</v>
      </c>
      <c r="AZ100" s="46">
        <f t="shared" ca="1" si="36"/>
        <v>227.59788973962264</v>
      </c>
      <c r="BA100" s="46">
        <f t="shared" ca="1" si="36"/>
        <v>232.66932422354716</v>
      </c>
      <c r="BB100" s="46">
        <f t="shared" ca="1" si="36"/>
        <v>237.81683022717465</v>
      </c>
      <c r="BC100" s="46">
        <f t="shared" ca="1" si="36"/>
        <v>243.0415488233495</v>
      </c>
      <c r="BD100" s="46">
        <f t="shared" ca="1" si="36"/>
        <v>248.34463820100979</v>
      </c>
      <c r="BE100" s="46">
        <f t="shared" ca="1" si="36"/>
        <v>253.72727392192877</v>
      </c>
      <c r="BF100" s="46">
        <f t="shared" ca="1" si="36"/>
        <v>259.19064918130704</v>
      </c>
      <c r="BG100" s="46">
        <f t="shared" ca="1" si="36"/>
        <v>264.73597507227447</v>
      </c>
      <c r="BH100" s="46">
        <f t="shared" ca="1" si="36"/>
        <v>270.36448085435893</v>
      </c>
      <c r="BI100" s="46">
        <f t="shared" ca="1" si="36"/>
        <v>276.07741422598212</v>
      </c>
      <c r="BJ100" s="46">
        <f t="shared" ca="1" si="36"/>
        <v>281.87604160104331</v>
      </c>
      <c r="BK100" s="46">
        <f t="shared" ca="1" si="36"/>
        <v>287.76164838965133</v>
      </c>
      <c r="BL100" s="46">
        <f t="shared" ca="1" si="36"/>
        <v>293.73553928306791</v>
      </c>
    </row>
    <row r="101" spans="1:64" x14ac:dyDescent="0.35">
      <c r="A101" s="1"/>
      <c r="C101" s="2" t="s">
        <v>413</v>
      </c>
      <c r="D101" s="12">
        <f>D36</f>
        <v>0.3</v>
      </c>
      <c r="E101" s="4">
        <f>$D$101*E100</f>
        <v>0</v>
      </c>
      <c r="F101" s="4">
        <f t="shared" ref="F101:BL101" ca="1" si="37">$D$101*F100</f>
        <v>0</v>
      </c>
      <c r="G101" s="4">
        <f t="shared" ca="1" si="37"/>
        <v>0</v>
      </c>
      <c r="H101" s="4">
        <f t="shared" ca="1" si="37"/>
        <v>0</v>
      </c>
      <c r="I101" s="4">
        <f t="shared" ca="1" si="37"/>
        <v>0</v>
      </c>
      <c r="J101" s="4">
        <f t="shared" ca="1" si="37"/>
        <v>0</v>
      </c>
      <c r="K101" s="4">
        <f t="shared" ca="1" si="37"/>
        <v>0</v>
      </c>
      <c r="L101" s="4">
        <f t="shared" ca="1" si="37"/>
        <v>0</v>
      </c>
      <c r="M101" s="4">
        <f t="shared" ca="1" si="37"/>
        <v>0</v>
      </c>
      <c r="N101" s="4">
        <f t="shared" ca="1" si="37"/>
        <v>0.9020235615705019</v>
      </c>
      <c r="O101" s="4">
        <f t="shared" ca="1" si="37"/>
        <v>6.4792501764886383</v>
      </c>
      <c r="P101" s="4">
        <f t="shared" ca="1" si="37"/>
        <v>7.7514160334687583</v>
      </c>
      <c r="Q101" s="4">
        <f t="shared" ca="1" si="37"/>
        <v>9.0500013117398641</v>
      </c>
      <c r="R101" s="4">
        <f t="shared" ca="1" si="37"/>
        <v>10.375502473933752</v>
      </c>
      <c r="S101" s="4">
        <f t="shared" ca="1" si="37"/>
        <v>11.728424836210298</v>
      </c>
      <c r="T101" s="4">
        <f t="shared" ca="1" si="37"/>
        <v>13.10928272933768</v>
      </c>
      <c r="U101" s="4">
        <f t="shared" ca="1" si="37"/>
        <v>14.518598837596921</v>
      </c>
      <c r="V101" s="4">
        <f t="shared" ca="1" si="37"/>
        <v>15.955719982556634</v>
      </c>
      <c r="W101" s="4">
        <f t="shared" ca="1" si="37"/>
        <v>15.270118027890673</v>
      </c>
      <c r="X101" s="4">
        <f t="shared" ca="1" si="37"/>
        <v>16.807633065103705</v>
      </c>
      <c r="Y101" s="4">
        <f t="shared" ca="1" si="37"/>
        <v>18.378679522221063</v>
      </c>
      <c r="Z101" s="4">
        <f t="shared" ca="1" si="37"/>
        <v>19.983923816753816</v>
      </c>
      <c r="AA101" s="4">
        <f t="shared" ca="1" si="37"/>
        <v>21.624044883996088</v>
      </c>
      <c r="AB101" s="4">
        <f t="shared" ca="1" si="37"/>
        <v>23.299734378049489</v>
      </c>
      <c r="AC101" s="4">
        <f t="shared" ca="1" si="37"/>
        <v>25.011697034824831</v>
      </c>
      <c r="AD101" s="4">
        <f t="shared" ca="1" si="37"/>
        <v>26.760650835249546</v>
      </c>
      <c r="AE101" s="4">
        <f t="shared" ca="1" si="37"/>
        <v>28.547327174669618</v>
      </c>
      <c r="AF101" s="4">
        <f t="shared" ca="1" si="37"/>
        <v>30.3724712580856</v>
      </c>
      <c r="AG101" s="4">
        <f t="shared" ca="1" si="37"/>
        <v>32.236842200539776</v>
      </c>
      <c r="AH101" s="4">
        <f t="shared" ca="1" si="37"/>
        <v>34.141213371221269</v>
      </c>
      <c r="AI101" s="4">
        <f t="shared" ca="1" si="37"/>
        <v>36.086372682669889</v>
      </c>
      <c r="AJ101" s="4">
        <f t="shared" ca="1" si="37"/>
        <v>38.073122672010307</v>
      </c>
      <c r="AK101" s="4">
        <f t="shared" ca="1" si="37"/>
        <v>40.102280969311046</v>
      </c>
      <c r="AL101" s="4">
        <f t="shared" ca="1" si="37"/>
        <v>42.174680532549623</v>
      </c>
      <c r="AM101" s="4">
        <f t="shared" ca="1" si="37"/>
        <v>44.29116985282986</v>
      </c>
      <c r="AN101" s="4">
        <f t="shared" ca="1" si="37"/>
        <v>46.452613220412225</v>
      </c>
      <c r="AO101" s="4">
        <f t="shared" ca="1" si="37"/>
        <v>48.659891102776896</v>
      </c>
      <c r="AP101" s="4">
        <f t="shared" ca="1" si="37"/>
        <v>50.913900474374216</v>
      </c>
      <c r="AQ101" s="4">
        <f t="shared" ca="1" si="37"/>
        <v>53.215629721717143</v>
      </c>
      <c r="AR101" s="4">
        <f t="shared" ca="1" si="37"/>
        <v>55.701769123206226</v>
      </c>
      <c r="AS101" s="4">
        <f t="shared" ca="1" si="37"/>
        <v>58.240644003563084</v>
      </c>
      <c r="AT101" s="4">
        <f t="shared" ca="1" si="37"/>
        <v>59.611493500220114</v>
      </c>
      <c r="AU101" s="4">
        <f t="shared" ca="1" si="37"/>
        <v>61.002905739965321</v>
      </c>
      <c r="AV101" s="4">
        <f t="shared" ca="1" si="37"/>
        <v>62.415189163957798</v>
      </c>
      <c r="AW101" s="4">
        <f t="shared" ca="1" si="37"/>
        <v>63.848656839974275</v>
      </c>
      <c r="AX101" s="4">
        <f t="shared" ca="1" si="37"/>
        <v>65.303626531808376</v>
      </c>
      <c r="AY101" s="4">
        <f t="shared" ca="1" si="37"/>
        <v>66.780420769710943</v>
      </c>
      <c r="AZ101" s="4">
        <f t="shared" ca="1" si="37"/>
        <v>68.27936692188679</v>
      </c>
      <c r="BA101" s="4">
        <f t="shared" ca="1" si="37"/>
        <v>69.800797267064141</v>
      </c>
      <c r="BB101" s="4">
        <f t="shared" ca="1" si="37"/>
        <v>71.345049068152392</v>
      </c>
      <c r="BC101" s="4">
        <f t="shared" ca="1" si="37"/>
        <v>72.912464647004853</v>
      </c>
      <c r="BD101" s="4">
        <f t="shared" ca="1" si="37"/>
        <v>74.503391460302936</v>
      </c>
      <c r="BE101" s="4">
        <f t="shared" ca="1" si="37"/>
        <v>76.118182176578628</v>
      </c>
      <c r="BF101" s="4">
        <f t="shared" ca="1" si="37"/>
        <v>77.757194754392103</v>
      </c>
      <c r="BG101" s="4">
        <f t="shared" ca="1" si="37"/>
        <v>79.420792521682344</v>
      </c>
      <c r="BH101" s="4">
        <f t="shared" ca="1" si="37"/>
        <v>81.109344256307679</v>
      </c>
      <c r="BI101" s="4">
        <f t="shared" ca="1" si="37"/>
        <v>82.823224267794629</v>
      </c>
      <c r="BJ101" s="4">
        <f t="shared" ca="1" si="37"/>
        <v>84.562812480312985</v>
      </c>
      <c r="BK101" s="4">
        <f t="shared" ca="1" si="37"/>
        <v>86.32849451689539</v>
      </c>
      <c r="BL101" s="4">
        <f t="shared" ca="1" si="37"/>
        <v>88.120661784920372</v>
      </c>
    </row>
    <row r="102" spans="1:64" x14ac:dyDescent="0.35">
      <c r="A102" s="1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/>
      <c r="BF102" s="4"/>
      <c r="BG102" s="4"/>
      <c r="BH102" s="4"/>
      <c r="BI102" s="4"/>
      <c r="BJ102" s="4"/>
      <c r="BK102" s="4"/>
      <c r="BL102" s="4"/>
    </row>
    <row r="103" spans="1:64" x14ac:dyDescent="0.35">
      <c r="A103" s="1"/>
      <c r="B103" s="2" t="s">
        <v>209</v>
      </c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/>
      <c r="BF103" s="4"/>
      <c r="BG103" s="4"/>
      <c r="BH103" s="4"/>
      <c r="BI103" s="4"/>
      <c r="BJ103" s="4"/>
      <c r="BK103" s="4"/>
      <c r="BL103" s="4"/>
    </row>
    <row r="104" spans="1:64" x14ac:dyDescent="0.35">
      <c r="A104" s="1"/>
      <c r="C104" s="2" t="s">
        <v>83</v>
      </c>
      <c r="E104" s="61">
        <f t="array" ref="E104:BL113">total_tax_function(41:41,45:45,D16,D8,D28,53:53,D33,85:85,D12,D18,D36,D25,D26)</f>
        <v>0</v>
      </c>
      <c r="F104" s="61">
        <v>0</v>
      </c>
      <c r="G104" s="61">
        <v>0</v>
      </c>
      <c r="H104" s="61">
        <v>0</v>
      </c>
      <c r="I104" s="61">
        <v>0</v>
      </c>
      <c r="J104" s="61">
        <v>0</v>
      </c>
      <c r="K104" s="61">
        <v>0</v>
      </c>
      <c r="L104" s="61">
        <v>0</v>
      </c>
      <c r="M104" s="61">
        <v>0</v>
      </c>
      <c r="N104" s="61">
        <v>0</v>
      </c>
      <c r="O104" s="61">
        <v>0</v>
      </c>
      <c r="P104" s="61">
        <v>0</v>
      </c>
      <c r="Q104" s="61">
        <v>0</v>
      </c>
      <c r="R104" s="61">
        <v>0</v>
      </c>
      <c r="S104" s="61">
        <v>0</v>
      </c>
      <c r="T104" s="61">
        <v>0</v>
      </c>
      <c r="U104" s="61">
        <v>0</v>
      </c>
      <c r="V104" s="61">
        <v>0</v>
      </c>
      <c r="W104" s="61">
        <v>0</v>
      </c>
      <c r="X104" s="61">
        <v>0</v>
      </c>
      <c r="Y104" s="61">
        <v>0</v>
      </c>
      <c r="Z104" s="61">
        <v>0</v>
      </c>
      <c r="AA104" s="61">
        <v>0</v>
      </c>
      <c r="AB104" s="61">
        <v>0</v>
      </c>
      <c r="AC104" s="61">
        <v>0</v>
      </c>
      <c r="AD104" s="61">
        <v>0</v>
      </c>
      <c r="AE104" s="61">
        <v>0</v>
      </c>
      <c r="AF104" s="61">
        <v>0</v>
      </c>
      <c r="AG104" s="61">
        <v>0</v>
      </c>
      <c r="AH104" s="61">
        <v>0</v>
      </c>
      <c r="AI104" s="61">
        <v>0</v>
      </c>
      <c r="AJ104" s="61">
        <v>0</v>
      </c>
      <c r="AK104" s="61">
        <v>0</v>
      </c>
      <c r="AL104" s="61">
        <v>0</v>
      </c>
      <c r="AM104" s="61">
        <v>0</v>
      </c>
      <c r="AN104" s="61">
        <v>0</v>
      </c>
      <c r="AO104" s="61">
        <v>0</v>
      </c>
      <c r="AP104" s="61">
        <v>0</v>
      </c>
      <c r="AQ104" s="61">
        <v>0</v>
      </c>
      <c r="AR104" s="61">
        <v>0</v>
      </c>
      <c r="AS104" s="61">
        <v>0</v>
      </c>
      <c r="AT104" s="61">
        <v>0</v>
      </c>
      <c r="AU104" s="61">
        <v>0</v>
      </c>
      <c r="AV104" s="61">
        <v>0</v>
      </c>
      <c r="AW104" s="61">
        <v>0</v>
      </c>
      <c r="AX104" s="61">
        <v>0</v>
      </c>
      <c r="AY104" s="61">
        <v>0</v>
      </c>
      <c r="AZ104" s="61">
        <v>0</v>
      </c>
      <c r="BA104" s="61">
        <v>0</v>
      </c>
      <c r="BB104" s="61">
        <v>0</v>
      </c>
      <c r="BC104" s="61">
        <v>0</v>
      </c>
      <c r="BD104" s="61">
        <v>0</v>
      </c>
      <c r="BE104" s="61">
        <v>0</v>
      </c>
      <c r="BF104" s="61">
        <v>0</v>
      </c>
      <c r="BG104" s="61">
        <v>0</v>
      </c>
      <c r="BH104" s="61">
        <v>0</v>
      </c>
      <c r="BI104" s="61">
        <v>0</v>
      </c>
      <c r="BJ104" s="61">
        <v>0</v>
      </c>
      <c r="BK104" s="61">
        <v>0</v>
      </c>
      <c r="BL104" s="61">
        <v>0</v>
      </c>
    </row>
    <row r="105" spans="1:64" x14ac:dyDescent="0.35">
      <c r="A105" s="1"/>
      <c r="C105" s="2" t="s">
        <v>148</v>
      </c>
      <c r="E105" s="61">
        <v>0</v>
      </c>
      <c r="F105" s="61">
        <v>0</v>
      </c>
      <c r="G105" s="61">
        <v>0</v>
      </c>
      <c r="H105" s="61">
        <v>0</v>
      </c>
      <c r="I105" s="61">
        <v>0</v>
      </c>
      <c r="J105" s="61">
        <v>0</v>
      </c>
      <c r="K105" s="61">
        <v>0</v>
      </c>
      <c r="L105" s="61">
        <v>0</v>
      </c>
      <c r="M105" s="61">
        <v>0</v>
      </c>
      <c r="N105" s="61">
        <v>0</v>
      </c>
      <c r="O105" s="61">
        <v>0</v>
      </c>
      <c r="P105" s="61">
        <v>0</v>
      </c>
      <c r="Q105" s="61">
        <v>0</v>
      </c>
      <c r="R105" s="61">
        <v>0</v>
      </c>
      <c r="S105" s="61">
        <v>0</v>
      </c>
      <c r="T105" s="61">
        <v>0</v>
      </c>
      <c r="U105" s="61">
        <v>0</v>
      </c>
      <c r="V105" s="61">
        <v>0</v>
      </c>
      <c r="W105" s="61">
        <v>0</v>
      </c>
      <c r="X105" s="61">
        <v>0</v>
      </c>
      <c r="Y105" s="61">
        <v>0</v>
      </c>
      <c r="Z105" s="61">
        <v>0</v>
      </c>
      <c r="AA105" s="61">
        <v>0</v>
      </c>
      <c r="AB105" s="61">
        <v>0</v>
      </c>
      <c r="AC105" s="61">
        <v>0</v>
      </c>
      <c r="AD105" s="61">
        <v>0</v>
      </c>
      <c r="AE105" s="61">
        <v>0</v>
      </c>
      <c r="AF105" s="61">
        <v>0</v>
      </c>
      <c r="AG105" s="61">
        <v>0</v>
      </c>
      <c r="AH105" s="61">
        <v>0</v>
      </c>
      <c r="AI105" s="61">
        <v>0</v>
      </c>
      <c r="AJ105" s="61">
        <v>0</v>
      </c>
      <c r="AK105" s="61">
        <v>0</v>
      </c>
      <c r="AL105" s="61">
        <v>0</v>
      </c>
      <c r="AM105" s="61">
        <v>0</v>
      </c>
      <c r="AN105" s="61">
        <v>0</v>
      </c>
      <c r="AO105" s="61">
        <v>0</v>
      </c>
      <c r="AP105" s="61">
        <v>0</v>
      </c>
      <c r="AQ105" s="61">
        <v>0</v>
      </c>
      <c r="AR105" s="61">
        <v>0</v>
      </c>
      <c r="AS105" s="61">
        <v>0</v>
      </c>
      <c r="AT105" s="61">
        <v>0</v>
      </c>
      <c r="AU105" s="61">
        <v>0</v>
      </c>
      <c r="AV105" s="61">
        <v>0</v>
      </c>
      <c r="AW105" s="61">
        <v>0</v>
      </c>
      <c r="AX105" s="61">
        <v>0</v>
      </c>
      <c r="AY105" s="61">
        <v>0</v>
      </c>
      <c r="AZ105" s="61">
        <v>0</v>
      </c>
      <c r="BA105" s="61">
        <v>0</v>
      </c>
      <c r="BB105" s="61">
        <v>0</v>
      </c>
      <c r="BC105" s="61">
        <v>0</v>
      </c>
      <c r="BD105" s="61">
        <v>0</v>
      </c>
      <c r="BE105" s="61">
        <v>0</v>
      </c>
      <c r="BF105" s="61">
        <v>0</v>
      </c>
      <c r="BG105" s="61">
        <v>0</v>
      </c>
      <c r="BH105" s="61">
        <v>0</v>
      </c>
      <c r="BI105" s="61">
        <v>0</v>
      </c>
      <c r="BJ105" s="61">
        <v>0</v>
      </c>
      <c r="BK105" s="61">
        <v>0</v>
      </c>
      <c r="BL105" s="61">
        <v>0</v>
      </c>
    </row>
    <row r="106" spans="1:64" x14ac:dyDescent="0.35">
      <c r="C106" s="2" t="s">
        <v>3</v>
      </c>
      <c r="E106" s="61">
        <v>112.94993591308594</v>
      </c>
      <c r="F106" s="61">
        <v>115.77368927001953</v>
      </c>
      <c r="G106" s="61">
        <v>118.66802978515625</v>
      </c>
      <c r="H106" s="61">
        <v>121.63472747802734</v>
      </c>
      <c r="I106" s="61">
        <v>124.67559814453125</v>
      </c>
      <c r="J106" s="61">
        <v>127.79248809814453</v>
      </c>
      <c r="K106" s="61">
        <v>130.9873046875</v>
      </c>
      <c r="L106" s="61">
        <v>134.26197814941406</v>
      </c>
      <c r="M106" s="61">
        <v>137.6185302734375</v>
      </c>
      <c r="N106" s="61">
        <v>140.40249633789063</v>
      </c>
      <c r="O106" s="61">
        <v>138.41569519042969</v>
      </c>
      <c r="P106" s="61">
        <v>139.62873840332031</v>
      </c>
      <c r="Q106" s="61">
        <v>140.85458374023438</v>
      </c>
      <c r="R106" s="61">
        <v>142.09336853027344</v>
      </c>
      <c r="S106" s="61">
        <v>143.34518432617188</v>
      </c>
      <c r="T106" s="61">
        <v>144.61016845703125</v>
      </c>
      <c r="U106" s="61">
        <v>145.88844299316406</v>
      </c>
      <c r="V106" s="61">
        <v>147.18098449707031</v>
      </c>
      <c r="W106" s="61">
        <v>150.06826782226563</v>
      </c>
      <c r="X106" s="61">
        <v>151.35804748535156</v>
      </c>
      <c r="Y106" s="61">
        <v>152.65946960449219</v>
      </c>
      <c r="Z106" s="61">
        <v>153.97261047363281</v>
      </c>
      <c r="AA106" s="61">
        <v>155.29750061035156</v>
      </c>
      <c r="AB106" s="61">
        <v>156.63421630859375</v>
      </c>
      <c r="AC106" s="61">
        <v>157.98280334472656</v>
      </c>
      <c r="AD106" s="61">
        <v>159.34330749511719</v>
      </c>
      <c r="AE106" s="61">
        <v>160.71578979492188</v>
      </c>
      <c r="AF106" s="61">
        <v>162.10028076171875</v>
      </c>
      <c r="AG106" s="61">
        <v>163.496826171875</v>
      </c>
      <c r="AH106" s="61">
        <v>164.90548706054688</v>
      </c>
      <c r="AI106" s="61">
        <v>166.3262939453125</v>
      </c>
      <c r="AJ106" s="61">
        <v>167.75929260253906</v>
      </c>
      <c r="AK106" s="61">
        <v>169.20452880859375</v>
      </c>
      <c r="AL106" s="61">
        <v>170.66203308105469</v>
      </c>
      <c r="AM106" s="61">
        <v>172.13185119628906</v>
      </c>
      <c r="AN106" s="61">
        <v>173.614013671875</v>
      </c>
      <c r="AO106" s="61">
        <v>175.10855102539063</v>
      </c>
      <c r="AP106" s="61">
        <v>176.61549377441406</v>
      </c>
      <c r="AQ106" s="61">
        <v>178.13482666015625</v>
      </c>
      <c r="AR106" s="61">
        <v>179.56684875488281</v>
      </c>
      <c r="AS106" s="61">
        <v>0</v>
      </c>
      <c r="AT106" s="61">
        <v>0</v>
      </c>
      <c r="AU106" s="61">
        <v>0</v>
      </c>
      <c r="AV106" s="61">
        <v>0</v>
      </c>
      <c r="AW106" s="61">
        <v>0</v>
      </c>
      <c r="AX106" s="61">
        <v>0</v>
      </c>
      <c r="AY106" s="61">
        <v>0</v>
      </c>
      <c r="AZ106" s="61">
        <v>0</v>
      </c>
      <c r="BA106" s="61">
        <v>0</v>
      </c>
      <c r="BB106" s="61">
        <v>0</v>
      </c>
      <c r="BC106" s="61">
        <v>0</v>
      </c>
      <c r="BD106" s="61">
        <v>0</v>
      </c>
      <c r="BE106" s="61">
        <v>0</v>
      </c>
      <c r="BF106" s="61">
        <v>0</v>
      </c>
      <c r="BG106" s="61">
        <v>0</v>
      </c>
      <c r="BH106" s="61">
        <v>0</v>
      </c>
      <c r="BI106" s="61">
        <v>0</v>
      </c>
      <c r="BJ106" s="61">
        <v>0</v>
      </c>
      <c r="BK106" s="61">
        <v>0</v>
      </c>
      <c r="BL106" s="61">
        <v>0</v>
      </c>
    </row>
    <row r="107" spans="1:64" x14ac:dyDescent="0.35">
      <c r="C107" s="2" t="s">
        <v>171</v>
      </c>
      <c r="D107" s="4"/>
      <c r="E107" s="61">
        <v>0.57180905342102051</v>
      </c>
      <c r="F107" s="61">
        <v>0.58610427379608154</v>
      </c>
      <c r="G107" s="61">
        <v>0.60075688362121582</v>
      </c>
      <c r="H107" s="61">
        <v>0.61577582359313965</v>
      </c>
      <c r="I107" s="61">
        <v>0.63117021322250366</v>
      </c>
      <c r="J107" s="61">
        <v>0.64694947004318237</v>
      </c>
      <c r="K107" s="61">
        <v>0.66312319040298462</v>
      </c>
      <c r="L107" s="61">
        <v>0.67970120906829834</v>
      </c>
      <c r="M107" s="61">
        <v>0.69505256414413452</v>
      </c>
      <c r="N107" s="61">
        <v>0.69704544544219971</v>
      </c>
      <c r="O107" s="61">
        <v>0.69511109590530396</v>
      </c>
      <c r="P107" s="61">
        <v>0.70120835304260254</v>
      </c>
      <c r="Q107" s="61">
        <v>0.70736986398696899</v>
      </c>
      <c r="R107" s="61">
        <v>0.71359634399414063</v>
      </c>
      <c r="S107" s="61">
        <v>0.71988838911056519</v>
      </c>
      <c r="T107" s="61">
        <v>0.72624647617340088</v>
      </c>
      <c r="U107" s="61">
        <v>0.73267358541488647</v>
      </c>
      <c r="V107" s="61">
        <v>0.74312317371368408</v>
      </c>
      <c r="W107" s="61">
        <v>0.75356584787368774</v>
      </c>
      <c r="X107" s="61">
        <v>0.76004379987716675</v>
      </c>
      <c r="Y107" s="61">
        <v>0.76658022403717041</v>
      </c>
      <c r="Z107" s="61">
        <v>0.77317529916763306</v>
      </c>
      <c r="AA107" s="61">
        <v>0.77982926368713379</v>
      </c>
      <c r="AB107" s="61">
        <v>0.78654253482818604</v>
      </c>
      <c r="AC107" s="61">
        <v>0.79331529140472412</v>
      </c>
      <c r="AD107" s="61">
        <v>0.80014771223068237</v>
      </c>
      <c r="AE107" s="61">
        <v>0.80704015493392944</v>
      </c>
      <c r="AF107" s="61">
        <v>0.81399273872375488</v>
      </c>
      <c r="AG107" s="61">
        <v>0.82100576162338257</v>
      </c>
      <c r="AH107" s="61">
        <v>0.8280794620513916</v>
      </c>
      <c r="AI107" s="61">
        <v>0.83521389961242676</v>
      </c>
      <c r="AJ107" s="61">
        <v>0.84240949153900146</v>
      </c>
      <c r="AK107" s="61">
        <v>0.84966641664505005</v>
      </c>
      <c r="AL107" s="61">
        <v>0.85698473453521729</v>
      </c>
      <c r="AM107" s="61">
        <v>0.8643646240234375</v>
      </c>
      <c r="AN107" s="61">
        <v>0.87180638313293457</v>
      </c>
      <c r="AO107" s="61">
        <v>0.87931013107299805</v>
      </c>
      <c r="AP107" s="61">
        <v>0.88687574863433838</v>
      </c>
      <c r="AQ107" s="61">
        <v>0.89425414800643921</v>
      </c>
      <c r="AR107" s="61">
        <v>0.44891712069511414</v>
      </c>
      <c r="AS107" s="61">
        <v>0</v>
      </c>
      <c r="AT107" s="61">
        <v>0</v>
      </c>
      <c r="AU107" s="61">
        <v>0</v>
      </c>
      <c r="AV107" s="61">
        <v>0</v>
      </c>
      <c r="AW107" s="61">
        <v>0</v>
      </c>
      <c r="AX107" s="61">
        <v>0</v>
      </c>
      <c r="AY107" s="61">
        <v>0</v>
      </c>
      <c r="AZ107" s="61">
        <v>0</v>
      </c>
      <c r="BA107" s="61">
        <v>0</v>
      </c>
      <c r="BB107" s="61">
        <v>0</v>
      </c>
      <c r="BC107" s="61">
        <v>0</v>
      </c>
      <c r="BD107" s="61">
        <v>0</v>
      </c>
      <c r="BE107" s="61">
        <v>0</v>
      </c>
      <c r="BF107" s="61">
        <v>0</v>
      </c>
      <c r="BG107" s="61">
        <v>0</v>
      </c>
      <c r="BH107" s="61">
        <v>0</v>
      </c>
      <c r="BI107" s="61">
        <v>0</v>
      </c>
      <c r="BJ107" s="61">
        <v>0</v>
      </c>
      <c r="BK107" s="61">
        <v>0</v>
      </c>
      <c r="BL107" s="61">
        <v>0</v>
      </c>
    </row>
    <row r="108" spans="1:64" x14ac:dyDescent="0.35">
      <c r="C108" s="2" t="s">
        <v>350</v>
      </c>
      <c r="D108" s="4"/>
      <c r="E108" s="61">
        <v>21.010444641113281</v>
      </c>
      <c r="F108" s="61">
        <v>21.010444641113281</v>
      </c>
      <c r="G108" s="61">
        <v>21.010444641113281</v>
      </c>
      <c r="H108" s="61">
        <v>21.010444641113281</v>
      </c>
      <c r="I108" s="61">
        <v>21.010444641113281</v>
      </c>
      <c r="J108" s="61">
        <v>21.010444641113281</v>
      </c>
      <c r="K108" s="61">
        <v>21.010444641113281</v>
      </c>
      <c r="L108" s="61">
        <v>21.010444641113281</v>
      </c>
      <c r="M108" s="61">
        <v>21.010444641113281</v>
      </c>
      <c r="N108" s="61">
        <v>21.010444641113281</v>
      </c>
      <c r="O108" s="61">
        <v>21.010444641113281</v>
      </c>
      <c r="P108" s="61">
        <v>21.010444641113281</v>
      </c>
      <c r="Q108" s="61">
        <v>21.010444641113281</v>
      </c>
      <c r="R108" s="61">
        <v>21.010444641113281</v>
      </c>
      <c r="S108" s="61">
        <v>21.010444641113281</v>
      </c>
      <c r="T108" s="61">
        <v>21.010444641113281</v>
      </c>
      <c r="U108" s="61">
        <v>21.010444641113281</v>
      </c>
      <c r="V108" s="61">
        <v>21.010444641113281</v>
      </c>
      <c r="W108" s="61">
        <v>21.010444641113281</v>
      </c>
      <c r="X108" s="61">
        <v>21.010444641113281</v>
      </c>
      <c r="Y108" s="61">
        <v>21.010444641113281</v>
      </c>
      <c r="Z108" s="61">
        <v>21.010444641113281</v>
      </c>
      <c r="AA108" s="61">
        <v>21.010444641113281</v>
      </c>
      <c r="AB108" s="61">
        <v>21.010444641113281</v>
      </c>
      <c r="AC108" s="61">
        <v>21.010444641113281</v>
      </c>
      <c r="AD108" s="61">
        <v>21.010444641113281</v>
      </c>
      <c r="AE108" s="61">
        <v>21.010444641113281</v>
      </c>
      <c r="AF108" s="61">
        <v>21.010444641113281</v>
      </c>
      <c r="AG108" s="61">
        <v>21.010444641113281</v>
      </c>
      <c r="AH108" s="61">
        <v>21.010444641113281</v>
      </c>
      <c r="AI108" s="61">
        <v>21.010444641113281</v>
      </c>
      <c r="AJ108" s="61">
        <v>21.010444641113281</v>
      </c>
      <c r="AK108" s="61">
        <v>21.010444641113281</v>
      </c>
      <c r="AL108" s="61">
        <v>21.010444641113281</v>
      </c>
      <c r="AM108" s="61">
        <v>21.010444641113281</v>
      </c>
      <c r="AN108" s="61">
        <v>21.010444641113281</v>
      </c>
      <c r="AO108" s="61">
        <v>21.010444641113281</v>
      </c>
      <c r="AP108" s="61">
        <v>21.010444641113281</v>
      </c>
      <c r="AQ108" s="61">
        <v>21.010444641113281</v>
      </c>
      <c r="AR108" s="61">
        <v>21.010444641113281</v>
      </c>
      <c r="AS108" s="61">
        <v>0</v>
      </c>
      <c r="AT108" s="61">
        <v>0</v>
      </c>
      <c r="AU108" s="61">
        <v>0</v>
      </c>
      <c r="AV108" s="61">
        <v>0</v>
      </c>
      <c r="AW108" s="61">
        <v>0</v>
      </c>
      <c r="AX108" s="61">
        <v>0</v>
      </c>
      <c r="AY108" s="61">
        <v>0</v>
      </c>
      <c r="AZ108" s="61">
        <v>0</v>
      </c>
      <c r="BA108" s="61">
        <v>0</v>
      </c>
      <c r="BB108" s="61">
        <v>0</v>
      </c>
      <c r="BC108" s="61">
        <v>0</v>
      </c>
      <c r="BD108" s="61">
        <v>0</v>
      </c>
      <c r="BE108" s="61">
        <v>0</v>
      </c>
      <c r="BF108" s="61">
        <v>0</v>
      </c>
      <c r="BG108" s="61">
        <v>0</v>
      </c>
      <c r="BH108" s="61">
        <v>0</v>
      </c>
      <c r="BI108" s="61">
        <v>0</v>
      </c>
      <c r="BJ108" s="61">
        <v>0</v>
      </c>
      <c r="BK108" s="61">
        <v>0</v>
      </c>
      <c r="BL108" s="61">
        <v>0</v>
      </c>
    </row>
    <row r="109" spans="1:64" x14ac:dyDescent="0.35">
      <c r="C109" s="2" t="s">
        <v>450</v>
      </c>
      <c r="D109" s="4"/>
      <c r="E109" s="61">
        <v>62.986404418945313</v>
      </c>
      <c r="F109" s="61">
        <v>62.245532989501953</v>
      </c>
      <c r="G109" s="61">
        <v>61.451404571533203</v>
      </c>
      <c r="H109" s="61">
        <v>60.602169036865234</v>
      </c>
      <c r="I109" s="61">
        <v>59.695915222167969</v>
      </c>
      <c r="J109" s="61">
        <v>58.730690002441406</v>
      </c>
      <c r="K109" s="61">
        <v>57.7044677734375</v>
      </c>
      <c r="L109" s="61">
        <v>56.61517333984375</v>
      </c>
      <c r="M109" s="61">
        <v>64.704116821289063</v>
      </c>
      <c r="N109" s="61">
        <v>63.440273284912109</v>
      </c>
      <c r="O109" s="61">
        <v>62.105632781982422</v>
      </c>
      <c r="P109" s="61">
        <v>60.782371520996094</v>
      </c>
      <c r="Q109" s="61">
        <v>59.414833068847656</v>
      </c>
      <c r="R109" s="61">
        <v>58.00201416015625</v>
      </c>
      <c r="S109" s="61">
        <v>56.54290771484375</v>
      </c>
      <c r="T109" s="61">
        <v>55.036464691162109</v>
      </c>
      <c r="U109" s="61">
        <v>53.481636047363281</v>
      </c>
      <c r="V109" s="61">
        <v>51.877338409423828</v>
      </c>
      <c r="W109" s="61">
        <v>57.397178649902344</v>
      </c>
      <c r="X109" s="61">
        <v>55.558826446533203</v>
      </c>
      <c r="Y109" s="61">
        <v>53.658046722412109</v>
      </c>
      <c r="Z109" s="61">
        <v>51.693347930908203</v>
      </c>
      <c r="AA109" s="61">
        <v>49.663227081298828</v>
      </c>
      <c r="AB109" s="61">
        <v>47.566139221191406</v>
      </c>
      <c r="AC109" s="61">
        <v>45.400508880615234</v>
      </c>
      <c r="AD109" s="61">
        <v>43.164726257324219</v>
      </c>
      <c r="AE109" s="61">
        <v>40.857158660888672</v>
      </c>
      <c r="AF109" s="61">
        <v>38.476123809814453</v>
      </c>
      <c r="AG109" s="61">
        <v>36.019920349121094</v>
      </c>
      <c r="AH109" s="61">
        <v>33.486804962158203</v>
      </c>
      <c r="AI109" s="61">
        <v>30.874992370605469</v>
      </c>
      <c r="AJ109" s="61">
        <v>28.182670593261719</v>
      </c>
      <c r="AK109" s="61">
        <v>25.407985687255859</v>
      </c>
      <c r="AL109" s="61">
        <v>22.549047470092773</v>
      </c>
      <c r="AM109" s="61">
        <v>19.603927612304688</v>
      </c>
      <c r="AN109" s="61">
        <v>16.570655822753906</v>
      </c>
      <c r="AO109" s="61">
        <v>13.447226524353027</v>
      </c>
      <c r="AP109" s="61">
        <v>10.231586456298828</v>
      </c>
      <c r="AQ109" s="61">
        <v>6.9216456413269043</v>
      </c>
      <c r="AR109" s="61">
        <v>3.5152671337127686</v>
      </c>
      <c r="AS109" s="61">
        <v>0</v>
      </c>
      <c r="AT109" s="61">
        <v>0</v>
      </c>
      <c r="AU109" s="61">
        <v>0</v>
      </c>
      <c r="AV109" s="61">
        <v>0</v>
      </c>
      <c r="AW109" s="61">
        <v>0</v>
      </c>
      <c r="AX109" s="61">
        <v>0</v>
      </c>
      <c r="AY109" s="61">
        <v>0</v>
      </c>
      <c r="AZ109" s="61">
        <v>0</v>
      </c>
      <c r="BA109" s="61">
        <v>0</v>
      </c>
      <c r="BB109" s="61">
        <v>0</v>
      </c>
      <c r="BC109" s="61">
        <v>0</v>
      </c>
      <c r="BD109" s="61">
        <v>0</v>
      </c>
      <c r="BE109" s="61">
        <v>0</v>
      </c>
      <c r="BF109" s="61">
        <v>0</v>
      </c>
      <c r="BG109" s="61">
        <v>0</v>
      </c>
      <c r="BH109" s="61">
        <v>0</v>
      </c>
      <c r="BI109" s="61">
        <v>0</v>
      </c>
      <c r="BJ109" s="61">
        <v>0</v>
      </c>
      <c r="BK109" s="61">
        <v>0</v>
      </c>
      <c r="BL109" s="61">
        <v>0</v>
      </c>
    </row>
    <row r="110" spans="1:64" x14ac:dyDescent="0.35">
      <c r="C110" s="2" t="s">
        <v>201</v>
      </c>
      <c r="D110" s="4"/>
      <c r="E110" s="61">
        <v>0</v>
      </c>
      <c r="F110" s="61">
        <v>0</v>
      </c>
      <c r="G110" s="61">
        <v>0</v>
      </c>
      <c r="H110" s="61">
        <v>0</v>
      </c>
      <c r="I110" s="61">
        <v>0</v>
      </c>
      <c r="J110" s="61">
        <v>0</v>
      </c>
      <c r="K110" s="61">
        <v>0</v>
      </c>
      <c r="L110" s="61">
        <v>0</v>
      </c>
      <c r="M110" s="61">
        <v>0</v>
      </c>
      <c r="N110" s="61">
        <v>0.89364784955978394</v>
      </c>
      <c r="O110" s="61">
        <v>6.4783139228820801</v>
      </c>
      <c r="P110" s="61">
        <v>7.7504806518554688</v>
      </c>
      <c r="Q110" s="61">
        <v>9.049067497253418</v>
      </c>
      <c r="R110" s="61">
        <v>10.374570846557617</v>
      </c>
      <c r="S110" s="61">
        <v>11.727493286132813</v>
      </c>
      <c r="T110" s="61">
        <v>13.108353614807129</v>
      </c>
      <c r="U110" s="61">
        <v>14.517671585083008</v>
      </c>
      <c r="V110" s="61">
        <v>15.954795837402344</v>
      </c>
      <c r="W110" s="61">
        <v>15.269064903259277</v>
      </c>
      <c r="X110" s="61">
        <v>16.806581497192383</v>
      </c>
      <c r="Y110" s="61">
        <v>18.377628326416016</v>
      </c>
      <c r="Z110" s="61">
        <v>19.982873916625977</v>
      </c>
      <c r="AA110" s="61">
        <v>21.622997283935547</v>
      </c>
      <c r="AB110" s="61">
        <v>23.298688888549805</v>
      </c>
      <c r="AC110" s="61">
        <v>25.010652542114258</v>
      </c>
      <c r="AD110" s="61">
        <v>26.759609222412109</v>
      </c>
      <c r="AE110" s="61">
        <v>28.546287536621094</v>
      </c>
      <c r="AF110" s="61">
        <v>30.371435165405273</v>
      </c>
      <c r="AG110" s="61">
        <v>32.235809326171875</v>
      </c>
      <c r="AH110" s="61">
        <v>34.140182495117188</v>
      </c>
      <c r="AI110" s="61">
        <v>36.085346221923828</v>
      </c>
      <c r="AJ110" s="61">
        <v>38.072101593017578</v>
      </c>
      <c r="AK110" s="61">
        <v>40.101264953613281</v>
      </c>
      <c r="AL110" s="61">
        <v>42.173667907714844</v>
      </c>
      <c r="AM110" s="61">
        <v>44.2901611328125</v>
      </c>
      <c r="AN110" s="61">
        <v>46.451610565185547</v>
      </c>
      <c r="AO110" s="61">
        <v>48.658893585205078</v>
      </c>
      <c r="AP110" s="61">
        <v>50.912906646728516</v>
      </c>
      <c r="AQ110" s="61">
        <v>53.214645385742188</v>
      </c>
      <c r="AR110" s="61">
        <v>55.700790405273438</v>
      </c>
      <c r="AS110" s="61">
        <v>0</v>
      </c>
      <c r="AT110" s="61">
        <v>0</v>
      </c>
      <c r="AU110" s="61">
        <v>0</v>
      </c>
      <c r="AV110" s="61">
        <v>0</v>
      </c>
      <c r="AW110" s="61">
        <v>0</v>
      </c>
      <c r="AX110" s="61">
        <v>0</v>
      </c>
      <c r="AY110" s="61">
        <v>0</v>
      </c>
      <c r="AZ110" s="61">
        <v>0</v>
      </c>
      <c r="BA110" s="61">
        <v>0</v>
      </c>
      <c r="BB110" s="61">
        <v>0</v>
      </c>
      <c r="BC110" s="61">
        <v>0</v>
      </c>
      <c r="BD110" s="61">
        <v>0</v>
      </c>
      <c r="BE110" s="61">
        <v>0</v>
      </c>
      <c r="BF110" s="61">
        <v>0</v>
      </c>
      <c r="BG110" s="61">
        <v>0</v>
      </c>
      <c r="BH110" s="61">
        <v>0</v>
      </c>
      <c r="BI110" s="61">
        <v>0</v>
      </c>
      <c r="BJ110" s="61">
        <v>0</v>
      </c>
      <c r="BK110" s="61">
        <v>0</v>
      </c>
      <c r="BL110" s="60">
        <v>0</v>
      </c>
    </row>
    <row r="111" spans="1:64" x14ac:dyDescent="0.35">
      <c r="A111" s="1"/>
      <c r="C111" s="2" t="s">
        <v>451</v>
      </c>
      <c r="E111" s="61">
        <v>4199.017578125</v>
      </c>
      <c r="F111" s="61">
        <v>4199.017578125</v>
      </c>
      <c r="G111" s="61">
        <v>4199.017578125</v>
      </c>
      <c r="H111" s="61">
        <v>4199.017578125</v>
      </c>
      <c r="I111" s="61">
        <v>4199.017578125</v>
      </c>
      <c r="J111" s="61">
        <v>4199.017578125</v>
      </c>
      <c r="K111" s="61">
        <v>4199.017578125</v>
      </c>
      <c r="L111" s="61">
        <v>4199.017578125</v>
      </c>
      <c r="M111" s="61">
        <v>4199.017578125</v>
      </c>
      <c r="N111" s="61">
        <v>4199.017578125</v>
      </c>
      <c r="O111" s="61">
        <v>4199.017578125</v>
      </c>
      <c r="P111" s="61">
        <v>4199.017578125</v>
      </c>
      <c r="Q111" s="61">
        <v>4199.017578125</v>
      </c>
      <c r="R111" s="61">
        <v>4199.017578125</v>
      </c>
      <c r="S111" s="61">
        <v>4199.017578125</v>
      </c>
      <c r="T111" s="61">
        <v>4199.017578125</v>
      </c>
      <c r="U111" s="61">
        <v>4199.017578125</v>
      </c>
      <c r="V111" s="61">
        <v>4199.017578125</v>
      </c>
      <c r="W111" s="61">
        <v>4199.017578125</v>
      </c>
      <c r="X111" s="61">
        <v>4199.017578125</v>
      </c>
      <c r="Y111" s="61">
        <v>4199.017578125</v>
      </c>
      <c r="Z111" s="61">
        <v>4199.017578125</v>
      </c>
      <c r="AA111" s="61">
        <v>4199.017578125</v>
      </c>
      <c r="AB111" s="61">
        <v>4199.017578125</v>
      </c>
      <c r="AC111" s="61">
        <v>4199.017578125</v>
      </c>
      <c r="AD111" s="61">
        <v>4199.017578125</v>
      </c>
      <c r="AE111" s="61">
        <v>4199.017578125</v>
      </c>
      <c r="AF111" s="61">
        <v>4199.017578125</v>
      </c>
      <c r="AG111" s="61">
        <v>4199.017578125</v>
      </c>
      <c r="AH111" s="61">
        <v>4199.017578125</v>
      </c>
      <c r="AI111" s="61">
        <v>4199.017578125</v>
      </c>
      <c r="AJ111" s="61">
        <v>4199.017578125</v>
      </c>
      <c r="AK111" s="61">
        <v>4199.017578125</v>
      </c>
      <c r="AL111" s="61">
        <v>4199.017578125</v>
      </c>
      <c r="AM111" s="61">
        <v>4199.017578125</v>
      </c>
      <c r="AN111" s="61">
        <v>4199.017578125</v>
      </c>
      <c r="AO111" s="61">
        <v>4199.017578125</v>
      </c>
      <c r="AP111" s="61">
        <v>4199.017578125</v>
      </c>
      <c r="AQ111" s="61">
        <v>4199.017578125</v>
      </c>
      <c r="AR111" s="61">
        <v>4199.017578125</v>
      </c>
      <c r="AS111" s="61">
        <v>0</v>
      </c>
      <c r="AT111" s="61">
        <v>0</v>
      </c>
      <c r="AU111" s="61">
        <v>0</v>
      </c>
      <c r="AV111" s="61">
        <v>0</v>
      </c>
      <c r="AW111" s="61">
        <v>0</v>
      </c>
      <c r="AX111" s="61">
        <v>0</v>
      </c>
      <c r="AY111" s="61">
        <v>0</v>
      </c>
      <c r="AZ111" s="61">
        <v>0</v>
      </c>
      <c r="BA111" s="61">
        <v>0</v>
      </c>
      <c r="BB111" s="61">
        <v>0</v>
      </c>
      <c r="BC111" s="61">
        <v>0</v>
      </c>
      <c r="BD111" s="61">
        <v>0</v>
      </c>
      <c r="BE111" s="61">
        <v>0</v>
      </c>
      <c r="BF111" s="61">
        <v>0</v>
      </c>
      <c r="BG111" s="61">
        <v>0</v>
      </c>
      <c r="BH111" s="61">
        <v>0</v>
      </c>
      <c r="BI111" s="61">
        <v>0</v>
      </c>
      <c r="BJ111" s="61">
        <v>0</v>
      </c>
      <c r="BK111" s="61">
        <v>0</v>
      </c>
      <c r="BL111" s="61">
        <v>0</v>
      </c>
    </row>
    <row r="112" spans="1:64" x14ac:dyDescent="0.35">
      <c r="A112" s="1"/>
      <c r="C112" s="2" t="s">
        <v>452</v>
      </c>
      <c r="E112" s="61">
        <v>1.3612225227623971</v>
      </c>
      <c r="F112" s="61">
        <v>1.3612225227623971</v>
      </c>
      <c r="G112" s="61">
        <v>1.3612225227623971</v>
      </c>
      <c r="H112" s="61">
        <v>1.3612225227623971</v>
      </c>
      <c r="I112" s="61">
        <v>1.3612225227623971</v>
      </c>
      <c r="J112" s="61">
        <v>1.3612225227623971</v>
      </c>
      <c r="K112" s="61">
        <v>1.3612225227623971</v>
      </c>
      <c r="L112" s="61">
        <v>1.3612225227623971</v>
      </c>
      <c r="M112" s="61">
        <v>1.3612225227623971</v>
      </c>
      <c r="N112" s="61">
        <v>1.3612225227623971</v>
      </c>
      <c r="O112" s="61">
        <v>1.3612225227623971</v>
      </c>
      <c r="P112" s="61">
        <v>1.3612225227623971</v>
      </c>
      <c r="Q112" s="61">
        <v>1.3612225227623971</v>
      </c>
      <c r="R112" s="61">
        <v>1.3612225227623971</v>
      </c>
      <c r="S112" s="61">
        <v>1.3612225227623971</v>
      </c>
      <c r="T112" s="61">
        <v>1.3612225227623971</v>
      </c>
      <c r="U112" s="61">
        <v>1.3612225227623971</v>
      </c>
      <c r="V112" s="61">
        <v>1.3612225227623971</v>
      </c>
      <c r="W112" s="61">
        <v>1.3612225227623971</v>
      </c>
      <c r="X112" s="61">
        <v>1.3612225227623971</v>
      </c>
      <c r="Y112" s="61">
        <v>1.3612225227623971</v>
      </c>
      <c r="Z112" s="61">
        <v>1.3612225227623971</v>
      </c>
      <c r="AA112" s="61">
        <v>1.3612225227623971</v>
      </c>
      <c r="AB112" s="61">
        <v>1.3612225227623971</v>
      </c>
      <c r="AC112" s="61">
        <v>1.3612225227623971</v>
      </c>
      <c r="AD112" s="61">
        <v>1.3612225227623971</v>
      </c>
      <c r="AE112" s="61">
        <v>1.3612225227623971</v>
      </c>
      <c r="AF112" s="61">
        <v>1.3612225227623971</v>
      </c>
      <c r="AG112" s="61">
        <v>1.3612225227623971</v>
      </c>
      <c r="AH112" s="61">
        <v>1.3612225227623971</v>
      </c>
      <c r="AI112" s="61">
        <v>1.3612225227623971</v>
      </c>
      <c r="AJ112" s="61">
        <v>1.3612225227623971</v>
      </c>
      <c r="AK112" s="61">
        <v>1.3612225227623971</v>
      </c>
      <c r="AL112" s="61">
        <v>1.3612225227623971</v>
      </c>
      <c r="AM112" s="61">
        <v>1.3612225227623971</v>
      </c>
      <c r="AN112" s="61">
        <v>1.3612225227623971</v>
      </c>
      <c r="AO112" s="61">
        <v>1.3612225227623971</v>
      </c>
      <c r="AP112" s="61">
        <v>1.3612225227623971</v>
      </c>
      <c r="AQ112" s="61">
        <v>1.3612225227623971</v>
      </c>
      <c r="AR112" s="61">
        <v>1.3612225227623971</v>
      </c>
      <c r="AS112" s="61">
        <v>0</v>
      </c>
      <c r="AT112" s="61">
        <v>0</v>
      </c>
      <c r="AU112" s="61">
        <v>0</v>
      </c>
      <c r="AV112" s="61">
        <v>0</v>
      </c>
      <c r="AW112" s="61">
        <v>0</v>
      </c>
      <c r="AX112" s="61">
        <v>0</v>
      </c>
      <c r="AY112" s="61">
        <v>0</v>
      </c>
      <c r="AZ112" s="61">
        <v>0</v>
      </c>
      <c r="BA112" s="61">
        <v>0</v>
      </c>
      <c r="BB112" s="61">
        <v>0</v>
      </c>
      <c r="BC112" s="61">
        <v>0</v>
      </c>
      <c r="BD112" s="61">
        <v>0</v>
      </c>
      <c r="BE112" s="61">
        <v>0</v>
      </c>
      <c r="BF112" s="61">
        <v>0</v>
      </c>
      <c r="BG112" s="61">
        <v>0</v>
      </c>
      <c r="BH112" s="61">
        <v>0</v>
      </c>
      <c r="BI112" s="61">
        <v>0</v>
      </c>
      <c r="BJ112" s="61">
        <v>0</v>
      </c>
      <c r="BK112" s="61">
        <v>0</v>
      </c>
      <c r="BL112" s="61">
        <v>0</v>
      </c>
    </row>
    <row r="113" spans="1:64" x14ac:dyDescent="0.35">
      <c r="A113" s="1"/>
      <c r="C113" s="2" t="s">
        <v>502</v>
      </c>
      <c r="E113" s="61">
        <v>419.90937500000001</v>
      </c>
      <c r="F113" s="61">
        <v>419.90937500000001</v>
      </c>
      <c r="G113" s="61">
        <v>419.90937500000001</v>
      </c>
      <c r="H113" s="61">
        <v>419.90937500000001</v>
      </c>
      <c r="I113" s="61">
        <v>419.90937500000001</v>
      </c>
      <c r="J113" s="61">
        <v>419.90937500000001</v>
      </c>
      <c r="K113" s="61">
        <v>419.90937500000001</v>
      </c>
      <c r="L113" s="61">
        <v>419.90937500000001</v>
      </c>
      <c r="M113" s="61">
        <v>419.90937500000001</v>
      </c>
      <c r="N113" s="61">
        <v>419.90937500000001</v>
      </c>
      <c r="O113" s="61">
        <v>419.90937500000001</v>
      </c>
      <c r="P113" s="61">
        <v>419.90937500000001</v>
      </c>
      <c r="Q113" s="61">
        <v>419.90937500000001</v>
      </c>
      <c r="R113" s="61">
        <v>419.90937500000001</v>
      </c>
      <c r="S113" s="61">
        <v>419.90937500000001</v>
      </c>
      <c r="T113" s="61">
        <v>419.90937500000001</v>
      </c>
      <c r="U113" s="61">
        <v>419.90937500000001</v>
      </c>
      <c r="V113" s="61">
        <v>419.90937500000001</v>
      </c>
      <c r="W113" s="61">
        <v>419.90937500000001</v>
      </c>
      <c r="X113" s="61">
        <v>419.90937500000001</v>
      </c>
      <c r="Y113" s="61">
        <v>419.90937500000001</v>
      </c>
      <c r="Z113" s="61">
        <v>419.90937500000001</v>
      </c>
      <c r="AA113" s="61">
        <v>419.90937500000001</v>
      </c>
      <c r="AB113" s="61">
        <v>419.90937500000001</v>
      </c>
      <c r="AC113" s="61">
        <v>419.90937500000001</v>
      </c>
      <c r="AD113" s="61">
        <v>419.90937500000001</v>
      </c>
      <c r="AE113" s="61">
        <v>419.90937500000001</v>
      </c>
      <c r="AF113" s="61">
        <v>419.90937500000001</v>
      </c>
      <c r="AG113" s="61">
        <v>419.90937500000001</v>
      </c>
      <c r="AH113" s="61">
        <v>419.90937500000001</v>
      </c>
      <c r="AI113" s="61">
        <v>419.90937500000001</v>
      </c>
      <c r="AJ113" s="61">
        <v>419.90937500000001</v>
      </c>
      <c r="AK113" s="61">
        <v>419.90937500000001</v>
      </c>
      <c r="AL113" s="61">
        <v>419.90937500000001</v>
      </c>
      <c r="AM113" s="61">
        <v>419.90937500000001</v>
      </c>
      <c r="AN113" s="61">
        <v>419.90937500000001</v>
      </c>
      <c r="AO113" s="61">
        <v>419.90937500000001</v>
      </c>
      <c r="AP113" s="61">
        <v>419.90937500000001</v>
      </c>
      <c r="AQ113" s="61">
        <v>419.90937500000001</v>
      </c>
      <c r="AR113" s="61">
        <v>419.90937500000001</v>
      </c>
      <c r="AS113" s="61">
        <v>0</v>
      </c>
      <c r="AT113" s="61">
        <v>0</v>
      </c>
      <c r="AU113" s="61">
        <v>0</v>
      </c>
      <c r="AV113" s="61">
        <v>0</v>
      </c>
      <c r="AW113" s="61">
        <v>0</v>
      </c>
      <c r="AX113" s="61">
        <v>0</v>
      </c>
      <c r="AY113" s="61">
        <v>0</v>
      </c>
      <c r="AZ113" s="61">
        <v>0</v>
      </c>
      <c r="BA113" s="61">
        <v>0</v>
      </c>
      <c r="BB113" s="61">
        <v>0</v>
      </c>
      <c r="BC113" s="61">
        <v>0</v>
      </c>
      <c r="BD113" s="61">
        <v>0</v>
      </c>
      <c r="BE113" s="61">
        <v>0</v>
      </c>
      <c r="BF113" s="61">
        <v>0</v>
      </c>
      <c r="BG113" s="61">
        <v>0</v>
      </c>
      <c r="BH113" s="61">
        <v>0</v>
      </c>
      <c r="BI113" s="61">
        <v>0</v>
      </c>
      <c r="BJ113" s="61">
        <v>0</v>
      </c>
      <c r="BK113" s="61">
        <v>0</v>
      </c>
      <c r="BL113" s="61">
        <v>0</v>
      </c>
    </row>
    <row r="114" spans="1:64" x14ac:dyDescent="0.35">
      <c r="A114" s="1"/>
    </row>
    <row r="115" spans="1:64" x14ac:dyDescent="0.35">
      <c r="A115" s="1"/>
      <c r="B115" s="2" t="s">
        <v>434</v>
      </c>
    </row>
    <row r="116" spans="1:64" x14ac:dyDescent="0.35">
      <c r="A116" s="1"/>
      <c r="C116" s="2" t="s">
        <v>416</v>
      </c>
      <c r="E116" s="4">
        <f ca="1">E105-E86</f>
        <v>0</v>
      </c>
      <c r="F116" s="4">
        <f t="shared" ref="F116:BL116" ca="1" si="38">F105-F86</f>
        <v>0</v>
      </c>
      <c r="G116" s="4">
        <f t="shared" ca="1" si="38"/>
        <v>0</v>
      </c>
      <c r="H116" s="4">
        <f t="shared" ca="1" si="38"/>
        <v>0</v>
      </c>
      <c r="I116" s="4">
        <f t="shared" ca="1" si="38"/>
        <v>0</v>
      </c>
      <c r="J116" s="4">
        <f t="shared" ca="1" si="38"/>
        <v>0</v>
      </c>
      <c r="K116" s="4">
        <f t="shared" ca="1" si="38"/>
        <v>0</v>
      </c>
      <c r="L116" s="4">
        <f t="shared" ca="1" si="38"/>
        <v>0</v>
      </c>
      <c r="M116" s="4">
        <f t="shared" ca="1" si="38"/>
        <v>0</v>
      </c>
      <c r="N116" s="4">
        <f t="shared" ca="1" si="38"/>
        <v>0</v>
      </c>
      <c r="O116" s="4">
        <f t="shared" ca="1" si="38"/>
        <v>0</v>
      </c>
      <c r="P116" s="4">
        <f t="shared" ca="1" si="38"/>
        <v>0</v>
      </c>
      <c r="Q116" s="4">
        <f t="shared" ca="1" si="38"/>
        <v>0</v>
      </c>
      <c r="R116" s="4">
        <f t="shared" ca="1" si="38"/>
        <v>0</v>
      </c>
      <c r="S116" s="4">
        <f t="shared" ca="1" si="38"/>
        <v>0</v>
      </c>
      <c r="T116" s="4">
        <f t="shared" ca="1" si="38"/>
        <v>0</v>
      </c>
      <c r="U116" s="4">
        <f t="shared" ca="1" si="38"/>
        <v>0</v>
      </c>
      <c r="V116" s="4">
        <f t="shared" ca="1" si="38"/>
        <v>0</v>
      </c>
      <c r="W116" s="4">
        <f t="shared" ca="1" si="38"/>
        <v>0</v>
      </c>
      <c r="X116" s="4">
        <f t="shared" ca="1" si="38"/>
        <v>0</v>
      </c>
      <c r="Y116" s="4">
        <f t="shared" ca="1" si="38"/>
        <v>0</v>
      </c>
      <c r="Z116" s="4">
        <f t="shared" ca="1" si="38"/>
        <v>0</v>
      </c>
      <c r="AA116" s="4">
        <f t="shared" ca="1" si="38"/>
        <v>0</v>
      </c>
      <c r="AB116" s="4">
        <f t="shared" ca="1" si="38"/>
        <v>0</v>
      </c>
      <c r="AC116" s="4">
        <f t="shared" ca="1" si="38"/>
        <v>0</v>
      </c>
      <c r="AD116" s="4">
        <f t="shared" ca="1" si="38"/>
        <v>0</v>
      </c>
      <c r="AE116" s="4">
        <f t="shared" ca="1" si="38"/>
        <v>0</v>
      </c>
      <c r="AF116" s="4">
        <f t="shared" ca="1" si="38"/>
        <v>0</v>
      </c>
      <c r="AG116" s="4">
        <f t="shared" ca="1" si="38"/>
        <v>0</v>
      </c>
      <c r="AH116" s="4">
        <f t="shared" ca="1" si="38"/>
        <v>0</v>
      </c>
      <c r="AI116" s="4">
        <f t="shared" ca="1" si="38"/>
        <v>0</v>
      </c>
      <c r="AJ116" s="4">
        <f t="shared" ca="1" si="38"/>
        <v>0</v>
      </c>
      <c r="AK116" s="4">
        <f t="shared" ca="1" si="38"/>
        <v>0</v>
      </c>
      <c r="AL116" s="4">
        <f t="shared" ca="1" si="38"/>
        <v>0</v>
      </c>
      <c r="AM116" s="4">
        <f t="shared" ca="1" si="38"/>
        <v>0</v>
      </c>
      <c r="AN116" s="4">
        <f t="shared" ca="1" si="38"/>
        <v>0</v>
      </c>
      <c r="AO116" s="4">
        <f t="shared" ca="1" si="38"/>
        <v>0</v>
      </c>
      <c r="AP116" s="4">
        <f t="shared" ca="1" si="38"/>
        <v>0</v>
      </c>
      <c r="AQ116" s="4">
        <f t="shared" ca="1" si="38"/>
        <v>0</v>
      </c>
      <c r="AR116" s="4">
        <f t="shared" ca="1" si="38"/>
        <v>0</v>
      </c>
      <c r="AS116" s="4">
        <f t="shared" ca="1" si="38"/>
        <v>0</v>
      </c>
      <c r="AT116" s="4">
        <f t="shared" ca="1" si="38"/>
        <v>0</v>
      </c>
      <c r="AU116" s="4">
        <f t="shared" ca="1" si="38"/>
        <v>0</v>
      </c>
      <c r="AV116" s="4">
        <f t="shared" ca="1" si="38"/>
        <v>0</v>
      </c>
      <c r="AW116" s="4">
        <f t="shared" ca="1" si="38"/>
        <v>0</v>
      </c>
      <c r="AX116" s="4">
        <f t="shared" ca="1" si="38"/>
        <v>0</v>
      </c>
      <c r="AY116" s="4">
        <f t="shared" ca="1" si="38"/>
        <v>0</v>
      </c>
      <c r="AZ116" s="4">
        <f t="shared" ca="1" si="38"/>
        <v>0</v>
      </c>
      <c r="BA116" s="4">
        <f t="shared" ca="1" si="38"/>
        <v>0</v>
      </c>
      <c r="BB116" s="4">
        <f t="shared" ca="1" si="38"/>
        <v>0</v>
      </c>
      <c r="BC116" s="4">
        <f t="shared" ca="1" si="38"/>
        <v>0</v>
      </c>
      <c r="BD116" s="4">
        <f t="shared" ca="1" si="38"/>
        <v>0</v>
      </c>
      <c r="BE116" s="4">
        <f t="shared" ca="1" si="38"/>
        <v>0</v>
      </c>
      <c r="BF116" s="4">
        <f t="shared" ca="1" si="38"/>
        <v>0</v>
      </c>
      <c r="BG116" s="4">
        <f t="shared" ca="1" si="38"/>
        <v>0</v>
      </c>
      <c r="BH116" s="4">
        <f t="shared" ca="1" si="38"/>
        <v>0</v>
      </c>
      <c r="BI116" s="4">
        <f t="shared" ca="1" si="38"/>
        <v>0</v>
      </c>
      <c r="BJ116" s="4">
        <f t="shared" ca="1" si="38"/>
        <v>0</v>
      </c>
      <c r="BK116" s="4">
        <f t="shared" ca="1" si="38"/>
        <v>0</v>
      </c>
      <c r="BL116" s="4">
        <f t="shared" ca="1" si="38"/>
        <v>0</v>
      </c>
    </row>
    <row r="117" spans="1:64" x14ac:dyDescent="0.35">
      <c r="A117" s="1"/>
      <c r="C117" s="2" t="s">
        <v>417</v>
      </c>
      <c r="E117" s="4">
        <f>E106-E65</f>
        <v>2.7595709781422784E-3</v>
      </c>
      <c r="F117" s="4">
        <f t="shared" ref="F117:BL117" si="39">F106-F65</f>
        <v>2.8335193590436347E-3</v>
      </c>
      <c r="G117" s="4">
        <f t="shared" si="39"/>
        <v>2.9026407292462864E-3</v>
      </c>
      <c r="H117" s="4">
        <f t="shared" si="39"/>
        <v>2.9721549896777333E-3</v>
      </c>
      <c r="I117" s="4">
        <f t="shared" si="39"/>
        <v>3.048938417649083E-3</v>
      </c>
      <c r="J117" s="4">
        <f t="shared" si="39"/>
        <v>3.1251618781027446E-3</v>
      </c>
      <c r="K117" s="4">
        <f t="shared" si="39"/>
        <v>3.2076778269072292E-3</v>
      </c>
      <c r="L117" s="4">
        <f t="shared" si="39"/>
        <v>3.2787144991743844E-3</v>
      </c>
      <c r="M117" s="4">
        <f t="shared" si="39"/>
        <v>3.3633526497567345E-3</v>
      </c>
      <c r="N117" s="4">
        <f t="shared" si="39"/>
        <v>3.4380571041481289E-3</v>
      </c>
      <c r="O117" s="4">
        <f t="shared" si="39"/>
        <v>3.3875477991784919E-3</v>
      </c>
      <c r="P117" s="4">
        <f t="shared" si="39"/>
        <v>3.4138266891261537E-3</v>
      </c>
      <c r="Q117" s="4">
        <f t="shared" si="39"/>
        <v>3.4373037269688211E-3</v>
      </c>
      <c r="R117" s="4">
        <f t="shared" si="39"/>
        <v>3.4767586867872069E-3</v>
      </c>
      <c r="S117" s="4">
        <f t="shared" si="39"/>
        <v>3.5025007216518134E-3</v>
      </c>
      <c r="T117" s="4">
        <f t="shared" si="39"/>
        <v>3.5351685115188047E-3</v>
      </c>
      <c r="U117" s="4">
        <f t="shared" si="39"/>
        <v>3.5733754079672053E-3</v>
      </c>
      <c r="V117" s="4">
        <f t="shared" si="39"/>
        <v>3.6023304188006477E-3</v>
      </c>
      <c r="W117" s="4">
        <f t="shared" si="39"/>
        <v>3.6664852207763943E-3</v>
      </c>
      <c r="X117" s="4">
        <f t="shared" si="39"/>
        <v>3.7076412316423557E-3</v>
      </c>
      <c r="Y117" s="4">
        <f t="shared" si="39"/>
        <v>3.7347563752803126E-3</v>
      </c>
      <c r="Z117" s="4">
        <f t="shared" si="39"/>
        <v>3.7709090695159375E-3</v>
      </c>
      <c r="AA117" s="4">
        <f t="shared" si="39"/>
        <v>3.7929429154530681E-3</v>
      </c>
      <c r="AB117" s="4">
        <f t="shared" si="39"/>
        <v>3.8235975428619895E-3</v>
      </c>
      <c r="AC117" s="4">
        <f t="shared" si="39"/>
        <v>3.8564915231233954E-3</v>
      </c>
      <c r="AD117" s="4">
        <f t="shared" si="39"/>
        <v>3.8893161090527428E-3</v>
      </c>
      <c r="AE117" s="4">
        <f t="shared" si="39"/>
        <v>3.9319601147269623E-3</v>
      </c>
      <c r="AF117" s="4">
        <f t="shared" si="39"/>
        <v>3.9690105699889955E-3</v>
      </c>
      <c r="AG117" s="4">
        <f t="shared" si="39"/>
        <v>3.9983913073342592E-3</v>
      </c>
      <c r="AH117" s="4">
        <f t="shared" si="39"/>
        <v>4.0354325496707588E-3</v>
      </c>
      <c r="AI117" s="4">
        <f t="shared" si="39"/>
        <v>4.0697609538256074E-3</v>
      </c>
      <c r="AJ117" s="4">
        <f t="shared" si="39"/>
        <v>4.103932170465896E-3</v>
      </c>
      <c r="AK117" s="4">
        <f t="shared" si="39"/>
        <v>4.1422355259328469E-3</v>
      </c>
      <c r="AL117" s="4">
        <f t="shared" si="39"/>
        <v>4.175293097858912E-3</v>
      </c>
      <c r="AM117" s="4">
        <f t="shared" si="39"/>
        <v>4.2132353632666764E-3</v>
      </c>
      <c r="AN117" s="4">
        <f t="shared" si="39"/>
        <v>4.252234852174297E-3</v>
      </c>
      <c r="AO117" s="4">
        <f t="shared" si="39"/>
        <v>4.2868139726124355E-3</v>
      </c>
      <c r="AP117" s="4">
        <f t="shared" si="39"/>
        <v>4.3152988270662718E-3</v>
      </c>
      <c r="AQ117" s="4">
        <f t="shared" si="39"/>
        <v>4.3527387985875521E-3</v>
      </c>
      <c r="AR117" s="4">
        <f t="shared" si="39"/>
        <v>4.3943158433989993E-3</v>
      </c>
      <c r="AS117" s="4">
        <f t="shared" si="39"/>
        <v>0</v>
      </c>
      <c r="AT117" s="4">
        <f t="shared" si="39"/>
        <v>0</v>
      </c>
      <c r="AU117" s="4">
        <f t="shared" si="39"/>
        <v>0</v>
      </c>
      <c r="AV117" s="4">
        <f t="shared" si="39"/>
        <v>0</v>
      </c>
      <c r="AW117" s="4">
        <f t="shared" si="39"/>
        <v>0</v>
      </c>
      <c r="AX117" s="4">
        <f t="shared" si="39"/>
        <v>0</v>
      </c>
      <c r="AY117" s="4">
        <f t="shared" si="39"/>
        <v>0</v>
      </c>
      <c r="AZ117" s="4">
        <f t="shared" si="39"/>
        <v>0</v>
      </c>
      <c r="BA117" s="4">
        <f t="shared" si="39"/>
        <v>0</v>
      </c>
      <c r="BB117" s="4">
        <f t="shared" si="39"/>
        <v>0</v>
      </c>
      <c r="BC117" s="4">
        <f t="shared" si="39"/>
        <v>0</v>
      </c>
      <c r="BD117" s="4">
        <f t="shared" si="39"/>
        <v>0</v>
      </c>
      <c r="BE117" s="4">
        <f t="shared" si="39"/>
        <v>0</v>
      </c>
      <c r="BF117" s="4">
        <f t="shared" si="39"/>
        <v>0</v>
      </c>
      <c r="BG117" s="4">
        <f t="shared" si="39"/>
        <v>0</v>
      </c>
      <c r="BH117" s="4">
        <f t="shared" si="39"/>
        <v>0</v>
      </c>
      <c r="BI117" s="4">
        <f t="shared" si="39"/>
        <v>0</v>
      </c>
      <c r="BJ117" s="4">
        <f t="shared" si="39"/>
        <v>0</v>
      </c>
      <c r="BK117" s="4">
        <f t="shared" si="39"/>
        <v>0</v>
      </c>
      <c r="BL117" s="4">
        <f t="shared" si="39"/>
        <v>0</v>
      </c>
    </row>
    <row r="118" spans="1:64" x14ac:dyDescent="0.35">
      <c r="A118" s="1"/>
      <c r="C118" s="2" t="s">
        <v>418</v>
      </c>
      <c r="E118" s="4">
        <f ca="1">E107-E83</f>
        <v>1.3973189099791838E-5</v>
      </c>
      <c r="F118" s="4">
        <f t="shared" ref="F118:BL118" ca="1" si="40">F107-F83</f>
        <v>1.4316558362814646E-5</v>
      </c>
      <c r="G118" s="4">
        <f t="shared" ca="1" si="40"/>
        <v>1.4677452554123782E-5</v>
      </c>
      <c r="H118" s="4">
        <f t="shared" ca="1" si="40"/>
        <v>1.5062270261489985E-5</v>
      </c>
      <c r="I118" s="4">
        <f t="shared" ca="1" si="40"/>
        <v>1.5432866553588553E-5</v>
      </c>
      <c r="J118" s="4">
        <f t="shared" ca="1" si="40"/>
        <v>1.5820178333569856E-5</v>
      </c>
      <c r="K118" s="4">
        <f t="shared" ca="1" si="40"/>
        <v>1.6199291514751302E-5</v>
      </c>
      <c r="L118" s="4">
        <f t="shared" ca="1" si="40"/>
        <v>1.6543179041872413E-5</v>
      </c>
      <c r="M118" s="4">
        <f t="shared" ca="1" si="40"/>
        <v>1.7001140198980025E-5</v>
      </c>
      <c r="N118" s="4">
        <f t="shared" ca="1" si="40"/>
        <v>1.7030633657211247E-5</v>
      </c>
      <c r="O118" s="4">
        <f t="shared" ca="1" si="40"/>
        <v>1.701535714970781E-5</v>
      </c>
      <c r="P118" s="4">
        <f t="shared" ca="1" si="40"/>
        <v>1.7175509755995577E-5</v>
      </c>
      <c r="Q118" s="4">
        <f t="shared" ca="1" si="40"/>
        <v>1.7268466733888488E-5</v>
      </c>
      <c r="R118" s="4">
        <f t="shared" ca="1" si="40"/>
        <v>1.7410001548534559E-5</v>
      </c>
      <c r="S118" s="4">
        <f t="shared" ca="1" si="40"/>
        <v>1.7601325640326237E-5</v>
      </c>
      <c r="T118" s="4">
        <f t="shared" ca="1" si="40"/>
        <v>1.7718907711183896E-5</v>
      </c>
      <c r="U118" s="4">
        <f t="shared" ca="1" si="40"/>
        <v>1.7955953867332397E-5</v>
      </c>
      <c r="V118" s="4">
        <f t="shared" ca="1" si="40"/>
        <v>1.8214954443207532E-5</v>
      </c>
      <c r="W118" s="4">
        <f t="shared" ca="1" si="40"/>
        <v>1.8494920775768975E-5</v>
      </c>
      <c r="X118" s="4">
        <f t="shared" ca="1" si="40"/>
        <v>1.8613146574697481E-5</v>
      </c>
      <c r="Y118" s="4">
        <f t="shared" ca="1" si="40"/>
        <v>1.8788005469838609E-5</v>
      </c>
      <c r="Z118" s="4">
        <f t="shared" ca="1" si="40"/>
        <v>1.8931087634510568E-5</v>
      </c>
      <c r="AA118" s="4">
        <f t="shared" ca="1" si="40"/>
        <v>1.901274091631322E-5</v>
      </c>
      <c r="AB118" s="4">
        <f t="shared" ca="1" si="40"/>
        <v>1.918591755012411E-5</v>
      </c>
      <c r="AC118" s="4">
        <f t="shared" ca="1" si="40"/>
        <v>1.9378824195226407E-5</v>
      </c>
      <c r="AD118" s="4">
        <f t="shared" ca="1" si="40"/>
        <v>1.9522196144206028E-5</v>
      </c>
      <c r="AE118" s="4">
        <f t="shared" ca="1" si="40"/>
        <v>1.9730969039621904E-5</v>
      </c>
      <c r="AF118" s="4">
        <f t="shared" ca="1" si="40"/>
        <v>1.9889894463775981E-5</v>
      </c>
      <c r="AG118" s="4">
        <f t="shared" ca="1" si="40"/>
        <v>2.0063101970335673E-5</v>
      </c>
      <c r="AH118" s="4">
        <f t="shared" ca="1" si="40"/>
        <v>2.027252050196271E-5</v>
      </c>
      <c r="AI118" s="4">
        <f t="shared" ca="1" si="40"/>
        <v>2.0367475608518149E-5</v>
      </c>
      <c r="AJ118" s="4">
        <f t="shared" ca="1" si="40"/>
        <v>2.0553430410297224E-5</v>
      </c>
      <c r="AK118" s="4">
        <f t="shared" ca="1" si="40"/>
        <v>2.0805742488527734E-5</v>
      </c>
      <c r="AL118" s="4">
        <f t="shared" ca="1" si="40"/>
        <v>2.0995163010684159E-5</v>
      </c>
      <c r="AM118" s="4">
        <f t="shared" ca="1" si="40"/>
        <v>2.1125528566035001E-5</v>
      </c>
      <c r="AN118" s="4">
        <f t="shared" ca="1" si="40"/>
        <v>2.1319011832443557E-5</v>
      </c>
      <c r="AO118" s="4">
        <f t="shared" ca="1" si="40"/>
        <v>2.1524355485524893E-5</v>
      </c>
      <c r="AP118" s="4">
        <f t="shared" ca="1" si="40"/>
        <v>2.1617641976612312E-5</v>
      </c>
      <c r="AQ118" s="4">
        <f t="shared" ca="1" si="40"/>
        <v>2.182710544640365E-5</v>
      </c>
      <c r="AR118" s="4">
        <f t="shared" ca="1" si="40"/>
        <v>1.0984597515584227E-5</v>
      </c>
      <c r="AS118" s="4">
        <f t="shared" ca="1" si="40"/>
        <v>0</v>
      </c>
      <c r="AT118" s="4">
        <f t="shared" ca="1" si="40"/>
        <v>0</v>
      </c>
      <c r="AU118" s="4">
        <f t="shared" ca="1" si="40"/>
        <v>0</v>
      </c>
      <c r="AV118" s="4">
        <f t="shared" ca="1" si="40"/>
        <v>0</v>
      </c>
      <c r="AW118" s="4">
        <f t="shared" ca="1" si="40"/>
        <v>0</v>
      </c>
      <c r="AX118" s="4">
        <f t="shared" ca="1" si="40"/>
        <v>0</v>
      </c>
      <c r="AY118" s="4">
        <f t="shared" ca="1" si="40"/>
        <v>0</v>
      </c>
      <c r="AZ118" s="4">
        <f t="shared" ca="1" si="40"/>
        <v>0</v>
      </c>
      <c r="BA118" s="4">
        <f t="shared" ca="1" si="40"/>
        <v>0</v>
      </c>
      <c r="BB118" s="4">
        <f t="shared" ca="1" si="40"/>
        <v>0</v>
      </c>
      <c r="BC118" s="4">
        <f t="shared" ca="1" si="40"/>
        <v>0</v>
      </c>
      <c r="BD118" s="4">
        <f t="shared" ca="1" si="40"/>
        <v>0</v>
      </c>
      <c r="BE118" s="4">
        <f t="shared" ca="1" si="40"/>
        <v>0</v>
      </c>
      <c r="BF118" s="4">
        <f t="shared" ca="1" si="40"/>
        <v>0</v>
      </c>
      <c r="BG118" s="4">
        <f t="shared" ca="1" si="40"/>
        <v>0</v>
      </c>
      <c r="BH118" s="4">
        <f t="shared" ca="1" si="40"/>
        <v>0</v>
      </c>
      <c r="BI118" s="4">
        <f t="shared" ca="1" si="40"/>
        <v>0</v>
      </c>
      <c r="BJ118" s="4">
        <f t="shared" ca="1" si="40"/>
        <v>0</v>
      </c>
      <c r="BK118" s="4">
        <f t="shared" ca="1" si="40"/>
        <v>0</v>
      </c>
      <c r="BL118" s="4">
        <f t="shared" ca="1" si="40"/>
        <v>0</v>
      </c>
    </row>
    <row r="119" spans="1:64" x14ac:dyDescent="0.35">
      <c r="A119" s="1"/>
      <c r="C119" s="2" t="s">
        <v>419</v>
      </c>
      <c r="E119" s="4">
        <f>E101-E110</f>
        <v>0</v>
      </c>
      <c r="F119" s="4">
        <f t="shared" ref="F119:BL119" ca="1" si="41">F101-F110</f>
        <v>0</v>
      </c>
      <c r="G119" s="4">
        <f t="shared" ca="1" si="41"/>
        <v>0</v>
      </c>
      <c r="H119" s="4">
        <f t="shared" ca="1" si="41"/>
        <v>0</v>
      </c>
      <c r="I119" s="4">
        <f t="shared" ca="1" si="41"/>
        <v>0</v>
      </c>
      <c r="J119" s="4">
        <f t="shared" ca="1" si="41"/>
        <v>0</v>
      </c>
      <c r="K119" s="4">
        <f t="shared" ca="1" si="41"/>
        <v>0</v>
      </c>
      <c r="L119" s="4">
        <f t="shared" ca="1" si="41"/>
        <v>0</v>
      </c>
      <c r="M119" s="4">
        <f t="shared" ca="1" si="41"/>
        <v>0</v>
      </c>
      <c r="N119" s="4">
        <f t="shared" ca="1" si="41"/>
        <v>8.3757120107179617E-3</v>
      </c>
      <c r="O119" s="4">
        <f t="shared" ca="1" si="41"/>
        <v>9.3625360655824608E-4</v>
      </c>
      <c r="P119" s="4">
        <f t="shared" ca="1" si="41"/>
        <v>9.3538161328954317E-4</v>
      </c>
      <c r="Q119" s="4">
        <f t="shared" ca="1" si="41"/>
        <v>9.338144864461384E-4</v>
      </c>
      <c r="R119" s="4">
        <f t="shared" ca="1" si="41"/>
        <v>9.3162737613461388E-4</v>
      </c>
      <c r="S119" s="4">
        <f t="shared" ca="1" si="41"/>
        <v>9.3155007748535468E-4</v>
      </c>
      <c r="T119" s="4">
        <f t="shared" ca="1" si="41"/>
        <v>9.2911453055144477E-4</v>
      </c>
      <c r="U119" s="4">
        <f t="shared" ca="1" si="41"/>
        <v>9.2725251391279073E-4</v>
      </c>
      <c r="V119" s="4">
        <f t="shared" ca="1" si="41"/>
        <v>9.24145154289846E-4</v>
      </c>
      <c r="W119" s="4">
        <f t="shared" ca="1" si="41"/>
        <v>1.0531246313956188E-3</v>
      </c>
      <c r="X119" s="4">
        <f t="shared" ca="1" si="41"/>
        <v>1.0515679113218823E-3</v>
      </c>
      <c r="Y119" s="4">
        <f t="shared" ca="1" si="41"/>
        <v>1.0511958050472003E-3</v>
      </c>
      <c r="Z119" s="4">
        <f t="shared" ca="1" si="41"/>
        <v>1.0499001278390097E-3</v>
      </c>
      <c r="AA119" s="4">
        <f t="shared" ca="1" si="41"/>
        <v>1.0476000605414981E-3</v>
      </c>
      <c r="AB119" s="4">
        <f t="shared" ca="1" si="41"/>
        <v>1.0454894996847486E-3</v>
      </c>
      <c r="AC119" s="4">
        <f t="shared" ca="1" si="41"/>
        <v>1.0444927105730528E-3</v>
      </c>
      <c r="AD119" s="4">
        <f t="shared" ca="1" si="41"/>
        <v>1.0416128374366451E-3</v>
      </c>
      <c r="AE119" s="4">
        <f t="shared" ca="1" si="41"/>
        <v>1.0396380485246937E-3</v>
      </c>
      <c r="AF119" s="4">
        <f t="shared" ca="1" si="41"/>
        <v>1.0360926803265613E-3</v>
      </c>
      <c r="AG119" s="4">
        <f t="shared" ca="1" si="41"/>
        <v>1.0328743679011154E-3</v>
      </c>
      <c r="AH119" s="4">
        <f t="shared" ca="1" si="41"/>
        <v>1.0308761040818126E-3</v>
      </c>
      <c r="AI119" s="4">
        <f t="shared" ca="1" si="41"/>
        <v>1.0264607460612751E-3</v>
      </c>
      <c r="AJ119" s="4">
        <f t="shared" ca="1" si="41"/>
        <v>1.0210789927285191E-3</v>
      </c>
      <c r="AK119" s="4">
        <f t="shared" ca="1" si="41"/>
        <v>1.0160156977647716E-3</v>
      </c>
      <c r="AL119" s="4">
        <f t="shared" ca="1" si="41"/>
        <v>1.0126248347788191E-3</v>
      </c>
      <c r="AM119" s="4">
        <f t="shared" ca="1" si="41"/>
        <v>1.0087200173600763E-3</v>
      </c>
      <c r="AN119" s="4">
        <f t="shared" ca="1" si="41"/>
        <v>1.0026552266779731E-3</v>
      </c>
      <c r="AO119" s="4">
        <f t="shared" ca="1" si="41"/>
        <v>9.9751757181820722E-4</v>
      </c>
      <c r="AP119" s="4">
        <f t="shared" ca="1" si="41"/>
        <v>9.9382764570066229E-4</v>
      </c>
      <c r="AQ119" s="4">
        <f t="shared" ca="1" si="41"/>
        <v>9.8433597495528602E-4</v>
      </c>
      <c r="AR119" s="4">
        <f t="shared" ca="1" si="41"/>
        <v>9.7871793278869745E-4</v>
      </c>
      <c r="AS119" s="4">
        <f t="shared" ca="1" si="41"/>
        <v>58.240644003563084</v>
      </c>
      <c r="AT119" s="4">
        <f t="shared" ca="1" si="41"/>
        <v>59.611493500220114</v>
      </c>
      <c r="AU119" s="4">
        <f t="shared" ca="1" si="41"/>
        <v>61.002905739965321</v>
      </c>
      <c r="AV119" s="4">
        <f t="shared" ca="1" si="41"/>
        <v>62.415189163957798</v>
      </c>
      <c r="AW119" s="4">
        <f t="shared" ca="1" si="41"/>
        <v>63.848656839974275</v>
      </c>
      <c r="AX119" s="4">
        <f t="shared" ca="1" si="41"/>
        <v>65.303626531808376</v>
      </c>
      <c r="AY119" s="4">
        <f t="shared" ca="1" si="41"/>
        <v>66.780420769710943</v>
      </c>
      <c r="AZ119" s="4">
        <f t="shared" ca="1" si="41"/>
        <v>68.27936692188679</v>
      </c>
      <c r="BA119" s="4">
        <f t="shared" ca="1" si="41"/>
        <v>69.800797267064141</v>
      </c>
      <c r="BB119" s="4">
        <f t="shared" ca="1" si="41"/>
        <v>71.345049068152392</v>
      </c>
      <c r="BC119" s="4">
        <f t="shared" ca="1" si="41"/>
        <v>72.912464647004853</v>
      </c>
      <c r="BD119" s="4">
        <f t="shared" ca="1" si="41"/>
        <v>74.503391460302936</v>
      </c>
      <c r="BE119" s="4">
        <f t="shared" ca="1" si="41"/>
        <v>76.118182176578628</v>
      </c>
      <c r="BF119" s="4">
        <f t="shared" ca="1" si="41"/>
        <v>77.757194754392103</v>
      </c>
      <c r="BG119" s="4">
        <f t="shared" ca="1" si="41"/>
        <v>79.420792521682344</v>
      </c>
      <c r="BH119" s="4">
        <f t="shared" ca="1" si="41"/>
        <v>81.109344256307679</v>
      </c>
      <c r="BI119" s="4">
        <f t="shared" ca="1" si="41"/>
        <v>82.823224267794629</v>
      </c>
      <c r="BJ119" s="4">
        <f t="shared" ca="1" si="41"/>
        <v>84.562812480312985</v>
      </c>
      <c r="BK119" s="4">
        <f t="shared" ca="1" si="41"/>
        <v>86.32849451689539</v>
      </c>
      <c r="BL119" s="4">
        <f t="shared" ca="1" si="41"/>
        <v>88.120661784920372</v>
      </c>
    </row>
    <row r="120" spans="1:64" x14ac:dyDescent="0.35">
      <c r="A120" s="1"/>
      <c r="H120" s="4">
        <f ca="1">H119/0.3</f>
        <v>0</v>
      </c>
      <c r="I120" s="4">
        <f t="shared" ref="I120:BL120" ca="1" si="42">I119/0.3</f>
        <v>0</v>
      </c>
      <c r="J120" s="4">
        <f t="shared" ca="1" si="42"/>
        <v>0</v>
      </c>
      <c r="K120" s="4">
        <f t="shared" ca="1" si="42"/>
        <v>0</v>
      </c>
      <c r="L120" s="4">
        <f t="shared" ca="1" si="42"/>
        <v>0</v>
      </c>
      <c r="M120" s="4">
        <f t="shared" ca="1" si="42"/>
        <v>0</v>
      </c>
      <c r="N120" s="4">
        <f t="shared" ca="1" si="42"/>
        <v>2.7919040035726539E-2</v>
      </c>
      <c r="O120" s="4">
        <f t="shared" ca="1" si="42"/>
        <v>3.1208453551941537E-3</v>
      </c>
      <c r="P120" s="4">
        <f t="shared" ca="1" si="42"/>
        <v>3.1179387109651442E-3</v>
      </c>
      <c r="Q120" s="4">
        <f t="shared" ca="1" si="42"/>
        <v>3.1127149548204613E-3</v>
      </c>
      <c r="R120" s="4">
        <f t="shared" ca="1" si="42"/>
        <v>3.1054245871153796E-3</v>
      </c>
      <c r="S120" s="4">
        <f t="shared" ca="1" si="42"/>
        <v>3.1051669249511824E-3</v>
      </c>
      <c r="T120" s="4">
        <f t="shared" ca="1" si="42"/>
        <v>3.0970484351714829E-3</v>
      </c>
      <c r="U120" s="4">
        <f t="shared" ca="1" si="42"/>
        <v>3.0908417130426358E-3</v>
      </c>
      <c r="V120" s="4">
        <f t="shared" ca="1" si="42"/>
        <v>3.08048384763282E-3</v>
      </c>
      <c r="W120" s="4">
        <f t="shared" ca="1" si="42"/>
        <v>3.5104154379853965E-3</v>
      </c>
      <c r="X120" s="4">
        <f t="shared" ca="1" si="42"/>
        <v>3.5052263710729412E-3</v>
      </c>
      <c r="Y120" s="4">
        <f t="shared" ca="1" si="42"/>
        <v>3.5039860168240011E-3</v>
      </c>
      <c r="Z120" s="4">
        <f t="shared" ca="1" si="42"/>
        <v>3.4996670927966989E-3</v>
      </c>
      <c r="AA120" s="4">
        <f t="shared" ca="1" si="42"/>
        <v>3.492000201804994E-3</v>
      </c>
      <c r="AB120" s="4">
        <f t="shared" ca="1" si="42"/>
        <v>3.4849649989491622E-3</v>
      </c>
      <c r="AC120" s="4">
        <f t="shared" ca="1" si="42"/>
        <v>3.4816423685768427E-3</v>
      </c>
      <c r="AD120" s="4">
        <f t="shared" ca="1" si="42"/>
        <v>3.4720427914554839E-3</v>
      </c>
      <c r="AE120" s="4">
        <f t="shared" ca="1" si="42"/>
        <v>3.4654601617489789E-3</v>
      </c>
      <c r="AF120" s="4">
        <f t="shared" ca="1" si="42"/>
        <v>3.4536422677552046E-3</v>
      </c>
      <c r="AG120" s="4">
        <f t="shared" ca="1" si="42"/>
        <v>3.4429145596703847E-3</v>
      </c>
      <c r="AH120" s="4">
        <f t="shared" ca="1" si="42"/>
        <v>3.436253680272709E-3</v>
      </c>
      <c r="AI120" s="4">
        <f t="shared" ca="1" si="42"/>
        <v>3.4215358202042507E-3</v>
      </c>
      <c r="AJ120" s="4">
        <f t="shared" ca="1" si="42"/>
        <v>3.403596642428397E-3</v>
      </c>
      <c r="AK120" s="4">
        <f t="shared" ca="1" si="42"/>
        <v>3.3867189925492389E-3</v>
      </c>
      <c r="AL120" s="4">
        <f t="shared" ca="1" si="42"/>
        <v>3.3754161159293972E-3</v>
      </c>
      <c r="AM120" s="4">
        <f t="shared" ca="1" si="42"/>
        <v>3.3624000578669211E-3</v>
      </c>
      <c r="AN120" s="4">
        <f t="shared" ca="1" si="42"/>
        <v>3.3421840889265773E-3</v>
      </c>
      <c r="AO120" s="4">
        <f t="shared" ca="1" si="42"/>
        <v>3.3250585727273574E-3</v>
      </c>
      <c r="AP120" s="4">
        <f t="shared" ca="1" si="42"/>
        <v>3.3127588190022079E-3</v>
      </c>
      <c r="AQ120" s="4">
        <f t="shared" ca="1" si="42"/>
        <v>3.2811199165176204E-3</v>
      </c>
      <c r="AR120" s="4">
        <f t="shared" ca="1" si="42"/>
        <v>3.2623931092956582E-3</v>
      </c>
      <c r="AS120" s="4">
        <f t="shared" ca="1" si="42"/>
        <v>194.13548001187695</v>
      </c>
      <c r="AT120" s="4">
        <f t="shared" ca="1" si="42"/>
        <v>198.70497833406705</v>
      </c>
      <c r="AU120" s="4">
        <f t="shared" ca="1" si="42"/>
        <v>203.34301913321775</v>
      </c>
      <c r="AV120" s="4">
        <f t="shared" ca="1" si="42"/>
        <v>208.05063054652601</v>
      </c>
      <c r="AW120" s="4">
        <f t="shared" ca="1" si="42"/>
        <v>212.8288561332476</v>
      </c>
      <c r="AX120" s="4">
        <f t="shared" ca="1" si="42"/>
        <v>217.67875510602792</v>
      </c>
      <c r="AY120" s="4">
        <f t="shared" ca="1" si="42"/>
        <v>222.60140256570315</v>
      </c>
      <c r="AZ120" s="4">
        <f t="shared" ca="1" si="42"/>
        <v>227.59788973962264</v>
      </c>
      <c r="BA120" s="4">
        <f t="shared" ca="1" si="42"/>
        <v>232.66932422354714</v>
      </c>
      <c r="BB120" s="4">
        <f t="shared" ca="1" si="42"/>
        <v>237.81683022717465</v>
      </c>
      <c r="BC120" s="4">
        <f t="shared" ca="1" si="42"/>
        <v>243.04154882334953</v>
      </c>
      <c r="BD120" s="4">
        <f t="shared" ca="1" si="42"/>
        <v>248.34463820100979</v>
      </c>
      <c r="BE120" s="4">
        <f t="shared" ca="1" si="42"/>
        <v>253.72727392192877</v>
      </c>
      <c r="BF120" s="4">
        <f t="shared" ca="1" si="42"/>
        <v>259.19064918130704</v>
      </c>
      <c r="BG120" s="4">
        <f t="shared" ca="1" si="42"/>
        <v>264.73597507227447</v>
      </c>
      <c r="BH120" s="4">
        <f t="shared" ca="1" si="42"/>
        <v>270.36448085435893</v>
      </c>
      <c r="BI120" s="4">
        <f t="shared" ca="1" si="42"/>
        <v>276.07741422598212</v>
      </c>
      <c r="BJ120" s="4">
        <f t="shared" ca="1" si="42"/>
        <v>281.87604160104331</v>
      </c>
      <c r="BK120" s="4">
        <f t="shared" ca="1" si="42"/>
        <v>287.76164838965133</v>
      </c>
      <c r="BL120" s="4">
        <f t="shared" ca="1" si="42"/>
        <v>293.73553928306791</v>
      </c>
    </row>
    <row r="121" spans="1:64" ht="15" thickBot="1" x14ac:dyDescent="0.4">
      <c r="A121" s="1"/>
      <c r="B121" s="2" t="s">
        <v>453</v>
      </c>
    </row>
    <row r="122" spans="1:64" ht="15" thickBot="1" x14ac:dyDescent="0.4">
      <c r="A122" s="1"/>
      <c r="C122" s="2" t="s">
        <v>94</v>
      </c>
      <c r="D122" s="33">
        <f>I29</f>
        <v>0</v>
      </c>
      <c r="E122" s="4">
        <f>E48</f>
        <v>153.75</v>
      </c>
      <c r="F122" s="4">
        <f t="shared" ref="F122:BL122" si="43">F48</f>
        <v>157.59375</v>
      </c>
      <c r="G122" s="4">
        <f t="shared" si="43"/>
        <v>161.53359374999999</v>
      </c>
      <c r="H122" s="4">
        <f t="shared" si="43"/>
        <v>165.57193359374997</v>
      </c>
      <c r="I122" s="4">
        <f t="shared" si="43"/>
        <v>169.71123193359372</v>
      </c>
      <c r="J122" s="4">
        <f t="shared" si="43"/>
        <v>173.95401273193355</v>
      </c>
      <c r="K122" s="4">
        <f t="shared" si="43"/>
        <v>178.30286305023188</v>
      </c>
      <c r="L122" s="4">
        <f t="shared" si="43"/>
        <v>182.76043462648767</v>
      </c>
      <c r="M122" s="4">
        <f t="shared" si="43"/>
        <v>187.32944549214983</v>
      </c>
      <c r="N122" s="4">
        <f t="shared" si="43"/>
        <v>191.11903377989378</v>
      </c>
      <c r="O122" s="4">
        <f t="shared" si="43"/>
        <v>188.41455793101326</v>
      </c>
      <c r="P122" s="4">
        <f t="shared" si="43"/>
        <v>190.06578427984829</v>
      </c>
      <c r="Q122" s="4">
        <f t="shared" si="43"/>
        <v>191.73444140842588</v>
      </c>
      <c r="R122" s="4">
        <f t="shared" si="43"/>
        <v>193.42069069270684</v>
      </c>
      <c r="S122" s="4">
        <f t="shared" si="43"/>
        <v>195.12469717622059</v>
      </c>
      <c r="T122" s="4">
        <f t="shared" si="43"/>
        <v>196.84661970448155</v>
      </c>
      <c r="U122" s="4">
        <f t="shared" si="43"/>
        <v>198.58662633399499</v>
      </c>
      <c r="V122" s="4">
        <f t="shared" si="43"/>
        <v>200.34606655046179</v>
      </c>
      <c r="W122" s="4">
        <f t="shared" si="43"/>
        <v>204.27631042042279</v>
      </c>
      <c r="X122" s="4">
        <f t="shared" si="43"/>
        <v>206.0319744563449</v>
      </c>
      <c r="Y122" s="4">
        <f t="shared" si="43"/>
        <v>207.8035059664243</v>
      </c>
      <c r="Z122" s="4">
        <f t="shared" si="43"/>
        <v>209.59097739060692</v>
      </c>
      <c r="AA122" s="4">
        <f t="shared" si="43"/>
        <v>211.39446179290582</v>
      </c>
      <c r="AB122" s="4">
        <f t="shared" si="43"/>
        <v>213.21403207444416</v>
      </c>
      <c r="AC122" s="4">
        <f t="shared" si="43"/>
        <v>215.04975923532459</v>
      </c>
      <c r="AD122" s="4">
        <f t="shared" si="43"/>
        <v>216.9017087316883</v>
      </c>
      <c r="AE122" s="4">
        <f t="shared" si="43"/>
        <v>218.76995018679079</v>
      </c>
      <c r="AF122" s="4">
        <f t="shared" si="43"/>
        <v>220.65454612385776</v>
      </c>
      <c r="AG122" s="4">
        <f t="shared" si="43"/>
        <v>222.55556168243007</v>
      </c>
      <c r="AH122" s="4">
        <f t="shared" si="43"/>
        <v>224.47305907861374</v>
      </c>
      <c r="AI122" s="4">
        <f t="shared" si="43"/>
        <v>226.40709397541303</v>
      </c>
      <c r="AJ122" s="4">
        <f t="shared" si="43"/>
        <v>228.35772520727932</v>
      </c>
      <c r="AK122" s="4">
        <f t="shared" si="43"/>
        <v>230.32500924868805</v>
      </c>
      <c r="AL122" s="4">
        <f t="shared" si="43"/>
        <v>232.309000407621</v>
      </c>
      <c r="AM122" s="4">
        <f t="shared" si="43"/>
        <v>234.30974720725334</v>
      </c>
      <c r="AN122" s="4">
        <f t="shared" si="43"/>
        <v>236.32729639998126</v>
      </c>
      <c r="AO122" s="4">
        <f t="shared" si="43"/>
        <v>238.36169698443922</v>
      </c>
      <c r="AP122" s="4">
        <f t="shared" si="43"/>
        <v>240.41299278146045</v>
      </c>
      <c r="AQ122" s="4">
        <f t="shared" si="43"/>
        <v>242.48114253386956</v>
      </c>
      <c r="AR122" s="4">
        <f t="shared" si="43"/>
        <v>244.43043433313244</v>
      </c>
      <c r="AS122" s="4">
        <f t="shared" si="43"/>
        <v>304.63319310948191</v>
      </c>
      <c r="AT122" s="4">
        <f t="shared" si="43"/>
        <v>309.2026910061241</v>
      </c>
      <c r="AU122" s="4">
        <f t="shared" si="43"/>
        <v>313.84073137121595</v>
      </c>
      <c r="AV122" s="4">
        <f t="shared" si="43"/>
        <v>318.54834234178418</v>
      </c>
      <c r="AW122" s="4">
        <f t="shared" si="43"/>
        <v>323.3265674769109</v>
      </c>
      <c r="AX122" s="4">
        <f t="shared" si="43"/>
        <v>328.17646598906452</v>
      </c>
      <c r="AY122" s="4">
        <f t="shared" si="43"/>
        <v>333.09911297890045</v>
      </c>
      <c r="AZ122" s="4">
        <f t="shared" si="43"/>
        <v>338.09559967358393</v>
      </c>
      <c r="BA122" s="4">
        <f t="shared" si="43"/>
        <v>343.16703366868768</v>
      </c>
      <c r="BB122" s="4">
        <f t="shared" si="43"/>
        <v>348.31453917371795</v>
      </c>
      <c r="BC122" s="4">
        <f t="shared" si="43"/>
        <v>353.53925726132366</v>
      </c>
      <c r="BD122" s="4">
        <f t="shared" si="43"/>
        <v>358.84234612024346</v>
      </c>
      <c r="BE122" s="4">
        <f t="shared" si="43"/>
        <v>364.22498131204708</v>
      </c>
      <c r="BF122" s="4">
        <f t="shared" si="43"/>
        <v>369.68835603172772</v>
      </c>
      <c r="BG122" s="4">
        <f t="shared" si="43"/>
        <v>375.23368137220359</v>
      </c>
      <c r="BH122" s="4">
        <f t="shared" si="43"/>
        <v>380.8621865927866</v>
      </c>
      <c r="BI122" s="4">
        <f t="shared" si="43"/>
        <v>386.57511939167836</v>
      </c>
      <c r="BJ122" s="4">
        <f t="shared" si="43"/>
        <v>392.37374618255348</v>
      </c>
      <c r="BK122" s="4">
        <f t="shared" si="43"/>
        <v>398.25935237529171</v>
      </c>
      <c r="BL122" s="4">
        <f t="shared" si="43"/>
        <v>404.23324266092106</v>
      </c>
    </row>
    <row r="123" spans="1:64" x14ac:dyDescent="0.35">
      <c r="A123" s="1"/>
      <c r="D123" s="12"/>
    </row>
    <row r="124" spans="1:64" x14ac:dyDescent="0.35">
      <c r="A124" s="1"/>
      <c r="C124" s="2" t="s">
        <v>104</v>
      </c>
      <c r="D124" s="12"/>
      <c r="E124" s="4">
        <f>E122</f>
        <v>153.75</v>
      </c>
      <c r="F124" s="4">
        <f t="shared" ref="F124:BL124" si="44">F122</f>
        <v>157.59375</v>
      </c>
      <c r="G124" s="4">
        <f t="shared" si="44"/>
        <v>161.53359374999999</v>
      </c>
      <c r="H124" s="4">
        <f t="shared" si="44"/>
        <v>165.57193359374997</v>
      </c>
      <c r="I124" s="4">
        <f t="shared" si="44"/>
        <v>169.71123193359372</v>
      </c>
      <c r="J124" s="4">
        <f t="shared" si="44"/>
        <v>173.95401273193355</v>
      </c>
      <c r="K124" s="4">
        <f t="shared" si="44"/>
        <v>178.30286305023188</v>
      </c>
      <c r="L124" s="4">
        <f t="shared" si="44"/>
        <v>182.76043462648767</v>
      </c>
      <c r="M124" s="4">
        <f t="shared" si="44"/>
        <v>187.32944549214983</v>
      </c>
      <c r="N124" s="4">
        <f t="shared" si="44"/>
        <v>191.11903377989378</v>
      </c>
      <c r="O124" s="4">
        <f t="shared" si="44"/>
        <v>188.41455793101326</v>
      </c>
      <c r="P124" s="4">
        <f t="shared" si="44"/>
        <v>190.06578427984829</v>
      </c>
      <c r="Q124" s="4">
        <f t="shared" si="44"/>
        <v>191.73444140842588</v>
      </c>
      <c r="R124" s="4">
        <f t="shared" si="44"/>
        <v>193.42069069270684</v>
      </c>
      <c r="S124" s="4">
        <f t="shared" si="44"/>
        <v>195.12469717622059</v>
      </c>
      <c r="T124" s="4">
        <f t="shared" si="44"/>
        <v>196.84661970448155</v>
      </c>
      <c r="U124" s="4">
        <f t="shared" si="44"/>
        <v>198.58662633399499</v>
      </c>
      <c r="V124" s="4">
        <f t="shared" si="44"/>
        <v>200.34606655046179</v>
      </c>
      <c r="W124" s="4">
        <f t="shared" si="44"/>
        <v>204.27631042042279</v>
      </c>
      <c r="X124" s="4">
        <f t="shared" si="44"/>
        <v>206.0319744563449</v>
      </c>
      <c r="Y124" s="4">
        <f t="shared" si="44"/>
        <v>207.8035059664243</v>
      </c>
      <c r="Z124" s="4">
        <f t="shared" si="44"/>
        <v>209.59097739060692</v>
      </c>
      <c r="AA124" s="4">
        <f t="shared" si="44"/>
        <v>211.39446179290582</v>
      </c>
      <c r="AB124" s="4">
        <f t="shared" si="44"/>
        <v>213.21403207444416</v>
      </c>
      <c r="AC124" s="4">
        <f t="shared" si="44"/>
        <v>215.04975923532459</v>
      </c>
      <c r="AD124" s="4">
        <f t="shared" si="44"/>
        <v>216.9017087316883</v>
      </c>
      <c r="AE124" s="4">
        <f t="shared" si="44"/>
        <v>218.76995018679079</v>
      </c>
      <c r="AF124" s="4">
        <f t="shared" si="44"/>
        <v>220.65454612385776</v>
      </c>
      <c r="AG124" s="4">
        <f t="shared" si="44"/>
        <v>222.55556168243007</v>
      </c>
      <c r="AH124" s="4">
        <f t="shared" si="44"/>
        <v>224.47305907861374</v>
      </c>
      <c r="AI124" s="4">
        <f t="shared" si="44"/>
        <v>226.40709397541303</v>
      </c>
      <c r="AJ124" s="4">
        <f t="shared" si="44"/>
        <v>228.35772520727932</v>
      </c>
      <c r="AK124" s="4">
        <f t="shared" si="44"/>
        <v>230.32500924868805</v>
      </c>
      <c r="AL124" s="4">
        <f t="shared" si="44"/>
        <v>232.309000407621</v>
      </c>
      <c r="AM124" s="4">
        <f t="shared" si="44"/>
        <v>234.30974720725334</v>
      </c>
      <c r="AN124" s="4">
        <f t="shared" si="44"/>
        <v>236.32729639998126</v>
      </c>
      <c r="AO124" s="4">
        <f t="shared" si="44"/>
        <v>238.36169698443922</v>
      </c>
      <c r="AP124" s="4">
        <f t="shared" si="44"/>
        <v>240.41299278146045</v>
      </c>
      <c r="AQ124" s="4">
        <f t="shared" si="44"/>
        <v>242.48114253386956</v>
      </c>
      <c r="AR124" s="4">
        <f t="shared" si="44"/>
        <v>244.43043433313244</v>
      </c>
      <c r="AS124" s="4">
        <f t="shared" si="44"/>
        <v>304.63319310948191</v>
      </c>
      <c r="AT124" s="4">
        <f t="shared" si="44"/>
        <v>309.2026910061241</v>
      </c>
      <c r="AU124" s="4">
        <f t="shared" si="44"/>
        <v>313.84073137121595</v>
      </c>
      <c r="AV124" s="4">
        <f t="shared" si="44"/>
        <v>318.54834234178418</v>
      </c>
      <c r="AW124" s="4">
        <f t="shared" si="44"/>
        <v>323.3265674769109</v>
      </c>
      <c r="AX124" s="4">
        <f t="shared" si="44"/>
        <v>328.17646598906452</v>
      </c>
      <c r="AY124" s="4">
        <f t="shared" si="44"/>
        <v>333.09911297890045</v>
      </c>
      <c r="AZ124" s="4">
        <f t="shared" si="44"/>
        <v>338.09559967358393</v>
      </c>
      <c r="BA124" s="4">
        <f t="shared" si="44"/>
        <v>343.16703366868768</v>
      </c>
      <c r="BB124" s="4">
        <f t="shared" si="44"/>
        <v>348.31453917371795</v>
      </c>
      <c r="BC124" s="4">
        <f t="shared" si="44"/>
        <v>353.53925726132366</v>
      </c>
      <c r="BD124" s="4">
        <f t="shared" si="44"/>
        <v>358.84234612024346</v>
      </c>
      <c r="BE124" s="4">
        <f t="shared" si="44"/>
        <v>364.22498131204708</v>
      </c>
      <c r="BF124" s="4">
        <f t="shared" si="44"/>
        <v>369.68835603172772</v>
      </c>
      <c r="BG124" s="4">
        <f t="shared" si="44"/>
        <v>375.23368137220359</v>
      </c>
      <c r="BH124" s="4">
        <f t="shared" si="44"/>
        <v>380.8621865927866</v>
      </c>
      <c r="BI124" s="4">
        <f t="shared" si="44"/>
        <v>386.57511939167836</v>
      </c>
      <c r="BJ124" s="4">
        <f t="shared" si="44"/>
        <v>392.37374618255348</v>
      </c>
      <c r="BK124" s="4">
        <f t="shared" si="44"/>
        <v>398.25935237529171</v>
      </c>
      <c r="BL124" s="4">
        <f t="shared" si="44"/>
        <v>404.23324266092106</v>
      </c>
    </row>
    <row r="125" spans="1:64" x14ac:dyDescent="0.35">
      <c r="A125" s="1"/>
      <c r="C125" s="2" t="s">
        <v>28</v>
      </c>
      <c r="D125" s="12"/>
      <c r="E125" s="4">
        <f t="shared" ref="E125:BL125" ca="1" si="45">E73</f>
        <v>49.391672668125864</v>
      </c>
      <c r="F125" s="4">
        <f t="shared" ca="1" si="45"/>
        <v>52.941932289694641</v>
      </c>
      <c r="G125" s="4">
        <f t="shared" ca="1" si="45"/>
        <v>56.615680418875634</v>
      </c>
      <c r="H125" s="4">
        <f t="shared" ca="1" si="45"/>
        <v>60.416525248615223</v>
      </c>
      <c r="I125" s="4">
        <f t="shared" ca="1" si="45"/>
        <v>64.348172991387301</v>
      </c>
      <c r="J125" s="4">
        <f t="shared" ca="1" si="45"/>
        <v>68.414430446902045</v>
      </c>
      <c r="K125" s="4">
        <f t="shared" ca="1" si="45"/>
        <v>72.619207635765605</v>
      </c>
      <c r="L125" s="4">
        <f t="shared" ca="1" si="45"/>
        <v>76.966520500766109</v>
      </c>
      <c r="M125" s="4">
        <f t="shared" ca="1" si="45"/>
        <v>72.219135486911085</v>
      </c>
      <c r="N125" s="4">
        <f t="shared" ca="1" si="45"/>
        <v>76.264868866126164</v>
      </c>
      <c r="O125" s="4">
        <f t="shared" ca="1" si="45"/>
        <v>75.614687767387778</v>
      </c>
      <c r="P125" s="4">
        <f t="shared" ca="1" si="45"/>
        <v>78.144864640333054</v>
      </c>
      <c r="Q125" s="4">
        <f t="shared" ca="1" si="45"/>
        <v>80.732060213427729</v>
      </c>
      <c r="R125" s="4">
        <f t="shared" ca="1" si="45"/>
        <v>83.377390263769598</v>
      </c>
      <c r="S125" s="4">
        <f t="shared" ca="1" si="45"/>
        <v>86.081992793456806</v>
      </c>
      <c r="T125" s="4">
        <f t="shared" ca="1" si="45"/>
        <v>88.847021160931035</v>
      </c>
      <c r="U125" s="4">
        <f t="shared" ca="1" si="45"/>
        <v>91.673653488288366</v>
      </c>
      <c r="V125" s="4">
        <f t="shared" ca="1" si="45"/>
        <v>94.560005643930609</v>
      </c>
      <c r="W125" s="4">
        <f t="shared" ca="1" si="45"/>
        <v>91.917372309585815</v>
      </c>
      <c r="X125" s="4">
        <f t="shared" ca="1" si="45"/>
        <v>95.038980429074911</v>
      </c>
      <c r="Y125" s="4">
        <f t="shared" ca="1" si="45"/>
        <v>98.234618792352293</v>
      </c>
      <c r="Z125" s="4">
        <f t="shared" ca="1" si="45"/>
        <v>101.50582095259743</v>
      </c>
      <c r="AA125" s="4">
        <f t="shared" ca="1" si="45"/>
        <v>104.85415159165598</v>
      </c>
      <c r="AB125" s="4">
        <f t="shared" ca="1" si="45"/>
        <v>108.28120656913944</v>
      </c>
      <c r="AC125" s="4">
        <f t="shared" ca="1" si="45"/>
        <v>111.78861227900489</v>
      </c>
      <c r="AD125" s="4">
        <f t="shared" ca="1" si="45"/>
        <v>115.37802357293567</v>
      </c>
      <c r="AE125" s="4">
        <f t="shared" ca="1" si="45"/>
        <v>119.05113146626306</v>
      </c>
      <c r="AF125" s="4">
        <f t="shared" ca="1" si="45"/>
        <v>122.80965558706554</v>
      </c>
      <c r="AG125" s="4">
        <f t="shared" ca="1" si="45"/>
        <v>126.65535187853362</v>
      </c>
      <c r="AH125" s="4">
        <f t="shared" ca="1" si="45"/>
        <v>130.59000927252438</v>
      </c>
      <c r="AI125" s="4">
        <f t="shared" ca="1" si="45"/>
        <v>134.61544767173038</v>
      </c>
      <c r="AJ125" s="4">
        <f t="shared" ca="1" si="45"/>
        <v>138.73352570520314</v>
      </c>
      <c r="AK125" s="4">
        <f t="shared" ca="1" si="45"/>
        <v>142.94613744921244</v>
      </c>
      <c r="AL125" s="4">
        <f t="shared" ca="1" si="45"/>
        <v>147.25521328461608</v>
      </c>
      <c r="AM125" s="4">
        <f t="shared" ca="1" si="45"/>
        <v>151.66271796415469</v>
      </c>
      <c r="AN125" s="4">
        <f t="shared" ca="1" si="45"/>
        <v>156.17065423390861</v>
      </c>
      <c r="AO125" s="4">
        <f t="shared" ca="1" si="45"/>
        <v>160.78106655038553</v>
      </c>
      <c r="AP125" s="4">
        <f t="shared" ca="1" si="45"/>
        <v>165.49603662128737</v>
      </c>
      <c r="AQ125" s="4">
        <f t="shared" ca="1" si="45"/>
        <v>170.31787460957517</v>
      </c>
      <c r="AR125" s="4">
        <f t="shared" ca="1" si="45"/>
        <v>175.60153880425182</v>
      </c>
      <c r="AS125" s="4">
        <f t="shared" ca="1" si="45"/>
        <v>2.1277395036349843E-5</v>
      </c>
      <c r="AT125" s="4">
        <f t="shared" ca="1" si="45"/>
        <v>2.1702942937076842E-5</v>
      </c>
      <c r="AU125" s="4">
        <f t="shared" ca="1" si="45"/>
        <v>2.2137001795818382E-5</v>
      </c>
      <c r="AV125" s="4">
        <f t="shared" ca="1" si="45"/>
        <v>2.2579741831734748E-5</v>
      </c>
      <c r="AW125" s="4">
        <f t="shared" ca="1" si="45"/>
        <v>2.3031336668369442E-5</v>
      </c>
      <c r="AX125" s="4">
        <f t="shared" ca="1" si="45"/>
        <v>2.3491963401736831E-5</v>
      </c>
      <c r="AY125" s="4">
        <f t="shared" ca="1" si="45"/>
        <v>2.3961802669771571E-5</v>
      </c>
      <c r="AZ125" s="4">
        <f t="shared" ca="1" si="45"/>
        <v>2.4441038723167002E-5</v>
      </c>
      <c r="BA125" s="4">
        <f t="shared" ca="1" si="45"/>
        <v>2.4929859497630343E-5</v>
      </c>
      <c r="BB125" s="4">
        <f t="shared" ca="1" si="45"/>
        <v>2.5428456687582951E-5</v>
      </c>
      <c r="BC125" s="4">
        <f t="shared" ca="1" si="45"/>
        <v>2.5937025821334612E-5</v>
      </c>
      <c r="BD125" s="4">
        <f t="shared" ca="1" si="45"/>
        <v>2.6455766337761305E-5</v>
      </c>
      <c r="BE125" s="4">
        <f t="shared" ca="1" si="45"/>
        <v>2.6984881664516532E-5</v>
      </c>
      <c r="BF125" s="4">
        <f t="shared" ca="1" si="45"/>
        <v>2.752457929780686E-5</v>
      </c>
      <c r="BG125" s="4">
        <f t="shared" ca="1" si="45"/>
        <v>2.8075070883762996E-5</v>
      </c>
      <c r="BH125" s="4">
        <f t="shared" ca="1" si="45"/>
        <v>2.863657230143826E-5</v>
      </c>
      <c r="BI125" s="4">
        <f t="shared" ca="1" si="45"/>
        <v>2.9209303747467023E-5</v>
      </c>
      <c r="BJ125" s="4">
        <f t="shared" ca="1" si="45"/>
        <v>2.9793489822416362E-5</v>
      </c>
      <c r="BK125" s="4">
        <f t="shared" ca="1" si="45"/>
        <v>3.0389359618864689E-5</v>
      </c>
      <c r="BL125" s="4">
        <f t="shared" ca="1" si="45"/>
        <v>3.0997146811241984E-5</v>
      </c>
    </row>
    <row r="126" spans="1:64" x14ac:dyDescent="0.35">
      <c r="A126" s="1"/>
      <c r="C126" s="2" t="s">
        <v>310</v>
      </c>
      <c r="D126" s="12"/>
      <c r="E126" s="4">
        <f t="shared" ref="E126:BL126" si="46">E75</f>
        <v>62.983708593750009</v>
      </c>
      <c r="F126" s="4">
        <f t="shared" ca="1" si="46"/>
        <v>62.242833503728129</v>
      </c>
      <c r="G126" s="4">
        <f t="shared" ca="1" si="46"/>
        <v>61.448704519382709</v>
      </c>
      <c r="H126" s="4">
        <f t="shared" ca="1" si="46"/>
        <v>60.599469313099569</v>
      </c>
      <c r="I126" s="4">
        <f t="shared" ca="1" si="46"/>
        <v>59.693221434370344</v>
      </c>
      <c r="J126" s="4">
        <f t="shared" ca="1" si="46"/>
        <v>58.727998839499534</v>
      </c>
      <c r="K126" s="4">
        <f t="shared" ca="1" si="46"/>
        <v>57.701782382796004</v>
      </c>
      <c r="L126" s="4">
        <f t="shared" ca="1" si="46"/>
        <v>56.612494268259518</v>
      </c>
      <c r="M126" s="4">
        <f t="shared" ca="1" si="46"/>
        <v>64.700995870872717</v>
      </c>
      <c r="N126" s="4">
        <f t="shared" ca="1" si="46"/>
        <v>63.43716099985177</v>
      </c>
      <c r="O126" s="4">
        <f t="shared" ca="1" si="46"/>
        <v>62.102525794694564</v>
      </c>
      <c r="P126" s="4">
        <f t="shared" ca="1" si="46"/>
        <v>60.779268758765276</v>
      </c>
      <c r="Q126" s="4">
        <f t="shared" ca="1" si="46"/>
        <v>59.411733627559443</v>
      </c>
      <c r="R126" s="4">
        <f t="shared" ca="1" si="46"/>
        <v>57.998922573824458</v>
      </c>
      <c r="S126" s="4">
        <f t="shared" ca="1" si="46"/>
        <v>56.53981824420849</v>
      </c>
      <c r="T126" s="4">
        <f t="shared" ca="1" si="46"/>
        <v>55.033383370323001</v>
      </c>
      <c r="U126" s="4">
        <f t="shared" ca="1" si="46"/>
        <v>53.478560500006708</v>
      </c>
      <c r="V126" s="4">
        <f t="shared" ca="1" si="46"/>
        <v>51.874271563961656</v>
      </c>
      <c r="W126" s="4">
        <f t="shared" ca="1" si="46"/>
        <v>57.393681674506134</v>
      </c>
      <c r="X126" s="4">
        <f t="shared" ca="1" si="46"/>
        <v>55.555334228314415</v>
      </c>
      <c r="Y126" s="4">
        <f t="shared" ca="1" si="46"/>
        <v>53.65455461973292</v>
      </c>
      <c r="Z126" s="4">
        <f t="shared" ca="1" si="46"/>
        <v>51.689862243885877</v>
      </c>
      <c r="AA126" s="4">
        <f t="shared" ca="1" si="46"/>
        <v>49.659745824833927</v>
      </c>
      <c r="AB126" s="4">
        <f t="shared" ca="1" si="46"/>
        <v>47.562662793000811</v>
      </c>
      <c r="AC126" s="4">
        <f t="shared" ca="1" si="46"/>
        <v>45.397038661618019</v>
      </c>
      <c r="AD126" s="4">
        <f t="shared" ca="1" si="46"/>
        <v>43.161266416037918</v>
      </c>
      <c r="AE126" s="4">
        <f t="shared" ca="1" si="46"/>
        <v>40.853705944579204</v>
      </c>
      <c r="AF126" s="4">
        <f t="shared" ca="1" si="46"/>
        <v>38.472683315253938</v>
      </c>
      <c r="AG126" s="4">
        <f t="shared" ca="1" si="46"/>
        <v>36.016490203512632</v>
      </c>
      <c r="AH126" s="4">
        <f t="shared" ca="1" si="46"/>
        <v>33.483383165941959</v>
      </c>
      <c r="AI126" s="4">
        <f t="shared" ca="1" si="46"/>
        <v>30.871582980491471</v>
      </c>
      <c r="AJ126" s="4">
        <f t="shared" ca="1" si="46"/>
        <v>28.179274027056863</v>
      </c>
      <c r="AK126" s="4">
        <f t="shared" ca="1" si="46"/>
        <v>25.4046035129528</v>
      </c>
      <c r="AL126" s="4">
        <f t="shared" ca="1" si="46"/>
        <v>22.545680763968548</v>
      </c>
      <c r="AM126" s="4">
        <f t="shared" ca="1" si="46"/>
        <v>19.600576498276229</v>
      </c>
      <c r="AN126" s="4">
        <f t="shared" ca="1" si="46"/>
        <v>16.567322138993134</v>
      </c>
      <c r="AO126" s="4">
        <f t="shared" ca="1" si="46"/>
        <v>13.443909054314961</v>
      </c>
      <c r="AP126" s="4">
        <f t="shared" ca="1" si="46"/>
        <v>10.22828772330725</v>
      </c>
      <c r="AQ126" s="4">
        <f t="shared" ca="1" si="46"/>
        <v>6.9183669908815038</v>
      </c>
      <c r="AR126" s="4">
        <f t="shared" ca="1" si="46"/>
        <v>3.5120094986899999</v>
      </c>
      <c r="AS126" s="4">
        <f t="shared" ca="1" si="46"/>
        <v>-2.1277395036349843E-5</v>
      </c>
      <c r="AT126" s="4">
        <f t="shared" ca="1" si="46"/>
        <v>-2.1702942937076842E-5</v>
      </c>
      <c r="AU126" s="4">
        <f t="shared" ca="1" si="46"/>
        <v>-2.2137001795818382E-5</v>
      </c>
      <c r="AV126" s="4">
        <f t="shared" ca="1" si="46"/>
        <v>-2.2579741831734748E-5</v>
      </c>
      <c r="AW126" s="4">
        <f t="shared" ca="1" si="46"/>
        <v>-2.3031336668369442E-5</v>
      </c>
      <c r="AX126" s="4">
        <f t="shared" ca="1" si="46"/>
        <v>-2.3491963401736831E-5</v>
      </c>
      <c r="AY126" s="4">
        <f t="shared" ca="1" si="46"/>
        <v>-2.3961802669771571E-5</v>
      </c>
      <c r="AZ126" s="4">
        <f t="shared" ca="1" si="46"/>
        <v>-2.4441038723167002E-5</v>
      </c>
      <c r="BA126" s="4">
        <f t="shared" ca="1" si="46"/>
        <v>-2.4929859497630343E-5</v>
      </c>
      <c r="BB126" s="4">
        <f t="shared" ca="1" si="46"/>
        <v>-2.5428456687582951E-5</v>
      </c>
      <c r="BC126" s="4">
        <f t="shared" ca="1" si="46"/>
        <v>-2.5937025821334612E-5</v>
      </c>
      <c r="BD126" s="4">
        <f t="shared" ca="1" si="46"/>
        <v>-2.6455766337761305E-5</v>
      </c>
      <c r="BE126" s="4">
        <f t="shared" ca="1" si="46"/>
        <v>-2.6984881664516532E-5</v>
      </c>
      <c r="BF126" s="4">
        <f t="shared" ca="1" si="46"/>
        <v>-2.752457929780686E-5</v>
      </c>
      <c r="BG126" s="4">
        <f t="shared" ca="1" si="46"/>
        <v>-2.8075070883762996E-5</v>
      </c>
      <c r="BH126" s="4">
        <f t="shared" ca="1" si="46"/>
        <v>-2.863657230143826E-5</v>
      </c>
      <c r="BI126" s="4">
        <f t="shared" ca="1" si="46"/>
        <v>-2.9209303747467023E-5</v>
      </c>
      <c r="BJ126" s="4">
        <f t="shared" ca="1" si="46"/>
        <v>-2.9793489822416362E-5</v>
      </c>
      <c r="BK126" s="4">
        <f t="shared" ca="1" si="46"/>
        <v>-3.0389359618864689E-5</v>
      </c>
      <c r="BL126" s="4">
        <f t="shared" ca="1" si="46"/>
        <v>-3.0997146811241984E-5</v>
      </c>
    </row>
    <row r="127" spans="1:64" x14ac:dyDescent="0.35">
      <c r="A127" s="1"/>
      <c r="C127" s="2" t="s">
        <v>560</v>
      </c>
      <c r="D127" s="12"/>
      <c r="E127" s="4">
        <f t="shared" ref="E127:AJ127" ca="1" si="47">E77-D77</f>
        <v>5.7179508023191943</v>
      </c>
      <c r="F127" s="4">
        <f t="shared" ca="1" si="47"/>
        <v>5.8608995723772068</v>
      </c>
      <c r="G127" s="4">
        <f t="shared" ca="1" si="47"/>
        <v>6.007422061686583</v>
      </c>
      <c r="H127" s="4">
        <f t="shared" ca="1" si="47"/>
        <v>6.1576076132287483</v>
      </c>
      <c r="I127" s="4">
        <f t="shared" ca="1" si="47"/>
        <v>6.3115478035595061</v>
      </c>
      <c r="J127" s="4">
        <f t="shared" ca="1" si="47"/>
        <v>6.4693364986484312</v>
      </c>
      <c r="K127" s="4">
        <f t="shared" ca="1" si="47"/>
        <v>6.6310699111146505</v>
      </c>
      <c r="L127" s="4">
        <f t="shared" ca="1" si="47"/>
        <v>6.1403588458716172</v>
      </c>
      <c r="M127" s="4">
        <f t="shared" ca="1" si="47"/>
        <v>0.79714072184276574</v>
      </c>
      <c r="N127" s="4">
        <f t="shared" ca="1" si="47"/>
        <v>-0.77373370415529052</v>
      </c>
      <c r="O127" s="4">
        <f t="shared" ca="1" si="47"/>
        <v>2.4388387938769256</v>
      </c>
      <c r="P127" s="4">
        <f t="shared" ca="1" si="47"/>
        <v>2.4645671949554071</v>
      </c>
      <c r="Q127" s="4">
        <f t="shared" ca="1" si="47"/>
        <v>2.490535388942817</v>
      </c>
      <c r="R127" s="4">
        <f t="shared" ca="1" si="47"/>
        <v>2.5167415169331093</v>
      </c>
      <c r="S127" s="4">
        <f t="shared" ca="1" si="47"/>
        <v>2.5431877923059005</v>
      </c>
      <c r="T127" s="4">
        <f t="shared" ca="1" si="47"/>
        <v>2.5707488781317807</v>
      </c>
      <c r="U127" s="4">
        <f t="shared" ca="1" si="47"/>
        <v>4.1797317192887249</v>
      </c>
      <c r="V127" s="4">
        <f t="shared" ca="1" si="47"/>
        <v>4.1769576774684083</v>
      </c>
      <c r="W127" s="4">
        <f t="shared" ca="1" si="47"/>
        <v>2.5911335110720302</v>
      </c>
      <c r="X127" s="4">
        <f t="shared" ca="1" si="47"/>
        <v>2.6144997204434048</v>
      </c>
      <c r="Y127" s="4">
        <f t="shared" ca="1" si="47"/>
        <v>2.6379728193192022</v>
      </c>
      <c r="Z127" s="4">
        <f t="shared" ca="1" si="47"/>
        <v>2.661553146487563</v>
      </c>
      <c r="AA127" s="4">
        <f t="shared" ca="1" si="47"/>
        <v>2.6852391857673865</v>
      </c>
      <c r="AB127" s="4">
        <f t="shared" ca="1" si="47"/>
        <v>2.7090254679571899</v>
      </c>
      <c r="AC127" s="4">
        <f t="shared" ca="1" si="47"/>
        <v>2.7329109816037089</v>
      </c>
      <c r="AD127" s="4">
        <f t="shared" ca="1" si="47"/>
        <v>2.7568935721406547</v>
      </c>
      <c r="AE127" s="4">
        <f t="shared" ca="1" si="47"/>
        <v>2.7809699457605461</v>
      </c>
      <c r="AF127" s="4">
        <f t="shared" ca="1" si="47"/>
        <v>2.8051398768484432</v>
      </c>
      <c r="AG127" s="4">
        <f t="shared" ca="1" si="47"/>
        <v>2.8293964037909518</v>
      </c>
      <c r="AH127" s="4">
        <f t="shared" ca="1" si="47"/>
        <v>2.8537370423714492</v>
      </c>
      <c r="AI127" s="4">
        <f t="shared" ca="1" si="47"/>
        <v>2.8781623887091428</v>
      </c>
      <c r="AJ127" s="4">
        <f t="shared" ca="1" si="47"/>
        <v>2.9026691175881751</v>
      </c>
      <c r="AK127" s="4">
        <f t="shared" ref="AK127:BL127" ca="1" si="48">AK77-AJ77</f>
        <v>2.9272513878580071</v>
      </c>
      <c r="AL127" s="4">
        <f t="shared" ca="1" si="48"/>
        <v>2.9519036490659687</v>
      </c>
      <c r="AM127" s="4">
        <f t="shared" ca="1" si="48"/>
        <v>2.9766262504922452</v>
      </c>
      <c r="AN127" s="4">
        <f t="shared" ca="1" si="48"/>
        <v>3.0014170385641705</v>
      </c>
      <c r="AO127" s="4">
        <f t="shared" ca="1" si="48"/>
        <v>3.0262097099396783</v>
      </c>
      <c r="AP127" s="4">
        <f t="shared" ca="1" si="48"/>
        <v>2.9512759634524173</v>
      </c>
      <c r="AQ127" s="4">
        <f t="shared" ca="1" si="48"/>
        <v>-178.13047392135769</v>
      </c>
      <c r="AR127" s="4">
        <f t="shared" ca="1" si="48"/>
        <v>-179.56245443903941</v>
      </c>
      <c r="AS127" s="4">
        <f t="shared" ca="1" si="48"/>
        <v>0</v>
      </c>
      <c r="AT127" s="4">
        <f t="shared" ca="1" si="48"/>
        <v>0</v>
      </c>
      <c r="AU127" s="4">
        <f t="shared" ca="1" si="48"/>
        <v>0</v>
      </c>
      <c r="AV127" s="4">
        <f t="shared" ca="1" si="48"/>
        <v>0</v>
      </c>
      <c r="AW127" s="4">
        <f t="shared" ca="1" si="48"/>
        <v>0</v>
      </c>
      <c r="AX127" s="4">
        <f t="shared" ca="1" si="48"/>
        <v>0</v>
      </c>
      <c r="AY127" s="4">
        <f t="shared" ca="1" si="48"/>
        <v>0</v>
      </c>
      <c r="AZ127" s="4">
        <f t="shared" ca="1" si="48"/>
        <v>0</v>
      </c>
      <c r="BA127" s="4">
        <f t="shared" ca="1" si="48"/>
        <v>0</v>
      </c>
      <c r="BB127" s="4">
        <f t="shared" ca="1" si="48"/>
        <v>0</v>
      </c>
      <c r="BC127" s="4">
        <f t="shared" ca="1" si="48"/>
        <v>0</v>
      </c>
      <c r="BD127" s="4">
        <f t="shared" ca="1" si="48"/>
        <v>0</v>
      </c>
      <c r="BE127" s="4">
        <f t="shared" ca="1" si="48"/>
        <v>0</v>
      </c>
      <c r="BF127" s="4">
        <f t="shared" ca="1" si="48"/>
        <v>0</v>
      </c>
      <c r="BG127" s="4">
        <f t="shared" ca="1" si="48"/>
        <v>0</v>
      </c>
      <c r="BH127" s="4">
        <f t="shared" ca="1" si="48"/>
        <v>0</v>
      </c>
      <c r="BI127" s="4">
        <f t="shared" ca="1" si="48"/>
        <v>0</v>
      </c>
      <c r="BJ127" s="4">
        <f t="shared" ca="1" si="48"/>
        <v>0</v>
      </c>
      <c r="BK127" s="4">
        <f t="shared" ca="1" si="48"/>
        <v>0</v>
      </c>
      <c r="BL127" s="4">
        <f t="shared" ca="1" si="48"/>
        <v>0</v>
      </c>
    </row>
    <row r="128" spans="1:64" x14ac:dyDescent="0.35">
      <c r="A128" s="1"/>
      <c r="D128" s="4"/>
      <c r="AG128" s="4"/>
      <c r="AH128" s="4"/>
    </row>
    <row r="129" spans="1:64" ht="15" thickBot="1" x14ac:dyDescent="0.4">
      <c r="A129" s="1"/>
      <c r="C129" s="24" t="s">
        <v>101</v>
      </c>
      <c r="D129" s="25">
        <f>-D31+D70</f>
        <v>-220.99546874999942</v>
      </c>
      <c r="E129" s="25">
        <f t="shared" ref="E129:AJ129" ca="1" si="49">E124-E125-E126-E127</f>
        <v>35.656667935804933</v>
      </c>
      <c r="F129" s="25">
        <f t="shared" ca="1" si="49"/>
        <v>36.548084634200016</v>
      </c>
      <c r="G129" s="25">
        <f t="shared" ca="1" si="49"/>
        <v>37.461786750055076</v>
      </c>
      <c r="H129" s="25">
        <f t="shared" ca="1" si="49"/>
        <v>38.398331418806443</v>
      </c>
      <c r="I129" s="25">
        <f t="shared" ca="1" si="49"/>
        <v>39.358289704276572</v>
      </c>
      <c r="J129" s="25">
        <f t="shared" ca="1" si="49"/>
        <v>40.342246946883535</v>
      </c>
      <c r="K129" s="25">
        <f t="shared" ca="1" si="49"/>
        <v>41.350803120555618</v>
      </c>
      <c r="L129" s="25">
        <f t="shared" ca="1" si="49"/>
        <v>43.041061011590422</v>
      </c>
      <c r="M129" s="25">
        <f t="shared" ca="1" si="49"/>
        <v>49.612173412523262</v>
      </c>
      <c r="N129" s="25">
        <f t="shared" ca="1" si="49"/>
        <v>52.19073761807114</v>
      </c>
      <c r="O129" s="25">
        <f t="shared" ca="1" si="49"/>
        <v>48.258505575053995</v>
      </c>
      <c r="P129" s="25">
        <f t="shared" ca="1" si="49"/>
        <v>48.67708368579455</v>
      </c>
      <c r="Q129" s="25">
        <f t="shared" ca="1" si="49"/>
        <v>49.100112178495891</v>
      </c>
      <c r="R129" s="25">
        <f t="shared" ca="1" si="49"/>
        <v>49.527636338179676</v>
      </c>
      <c r="S129" s="25">
        <f t="shared" ca="1" si="49"/>
        <v>49.959698346249397</v>
      </c>
      <c r="T129" s="25">
        <f t="shared" ca="1" si="49"/>
        <v>50.395466295095737</v>
      </c>
      <c r="U129" s="25">
        <f t="shared" ca="1" si="49"/>
        <v>49.254680626411186</v>
      </c>
      <c r="V129" s="25">
        <f t="shared" ca="1" si="49"/>
        <v>49.734831665101112</v>
      </c>
      <c r="W129" s="25">
        <f t="shared" ca="1" si="49"/>
        <v>52.37412292525881</v>
      </c>
      <c r="X129" s="25">
        <f t="shared" ca="1" si="49"/>
        <v>52.823160078512167</v>
      </c>
      <c r="Y129" s="25">
        <f t="shared" ca="1" si="49"/>
        <v>53.276359735019881</v>
      </c>
      <c r="Z129" s="25">
        <f t="shared" ca="1" si="49"/>
        <v>53.733741047636052</v>
      </c>
      <c r="AA129" s="25">
        <f t="shared" ca="1" si="49"/>
        <v>54.195325190648525</v>
      </c>
      <c r="AB129" s="25">
        <f t="shared" ca="1" si="49"/>
        <v>54.661137244346719</v>
      </c>
      <c r="AC129" s="25">
        <f t="shared" ca="1" si="49"/>
        <v>55.131197313097964</v>
      </c>
      <c r="AD129" s="25">
        <f t="shared" ca="1" si="49"/>
        <v>55.605525170574055</v>
      </c>
      <c r="AE129" s="25">
        <f t="shared" ca="1" si="49"/>
        <v>56.084142830187986</v>
      </c>
      <c r="AF129" s="25">
        <f t="shared" ca="1" si="49"/>
        <v>56.567067344689839</v>
      </c>
      <c r="AG129" s="25">
        <f t="shared" ca="1" si="49"/>
        <v>57.054323196592861</v>
      </c>
      <c r="AH129" s="25">
        <f t="shared" ca="1" si="49"/>
        <v>57.545929597775952</v>
      </c>
      <c r="AI129" s="25">
        <f t="shared" ca="1" si="49"/>
        <v>58.041900934482044</v>
      </c>
      <c r="AJ129" s="25">
        <f t="shared" ca="1" si="49"/>
        <v>58.542256357431143</v>
      </c>
      <c r="AK129" s="25">
        <f t="shared" ref="AK129:BL129" ca="1" si="50">AK124-AK125-AK126-AK127</f>
        <v>59.047016898664793</v>
      </c>
      <c r="AL129" s="25">
        <f t="shared" ca="1" si="50"/>
        <v>59.556202709970407</v>
      </c>
      <c r="AM129" s="25">
        <f t="shared" ca="1" si="50"/>
        <v>60.069826494330172</v>
      </c>
      <c r="AN129" s="25">
        <f t="shared" ca="1" si="50"/>
        <v>60.587902988515353</v>
      </c>
      <c r="AO129" s="25">
        <f t="shared" ca="1" si="50"/>
        <v>61.110511669799052</v>
      </c>
      <c r="AP129" s="25">
        <f t="shared" ca="1" si="50"/>
        <v>61.737392473413408</v>
      </c>
      <c r="AQ129" s="25">
        <f t="shared" ca="1" si="50"/>
        <v>243.37537485477057</v>
      </c>
      <c r="AR129" s="25">
        <f t="shared" ca="1" si="50"/>
        <v>244.87934046923004</v>
      </c>
      <c r="AS129" s="25">
        <f t="shared" ca="1" si="50"/>
        <v>304.63319310948191</v>
      </c>
      <c r="AT129" s="25">
        <f t="shared" ca="1" si="50"/>
        <v>309.2026910061241</v>
      </c>
      <c r="AU129" s="25">
        <f t="shared" ca="1" si="50"/>
        <v>313.84073137121595</v>
      </c>
      <c r="AV129" s="25">
        <f t="shared" ca="1" si="50"/>
        <v>318.54834234178418</v>
      </c>
      <c r="AW129" s="25">
        <f t="shared" ca="1" si="50"/>
        <v>323.3265674769109</v>
      </c>
      <c r="AX129" s="25">
        <f t="shared" ca="1" si="50"/>
        <v>328.17646598906452</v>
      </c>
      <c r="AY129" s="25">
        <f t="shared" ca="1" si="50"/>
        <v>333.09911297890045</v>
      </c>
      <c r="AZ129" s="25">
        <f t="shared" ca="1" si="50"/>
        <v>338.09559967358393</v>
      </c>
      <c r="BA129" s="25">
        <f t="shared" ca="1" si="50"/>
        <v>343.16703366868768</v>
      </c>
      <c r="BB129" s="25">
        <f t="shared" ca="1" si="50"/>
        <v>348.31453917371795</v>
      </c>
      <c r="BC129" s="25">
        <f t="shared" ca="1" si="50"/>
        <v>353.53925726132366</v>
      </c>
      <c r="BD129" s="25">
        <f t="shared" ca="1" si="50"/>
        <v>358.84234612024346</v>
      </c>
      <c r="BE129" s="25">
        <f t="shared" ca="1" si="50"/>
        <v>364.22498131204708</v>
      </c>
      <c r="BF129" s="25">
        <f t="shared" ca="1" si="50"/>
        <v>369.68835603172772</v>
      </c>
      <c r="BG129" s="25">
        <f t="shared" ca="1" si="50"/>
        <v>375.23368137220359</v>
      </c>
      <c r="BH129" s="25">
        <f t="shared" ca="1" si="50"/>
        <v>380.8621865927866</v>
      </c>
      <c r="BI129" s="25">
        <f t="shared" ca="1" si="50"/>
        <v>386.57511939167836</v>
      </c>
      <c r="BJ129" s="25">
        <f t="shared" ca="1" si="50"/>
        <v>392.37374618255348</v>
      </c>
      <c r="BK129" s="25">
        <f t="shared" ca="1" si="50"/>
        <v>398.25935237529171</v>
      </c>
      <c r="BL129" s="25">
        <f t="shared" ca="1" si="50"/>
        <v>404.23324266092106</v>
      </c>
    </row>
    <row r="130" spans="1:64" x14ac:dyDescent="0.35">
      <c r="A130" s="1"/>
      <c r="C130" s="2" t="s">
        <v>100</v>
      </c>
      <c r="D130" s="12">
        <f ca="1">IRR(129:129)</f>
        <v>0.18830534908139662</v>
      </c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</row>
    <row r="132" spans="1:64" x14ac:dyDescent="0.35">
      <c r="B132" s="2" t="s">
        <v>202</v>
      </c>
    </row>
    <row r="133" spans="1:64" x14ac:dyDescent="0.35">
      <c r="C133" s="2" t="s">
        <v>311</v>
      </c>
      <c r="E133" s="4">
        <f t="shared" ref="E133:AJ133" si="51">E48</f>
        <v>153.75</v>
      </c>
      <c r="F133" s="4">
        <f t="shared" si="51"/>
        <v>157.59375</v>
      </c>
      <c r="G133" s="4">
        <f t="shared" si="51"/>
        <v>161.53359374999999</v>
      </c>
      <c r="H133" s="4">
        <f t="shared" si="51"/>
        <v>165.57193359374997</v>
      </c>
      <c r="I133" s="4">
        <f t="shared" si="51"/>
        <v>169.71123193359372</v>
      </c>
      <c r="J133" s="4">
        <f t="shared" si="51"/>
        <v>173.95401273193355</v>
      </c>
      <c r="K133" s="4">
        <f t="shared" si="51"/>
        <v>178.30286305023188</v>
      </c>
      <c r="L133" s="4">
        <f t="shared" si="51"/>
        <v>182.76043462648767</v>
      </c>
      <c r="M133" s="4">
        <f t="shared" si="51"/>
        <v>187.32944549214983</v>
      </c>
      <c r="N133" s="4">
        <f t="shared" si="51"/>
        <v>191.11903377989378</v>
      </c>
      <c r="O133" s="4">
        <f t="shared" si="51"/>
        <v>188.41455793101326</v>
      </c>
      <c r="P133" s="4">
        <f t="shared" si="51"/>
        <v>190.06578427984829</v>
      </c>
      <c r="Q133" s="4">
        <f t="shared" si="51"/>
        <v>191.73444140842588</v>
      </c>
      <c r="R133" s="4">
        <f t="shared" si="51"/>
        <v>193.42069069270684</v>
      </c>
      <c r="S133" s="4">
        <f t="shared" si="51"/>
        <v>195.12469717622059</v>
      </c>
      <c r="T133" s="4">
        <f t="shared" si="51"/>
        <v>196.84661970448155</v>
      </c>
      <c r="U133" s="4">
        <f t="shared" si="51"/>
        <v>198.58662633399499</v>
      </c>
      <c r="V133" s="4">
        <f t="shared" si="51"/>
        <v>200.34606655046179</v>
      </c>
      <c r="W133" s="4">
        <f t="shared" si="51"/>
        <v>204.27631042042279</v>
      </c>
      <c r="X133" s="4">
        <f t="shared" si="51"/>
        <v>206.0319744563449</v>
      </c>
      <c r="Y133" s="4">
        <f t="shared" si="51"/>
        <v>207.8035059664243</v>
      </c>
      <c r="Z133" s="4">
        <f t="shared" si="51"/>
        <v>209.59097739060692</v>
      </c>
      <c r="AA133" s="4">
        <f t="shared" si="51"/>
        <v>211.39446179290582</v>
      </c>
      <c r="AB133" s="4">
        <f t="shared" si="51"/>
        <v>213.21403207444416</v>
      </c>
      <c r="AC133" s="4">
        <f t="shared" si="51"/>
        <v>215.04975923532459</v>
      </c>
      <c r="AD133" s="4">
        <f t="shared" si="51"/>
        <v>216.9017087316883</v>
      </c>
      <c r="AE133" s="4">
        <f t="shared" si="51"/>
        <v>218.76995018679079</v>
      </c>
      <c r="AF133" s="4">
        <f t="shared" si="51"/>
        <v>220.65454612385776</v>
      </c>
      <c r="AG133" s="4">
        <f t="shared" si="51"/>
        <v>222.55556168243007</v>
      </c>
      <c r="AH133" s="4">
        <f t="shared" si="51"/>
        <v>224.47305907861374</v>
      </c>
      <c r="AI133" s="4">
        <f t="shared" si="51"/>
        <v>226.40709397541303</v>
      </c>
      <c r="AJ133" s="4">
        <f t="shared" si="51"/>
        <v>228.35772520727932</v>
      </c>
      <c r="AK133" s="4">
        <f t="shared" ref="AK133:BL133" si="52">AK48</f>
        <v>230.32500924868805</v>
      </c>
      <c r="AL133" s="4">
        <f t="shared" si="52"/>
        <v>232.309000407621</v>
      </c>
      <c r="AM133" s="4">
        <f t="shared" si="52"/>
        <v>234.30974720725334</v>
      </c>
      <c r="AN133" s="4">
        <f t="shared" si="52"/>
        <v>236.32729639998126</v>
      </c>
      <c r="AO133" s="4">
        <f t="shared" si="52"/>
        <v>238.36169698443922</v>
      </c>
      <c r="AP133" s="4">
        <f t="shared" si="52"/>
        <v>240.41299278146045</v>
      </c>
      <c r="AQ133" s="4">
        <f t="shared" si="52"/>
        <v>242.48114253386956</v>
      </c>
      <c r="AR133" s="4">
        <f t="shared" si="52"/>
        <v>244.43043433313244</v>
      </c>
      <c r="AS133" s="4">
        <f t="shared" si="52"/>
        <v>304.63319310948191</v>
      </c>
      <c r="AT133" s="4">
        <f t="shared" si="52"/>
        <v>309.2026910061241</v>
      </c>
      <c r="AU133" s="4">
        <f t="shared" si="52"/>
        <v>313.84073137121595</v>
      </c>
      <c r="AV133" s="4">
        <f t="shared" si="52"/>
        <v>318.54834234178418</v>
      </c>
      <c r="AW133" s="4">
        <f t="shared" si="52"/>
        <v>323.3265674769109</v>
      </c>
      <c r="AX133" s="4">
        <f t="shared" si="52"/>
        <v>328.17646598906452</v>
      </c>
      <c r="AY133" s="4">
        <f t="shared" si="52"/>
        <v>333.09911297890045</v>
      </c>
      <c r="AZ133" s="4">
        <f t="shared" si="52"/>
        <v>338.09559967358393</v>
      </c>
      <c r="BA133" s="4">
        <f t="shared" si="52"/>
        <v>343.16703366868768</v>
      </c>
      <c r="BB133" s="4">
        <f t="shared" si="52"/>
        <v>348.31453917371795</v>
      </c>
      <c r="BC133" s="4">
        <f t="shared" si="52"/>
        <v>353.53925726132366</v>
      </c>
      <c r="BD133" s="4">
        <f t="shared" si="52"/>
        <v>358.84234612024346</v>
      </c>
      <c r="BE133" s="4">
        <f t="shared" si="52"/>
        <v>364.22498131204708</v>
      </c>
      <c r="BF133" s="4">
        <f t="shared" si="52"/>
        <v>369.68835603172772</v>
      </c>
      <c r="BG133" s="4">
        <f t="shared" si="52"/>
        <v>375.23368137220359</v>
      </c>
      <c r="BH133" s="4">
        <f t="shared" si="52"/>
        <v>380.8621865927866</v>
      </c>
      <c r="BI133" s="4">
        <f t="shared" si="52"/>
        <v>386.57511939167836</v>
      </c>
      <c r="BJ133" s="4">
        <f t="shared" si="52"/>
        <v>392.37374618255348</v>
      </c>
      <c r="BK133" s="4">
        <f t="shared" si="52"/>
        <v>398.25935237529171</v>
      </c>
      <c r="BL133" s="4">
        <f t="shared" si="52"/>
        <v>404.23324266092106</v>
      </c>
    </row>
    <row r="134" spans="1:64" x14ac:dyDescent="0.35">
      <c r="C134" s="2" t="s">
        <v>312</v>
      </c>
      <c r="E134" s="4">
        <f t="shared" ref="E134:AJ134" ca="1" si="53">E75+E73+E66</f>
        <v>112.9471763421078</v>
      </c>
      <c r="F134" s="4">
        <f t="shared" ca="1" si="53"/>
        <v>115.77085575066049</v>
      </c>
      <c r="G134" s="4">
        <f t="shared" ca="1" si="53"/>
        <v>118.665127144427</v>
      </c>
      <c r="H134" s="4">
        <f t="shared" ca="1" si="53"/>
        <v>121.63175532303767</v>
      </c>
      <c r="I134" s="4">
        <f t="shared" ca="1" si="53"/>
        <v>124.6725492061136</v>
      </c>
      <c r="J134" s="4">
        <f t="shared" ca="1" si="53"/>
        <v>127.78936293626643</v>
      </c>
      <c r="K134" s="4">
        <f t="shared" ca="1" si="53"/>
        <v>130.98409700967309</v>
      </c>
      <c r="L134" s="4">
        <f t="shared" ca="1" si="53"/>
        <v>134.25869943491489</v>
      </c>
      <c r="M134" s="4">
        <f t="shared" ca="1" si="53"/>
        <v>137.61516692078774</v>
      </c>
      <c r="N134" s="4">
        <f t="shared" ca="1" si="53"/>
        <v>140.39905828078645</v>
      </c>
      <c r="O134" s="4">
        <f t="shared" ca="1" si="53"/>
        <v>138.41230764263051</v>
      </c>
      <c r="P134" s="4">
        <f t="shared" ca="1" si="53"/>
        <v>139.62532457663119</v>
      </c>
      <c r="Q134" s="4">
        <f t="shared" ca="1" si="53"/>
        <v>140.85114643650741</v>
      </c>
      <c r="R134" s="4">
        <f t="shared" ca="1" si="53"/>
        <v>142.08989177158665</v>
      </c>
      <c r="S134" s="4">
        <f t="shared" ca="1" si="53"/>
        <v>143.34168182545019</v>
      </c>
      <c r="T134" s="4">
        <f t="shared" ca="1" si="53"/>
        <v>144.60663328851973</v>
      </c>
      <c r="U134" s="4">
        <f t="shared" ca="1" si="53"/>
        <v>145.8848696177561</v>
      </c>
      <c r="V134" s="4">
        <f t="shared" ca="1" si="53"/>
        <v>147.17738216665148</v>
      </c>
      <c r="W134" s="4">
        <f t="shared" ca="1" si="53"/>
        <v>150.06460133704488</v>
      </c>
      <c r="X134" s="4">
        <f t="shared" ca="1" si="53"/>
        <v>151.35433984411992</v>
      </c>
      <c r="Y134" s="4">
        <f t="shared" ca="1" si="53"/>
        <v>152.65573484811691</v>
      </c>
      <c r="Z134" s="4">
        <f t="shared" ca="1" si="53"/>
        <v>153.96883956456332</v>
      </c>
      <c r="AA134" s="4">
        <f t="shared" ca="1" si="53"/>
        <v>155.29370766743611</v>
      </c>
      <c r="AB134" s="4">
        <f t="shared" ca="1" si="53"/>
        <v>156.63039271105089</v>
      </c>
      <c r="AC134" s="4">
        <f t="shared" ca="1" si="53"/>
        <v>157.97894685320344</v>
      </c>
      <c r="AD134" s="4">
        <f t="shared" ca="1" si="53"/>
        <v>159.33941817900813</v>
      </c>
      <c r="AE134" s="4">
        <f t="shared" ca="1" si="53"/>
        <v>160.71185783480718</v>
      </c>
      <c r="AF134" s="4">
        <f t="shared" ca="1" si="53"/>
        <v>162.09631175114876</v>
      </c>
      <c r="AG134" s="4">
        <f t="shared" ca="1" si="53"/>
        <v>163.49282778056767</v>
      </c>
      <c r="AH134" s="4">
        <f t="shared" ca="1" si="53"/>
        <v>164.9014516279972</v>
      </c>
      <c r="AI134" s="4">
        <f t="shared" ca="1" si="53"/>
        <v>166.32222418435867</v>
      </c>
      <c r="AJ134" s="4">
        <f t="shared" ca="1" si="53"/>
        <v>167.7551886703686</v>
      </c>
      <c r="AK134" s="4">
        <f t="shared" ref="AK134:BL134" ca="1" si="54">AK75+AK73+AK66</f>
        <v>169.20038657306782</v>
      </c>
      <c r="AL134" s="4">
        <f t="shared" ca="1" si="54"/>
        <v>170.65785778795683</v>
      </c>
      <c r="AM134" s="4">
        <f t="shared" ca="1" si="54"/>
        <v>172.1276379609258</v>
      </c>
      <c r="AN134" s="4">
        <f t="shared" ca="1" si="54"/>
        <v>173.60976143702285</v>
      </c>
      <c r="AO134" s="4">
        <f t="shared" ca="1" si="54"/>
        <v>175.10426421141801</v>
      </c>
      <c r="AP134" s="4">
        <f t="shared" ca="1" si="54"/>
        <v>176.611178475587</v>
      </c>
      <c r="AQ134" s="4">
        <f t="shared" ca="1" si="54"/>
        <v>178.13047392135766</v>
      </c>
      <c r="AR134" s="4">
        <f t="shared" ca="1" si="54"/>
        <v>179.56245443903941</v>
      </c>
      <c r="AS134" s="4">
        <f t="shared" ca="1" si="54"/>
        <v>0</v>
      </c>
      <c r="AT134" s="4">
        <f t="shared" ca="1" si="54"/>
        <v>0</v>
      </c>
      <c r="AU134" s="4">
        <f t="shared" ca="1" si="54"/>
        <v>0</v>
      </c>
      <c r="AV134" s="4">
        <f t="shared" ca="1" si="54"/>
        <v>0</v>
      </c>
      <c r="AW134" s="4">
        <f t="shared" ca="1" si="54"/>
        <v>0</v>
      </c>
      <c r="AX134" s="4">
        <f t="shared" ca="1" si="54"/>
        <v>0</v>
      </c>
      <c r="AY134" s="4">
        <f t="shared" ca="1" si="54"/>
        <v>0</v>
      </c>
      <c r="AZ134" s="4">
        <f t="shared" ca="1" si="54"/>
        <v>0</v>
      </c>
      <c r="BA134" s="4">
        <f t="shared" ca="1" si="54"/>
        <v>0</v>
      </c>
      <c r="BB134" s="4">
        <f t="shared" ca="1" si="54"/>
        <v>0</v>
      </c>
      <c r="BC134" s="4">
        <f t="shared" ca="1" si="54"/>
        <v>0</v>
      </c>
      <c r="BD134" s="4">
        <f t="shared" ca="1" si="54"/>
        <v>0</v>
      </c>
      <c r="BE134" s="4">
        <f t="shared" ca="1" si="54"/>
        <v>0</v>
      </c>
      <c r="BF134" s="4">
        <f t="shared" ca="1" si="54"/>
        <v>0</v>
      </c>
      <c r="BG134" s="4">
        <f t="shared" ca="1" si="54"/>
        <v>0</v>
      </c>
      <c r="BH134" s="4">
        <f t="shared" ca="1" si="54"/>
        <v>0</v>
      </c>
      <c r="BI134" s="4">
        <f t="shared" ca="1" si="54"/>
        <v>0</v>
      </c>
      <c r="BJ134" s="4">
        <f t="shared" ca="1" si="54"/>
        <v>0</v>
      </c>
      <c r="BK134" s="4">
        <f t="shared" ca="1" si="54"/>
        <v>0</v>
      </c>
      <c r="BL134" s="4">
        <f t="shared" ca="1" si="54"/>
        <v>0</v>
      </c>
    </row>
    <row r="135" spans="1:64" x14ac:dyDescent="0.35">
      <c r="C135" s="2" t="s">
        <v>313</v>
      </c>
      <c r="E135" s="4">
        <f ca="1">IF(E134,E133/E134)</f>
        <v>1.3612558098336498</v>
      </c>
      <c r="F135" s="4">
        <f t="shared" ref="F135:BL135" ca="1" si="55">IF(F134,F133/F134)</f>
        <v>1.3612558098336498</v>
      </c>
      <c r="G135" s="4">
        <f t="shared" ca="1" si="55"/>
        <v>1.3612558098336498</v>
      </c>
      <c r="H135" s="4">
        <f t="shared" ca="1" si="55"/>
        <v>1.3612558098336498</v>
      </c>
      <c r="I135" s="4">
        <f t="shared" ca="1" si="55"/>
        <v>1.3612558098336498</v>
      </c>
      <c r="J135" s="4">
        <f t="shared" ca="1" si="55"/>
        <v>1.3612558098336498</v>
      </c>
      <c r="K135" s="4">
        <f t="shared" ca="1" si="55"/>
        <v>1.3612558098336496</v>
      </c>
      <c r="L135" s="4">
        <f t="shared" ca="1" si="55"/>
        <v>1.36125580983365</v>
      </c>
      <c r="M135" s="4">
        <f t="shared" ca="1" si="55"/>
        <v>1.36125580983365</v>
      </c>
      <c r="N135" s="4">
        <f t="shared" ca="1" si="55"/>
        <v>1.36125580983365</v>
      </c>
      <c r="O135" s="4">
        <f t="shared" ca="1" si="55"/>
        <v>1.3612558098336498</v>
      </c>
      <c r="P135" s="4">
        <f t="shared" ca="1" si="55"/>
        <v>1.3612558098336498</v>
      </c>
      <c r="Q135" s="4">
        <f t="shared" ca="1" si="55"/>
        <v>1.3612558098336498</v>
      </c>
      <c r="R135" s="4">
        <f t="shared" ca="1" si="55"/>
        <v>1.3612558098336498</v>
      </c>
      <c r="S135" s="4">
        <f t="shared" ca="1" si="55"/>
        <v>1.36125580983365</v>
      </c>
      <c r="T135" s="4">
        <f t="shared" ca="1" si="55"/>
        <v>1.3612558098336498</v>
      </c>
      <c r="U135" s="4">
        <f t="shared" ca="1" si="55"/>
        <v>1.3612558098336498</v>
      </c>
      <c r="V135" s="4">
        <f t="shared" ca="1" si="55"/>
        <v>1.3612558098336502</v>
      </c>
      <c r="W135" s="4">
        <f t="shared" ca="1" si="55"/>
        <v>1.3612558098336496</v>
      </c>
      <c r="X135" s="4">
        <f t="shared" ca="1" si="55"/>
        <v>1.3612558098336498</v>
      </c>
      <c r="Y135" s="4">
        <f t="shared" ca="1" si="55"/>
        <v>1.3612558098336498</v>
      </c>
      <c r="Z135" s="4">
        <f t="shared" ca="1" si="55"/>
        <v>1.3612558098336496</v>
      </c>
      <c r="AA135" s="4">
        <f t="shared" ca="1" si="55"/>
        <v>1.3612558098336498</v>
      </c>
      <c r="AB135" s="4">
        <f t="shared" ca="1" si="55"/>
        <v>1.3612558098336498</v>
      </c>
      <c r="AC135" s="4">
        <f t="shared" ca="1" si="55"/>
        <v>1.3612558098336498</v>
      </c>
      <c r="AD135" s="4">
        <f t="shared" ca="1" si="55"/>
        <v>1.3612558098336498</v>
      </c>
      <c r="AE135" s="4">
        <f t="shared" ca="1" si="55"/>
        <v>1.3612558098336496</v>
      </c>
      <c r="AF135" s="4">
        <f t="shared" ca="1" si="55"/>
        <v>1.3612558098336498</v>
      </c>
      <c r="AG135" s="4">
        <f t="shared" ca="1" si="55"/>
        <v>1.3612558098336498</v>
      </c>
      <c r="AH135" s="4">
        <f t="shared" ca="1" si="55"/>
        <v>1.3612558098336496</v>
      </c>
      <c r="AI135" s="4">
        <f t="shared" ca="1" si="55"/>
        <v>1.3612558098336498</v>
      </c>
      <c r="AJ135" s="4">
        <f t="shared" ca="1" si="55"/>
        <v>1.3612558098336498</v>
      </c>
      <c r="AK135" s="4">
        <f t="shared" ca="1" si="55"/>
        <v>1.3612558098336498</v>
      </c>
      <c r="AL135" s="4">
        <f t="shared" ca="1" si="55"/>
        <v>1.3612558098336498</v>
      </c>
      <c r="AM135" s="4">
        <f t="shared" ca="1" si="55"/>
        <v>1.3612558098336498</v>
      </c>
      <c r="AN135" s="4">
        <f t="shared" ca="1" si="55"/>
        <v>1.3612558098336496</v>
      </c>
      <c r="AO135" s="4">
        <f t="shared" ca="1" si="55"/>
        <v>1.3612558098336498</v>
      </c>
      <c r="AP135" s="4">
        <f t="shared" ca="1" si="55"/>
        <v>1.3612558098336498</v>
      </c>
      <c r="AQ135" s="4">
        <f t="shared" ca="1" si="55"/>
        <v>1.3612558098336498</v>
      </c>
      <c r="AR135" s="4">
        <f t="shared" ca="1" si="55"/>
        <v>1.3612558098336498</v>
      </c>
      <c r="AS135" s="4" t="b">
        <f t="shared" ca="1" si="55"/>
        <v>0</v>
      </c>
      <c r="AT135" s="4" t="b">
        <f t="shared" ca="1" si="55"/>
        <v>0</v>
      </c>
      <c r="AU135" s="4" t="b">
        <f t="shared" ca="1" si="55"/>
        <v>0</v>
      </c>
      <c r="AV135" s="4" t="b">
        <f t="shared" ca="1" si="55"/>
        <v>0</v>
      </c>
      <c r="AW135" s="4" t="b">
        <f t="shared" ca="1" si="55"/>
        <v>0</v>
      </c>
      <c r="AX135" s="4" t="b">
        <f t="shared" ca="1" si="55"/>
        <v>0</v>
      </c>
      <c r="AY135" s="4" t="b">
        <f t="shared" ca="1" si="55"/>
        <v>0</v>
      </c>
      <c r="AZ135" s="4" t="b">
        <f t="shared" ca="1" si="55"/>
        <v>0</v>
      </c>
      <c r="BA135" s="4" t="b">
        <f t="shared" ca="1" si="55"/>
        <v>0</v>
      </c>
      <c r="BB135" s="4" t="b">
        <f t="shared" ca="1" si="55"/>
        <v>0</v>
      </c>
      <c r="BC135" s="4" t="b">
        <f t="shared" ca="1" si="55"/>
        <v>0</v>
      </c>
      <c r="BD135" s="4" t="b">
        <f t="shared" ca="1" si="55"/>
        <v>0</v>
      </c>
      <c r="BE135" s="4" t="b">
        <f t="shared" ca="1" si="55"/>
        <v>0</v>
      </c>
      <c r="BF135" s="4" t="b">
        <f t="shared" ca="1" si="55"/>
        <v>0</v>
      </c>
      <c r="BG135" s="4" t="b">
        <f t="shared" ca="1" si="55"/>
        <v>0</v>
      </c>
      <c r="BH135" s="4" t="b">
        <f t="shared" ca="1" si="55"/>
        <v>0</v>
      </c>
      <c r="BI135" s="4" t="b">
        <f t="shared" ca="1" si="55"/>
        <v>0</v>
      </c>
      <c r="BJ135" s="4" t="b">
        <f t="shared" ca="1" si="55"/>
        <v>0</v>
      </c>
      <c r="BK135" s="4" t="b">
        <f t="shared" ca="1" si="55"/>
        <v>0</v>
      </c>
      <c r="BL135" s="4" t="b">
        <f t="shared" ca="1" si="55"/>
        <v>0</v>
      </c>
    </row>
    <row r="136" spans="1:64" x14ac:dyDescent="0.35">
      <c r="C136" s="2" t="s">
        <v>300</v>
      </c>
      <c r="D136" s="4">
        <f ca="1">MIN(135:135)</f>
        <v>1.3612558098336496</v>
      </c>
    </row>
    <row r="137" spans="1:64" x14ac:dyDescent="0.35">
      <c r="C137" s="2" t="s">
        <v>314</v>
      </c>
      <c r="D137" s="4">
        <f ca="1">AVERAGE(135:135)</f>
        <v>1.3612558098336505</v>
      </c>
    </row>
    <row r="139" spans="1:64" x14ac:dyDescent="0.35">
      <c r="B139" s="2" t="s">
        <v>306</v>
      </c>
    </row>
    <row r="140" spans="1:64" x14ac:dyDescent="0.35">
      <c r="C140" s="2" t="s">
        <v>307</v>
      </c>
      <c r="D140" s="4">
        <f>D70</f>
        <v>4198.9139062500008</v>
      </c>
    </row>
    <row r="141" spans="1:64" x14ac:dyDescent="0.35">
      <c r="C141" s="2" t="s">
        <v>308</v>
      </c>
      <c r="D141" s="4">
        <f>D28+D29+D30</f>
        <v>4419.9093750000002</v>
      </c>
    </row>
    <row r="142" spans="1:64" x14ac:dyDescent="0.35">
      <c r="C142" s="2" t="s">
        <v>306</v>
      </c>
      <c r="D142" s="12">
        <f>D140/D141</f>
        <v>0.95000000000000018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8609" r:id="rId4" name="Button 1">
              <controlPr defaultSize="0" print="0" autoFill="0" autoPict="0" macro="[0]!total_tax_func">
                <anchor moveWithCells="1" sizeWithCells="1">
                  <from>
                    <xdr:col>12</xdr:col>
                    <xdr:colOff>127000</xdr:colOff>
                    <xdr:row>1</xdr:row>
                    <xdr:rowOff>171450</xdr:rowOff>
                  </from>
                  <to>
                    <xdr:col>13</xdr:col>
                    <xdr:colOff>603250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0" r:id="rId5" name="Check Box 2">
              <controlPr defaultSize="0" autoFill="0" autoLine="0" autoPict="0">
                <anchor moveWithCells="1">
                  <from>
                    <xdr:col>4</xdr:col>
                    <xdr:colOff>31750</xdr:colOff>
                    <xdr:row>13</xdr:row>
                    <xdr:rowOff>12700</xdr:rowOff>
                  </from>
                  <to>
                    <xdr:col>5</xdr:col>
                    <xdr:colOff>247650</xdr:colOff>
                    <xdr:row>14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02" r:id="rId6" name="Spinner 94">
              <controlPr defaultSize="0" autoPict="0">
                <anchor moveWithCells="1" sizeWithCells="1">
                  <from>
                    <xdr:col>4</xdr:col>
                    <xdr:colOff>107950</xdr:colOff>
                    <xdr:row>36</xdr:row>
                    <xdr:rowOff>184150</xdr:rowOff>
                  </from>
                  <to>
                    <xdr:col>4</xdr:col>
                    <xdr:colOff>412750</xdr:colOff>
                    <xdr:row>38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03" r:id="rId7" name="Spinner 95">
              <controlPr defaultSize="0" autoPict="0">
                <anchor moveWithCells="1" sizeWithCells="1">
                  <from>
                    <xdr:col>11</xdr:col>
                    <xdr:colOff>165100</xdr:colOff>
                    <xdr:row>16</xdr:row>
                    <xdr:rowOff>171450</xdr:rowOff>
                  </from>
                  <to>
                    <xdr:col>11</xdr:col>
                    <xdr:colOff>469900</xdr:colOff>
                    <xdr:row>18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9">
    <tabColor rgb="FFFFFF00"/>
  </sheetPr>
  <dimension ref="A1:BL142"/>
  <sheetViews>
    <sheetView zoomScale="80" zoomScaleNormal="80" workbookViewId="0">
      <pane xSplit="4" ySplit="8" topLeftCell="E84" activePane="bottomRight" state="frozen"/>
      <selection pane="topRight" activeCell="E1" sqref="E1"/>
      <selection pane="bottomLeft" activeCell="A9" sqref="A9"/>
      <selection pane="bottomRight" activeCell="E100" sqref="E100"/>
    </sheetView>
  </sheetViews>
  <sheetFormatPr defaultColWidth="9.1796875" defaultRowHeight="14.5" outlineLevelRow="1" x14ac:dyDescent="0.35"/>
  <cols>
    <col min="1" max="2" width="1.26953125" style="2" customWidth="1"/>
    <col min="3" max="3" width="38.81640625" style="2" customWidth="1"/>
    <col min="4" max="4" width="12.7265625" style="2" customWidth="1"/>
    <col min="5" max="64" width="10.81640625" style="2" customWidth="1"/>
    <col min="65" max="16384" width="9.1796875" style="2"/>
  </cols>
  <sheetData>
    <row r="1" spans="1:18" ht="26" x14ac:dyDescent="0.6">
      <c r="C1" s="89" t="s">
        <v>503</v>
      </c>
      <c r="M1" s="2" t="s">
        <v>449</v>
      </c>
    </row>
    <row r="2" spans="1:18" ht="26" x14ac:dyDescent="0.6">
      <c r="C2" s="89" t="s">
        <v>504</v>
      </c>
    </row>
    <row r="3" spans="1:18" ht="26" x14ac:dyDescent="0.6">
      <c r="C3" s="89" t="s">
        <v>505</v>
      </c>
    </row>
    <row r="5" spans="1:18" s="40" customFormat="1" x14ac:dyDescent="0.35">
      <c r="A5" s="40" t="s">
        <v>77</v>
      </c>
    </row>
    <row r="6" spans="1:18" x14ac:dyDescent="0.35">
      <c r="A6" s="1"/>
      <c r="B6" s="2" t="s">
        <v>65</v>
      </c>
      <c r="D6" s="13">
        <v>1</v>
      </c>
      <c r="E6" s="13">
        <v>5</v>
      </c>
      <c r="F6" s="13">
        <v>10</v>
      </c>
      <c r="K6" s="2" t="s">
        <v>132</v>
      </c>
    </row>
    <row r="7" spans="1:18" x14ac:dyDescent="0.35">
      <c r="A7" s="1"/>
      <c r="B7" s="2" t="s">
        <v>24</v>
      </c>
      <c r="D7" s="157">
        <v>0.03</v>
      </c>
      <c r="E7" s="157">
        <v>3.5000000000000003E-2</v>
      </c>
      <c r="F7" s="157">
        <v>0.04</v>
      </c>
      <c r="K7" s="2" t="s">
        <v>133</v>
      </c>
      <c r="R7" s="2" t="s">
        <v>129</v>
      </c>
    </row>
    <row r="8" spans="1:18" x14ac:dyDescent="0.35">
      <c r="A8" s="1"/>
      <c r="B8" s="2" t="s">
        <v>84</v>
      </c>
      <c r="D8" s="15">
        <v>1.3</v>
      </c>
      <c r="E8" s="4"/>
      <c r="F8" s="4"/>
      <c r="K8" s="2" t="s">
        <v>134</v>
      </c>
      <c r="R8" s="2" t="s">
        <v>126</v>
      </c>
    </row>
    <row r="9" spans="1:18" x14ac:dyDescent="0.35">
      <c r="A9" s="1"/>
      <c r="D9" s="4"/>
      <c r="E9" s="12"/>
      <c r="F9" s="12"/>
      <c r="R9" s="2" t="s">
        <v>127</v>
      </c>
    </row>
    <row r="10" spans="1:18" x14ac:dyDescent="0.35">
      <c r="A10" s="1"/>
      <c r="B10" s="2" t="s">
        <v>85</v>
      </c>
      <c r="D10" s="13">
        <v>20</v>
      </c>
      <c r="K10" s="2" t="s">
        <v>140</v>
      </c>
      <c r="R10" s="2" t="s">
        <v>128</v>
      </c>
    </row>
    <row r="11" spans="1:18" x14ac:dyDescent="0.35">
      <c r="H11" s="12"/>
      <c r="K11" s="2" t="s">
        <v>456</v>
      </c>
    </row>
    <row r="12" spans="1:18" x14ac:dyDescent="0.35">
      <c r="B12" s="2" t="s">
        <v>222</v>
      </c>
      <c r="D12" s="13" t="b">
        <v>0</v>
      </c>
      <c r="G12" s="1" t="s">
        <v>320</v>
      </c>
      <c r="H12" s="12"/>
      <c r="K12" s="2" t="s">
        <v>142</v>
      </c>
      <c r="R12" s="2" t="s">
        <v>130</v>
      </c>
    </row>
    <row r="13" spans="1:18" x14ac:dyDescent="0.35">
      <c r="B13" s="2" t="s">
        <v>229</v>
      </c>
      <c r="D13" s="2" t="b">
        <f>NOT(D12)</f>
        <v>1</v>
      </c>
      <c r="G13" s="115" t="s">
        <v>304</v>
      </c>
      <c r="H13" s="116">
        <f ca="1">D80</f>
        <v>1.9610979506978765E-12</v>
      </c>
      <c r="K13" s="2" t="s">
        <v>457</v>
      </c>
      <c r="R13" s="2" t="s">
        <v>131</v>
      </c>
    </row>
    <row r="14" spans="1:18" x14ac:dyDescent="0.35">
      <c r="A14" s="1"/>
      <c r="G14" s="117" t="s">
        <v>305</v>
      </c>
      <c r="H14" s="118">
        <f ca="1">D79</f>
        <v>4.7649522120006019E-11</v>
      </c>
      <c r="R14" s="2" t="s">
        <v>137</v>
      </c>
    </row>
    <row r="15" spans="1:18" x14ac:dyDescent="0.35">
      <c r="A15" s="1"/>
      <c r="B15" s="2" t="s">
        <v>78</v>
      </c>
      <c r="D15" s="13">
        <v>12</v>
      </c>
      <c r="G15" s="117" t="s">
        <v>315</v>
      </c>
      <c r="H15" s="119">
        <f>D135</f>
        <v>0.94999999999999984</v>
      </c>
      <c r="I15" s="3">
        <f>D33</f>
        <v>0.95</v>
      </c>
    </row>
    <row r="16" spans="1:18" x14ac:dyDescent="0.35">
      <c r="A16" s="1"/>
      <c r="B16" s="2" t="s">
        <v>82</v>
      </c>
      <c r="D16" s="2">
        <f>D15/6</f>
        <v>2</v>
      </c>
      <c r="G16" s="117" t="s">
        <v>300</v>
      </c>
      <c r="H16" s="118">
        <f ca="1">D141</f>
        <v>1.6429263968925525</v>
      </c>
      <c r="I16" s="4">
        <f>D8</f>
        <v>1.3</v>
      </c>
      <c r="K16" s="2" t="s">
        <v>182</v>
      </c>
      <c r="L16" s="12">
        <f>D36</f>
        <v>0.3</v>
      </c>
    </row>
    <row r="17" spans="1:16" x14ac:dyDescent="0.35">
      <c r="A17" s="1"/>
      <c r="B17" s="2" t="s">
        <v>454</v>
      </c>
      <c r="D17" s="157">
        <v>0.01</v>
      </c>
      <c r="G17" s="117" t="s">
        <v>301</v>
      </c>
      <c r="H17" s="118">
        <f ca="1">D142</f>
        <v>1.6429263968925536</v>
      </c>
    </row>
    <row r="18" spans="1:16" x14ac:dyDescent="0.35">
      <c r="A18" s="1"/>
      <c r="B18" s="2" t="s">
        <v>171</v>
      </c>
      <c r="D18" s="157">
        <v>2.5000000000000001E-3</v>
      </c>
      <c r="G18" s="117" t="s">
        <v>309</v>
      </c>
      <c r="H18" s="119">
        <f ca="1">D130</f>
        <v>0.30224792647880783</v>
      </c>
    </row>
    <row r="19" spans="1:16" x14ac:dyDescent="0.35">
      <c r="A19" s="1"/>
      <c r="G19" s="120" t="s">
        <v>321</v>
      </c>
      <c r="H19" s="121">
        <f>D69</f>
        <v>3799.9999999999995</v>
      </c>
      <c r="I19" s="4">
        <f>D56</f>
        <v>6243.1203081917001</v>
      </c>
    </row>
    <row r="20" spans="1:16" x14ac:dyDescent="0.35">
      <c r="A20" s="1"/>
      <c r="B20" s="2" t="s">
        <v>415</v>
      </c>
      <c r="D20" s="13">
        <v>150</v>
      </c>
    </row>
    <row r="21" spans="1:16" x14ac:dyDescent="0.35">
      <c r="A21" s="1"/>
    </row>
    <row r="22" spans="1:16" x14ac:dyDescent="0.35">
      <c r="A22" s="1"/>
      <c r="B22" s="2" t="s">
        <v>30</v>
      </c>
      <c r="D22" s="13">
        <v>1</v>
      </c>
      <c r="E22" s="13">
        <v>4</v>
      </c>
      <c r="F22" s="13">
        <v>6</v>
      </c>
    </row>
    <row r="23" spans="1:16" x14ac:dyDescent="0.35">
      <c r="A23" s="1"/>
      <c r="B23" s="2" t="s">
        <v>38</v>
      </c>
      <c r="D23" s="14">
        <v>0.05</v>
      </c>
      <c r="E23" s="14">
        <v>0.05</v>
      </c>
      <c r="F23" s="14">
        <v>0.03</v>
      </c>
    </row>
    <row r="24" spans="1:16" x14ac:dyDescent="0.35">
      <c r="A24" s="1"/>
      <c r="D24" s="3"/>
      <c r="E24" s="3"/>
      <c r="F24" s="3"/>
    </row>
    <row r="25" spans="1:16" x14ac:dyDescent="0.35">
      <c r="A25" s="1"/>
      <c r="B25" s="158" t="s">
        <v>490</v>
      </c>
      <c r="C25" s="159"/>
      <c r="D25" s="163">
        <f>1/40</f>
        <v>2.5000000000000001E-2</v>
      </c>
      <c r="E25" s="3"/>
      <c r="F25" s="3"/>
    </row>
    <row r="26" spans="1:16" x14ac:dyDescent="0.35">
      <c r="A26" s="1"/>
      <c r="B26" s="160" t="s">
        <v>491</v>
      </c>
      <c r="C26" s="161"/>
      <c r="D26" s="164">
        <v>0.15</v>
      </c>
      <c r="E26" s="3"/>
      <c r="F26" s="3"/>
    </row>
    <row r="27" spans="1:16" x14ac:dyDescent="0.35">
      <c r="A27" s="1"/>
    </row>
    <row r="28" spans="1:16" x14ac:dyDescent="0.35">
      <c r="A28" s="1"/>
      <c r="B28" s="2" t="s">
        <v>12</v>
      </c>
      <c r="D28" s="15">
        <v>4000</v>
      </c>
      <c r="G28" s="32" t="s">
        <v>97</v>
      </c>
      <c r="H28" s="32" t="s">
        <v>10</v>
      </c>
      <c r="I28" s="32" t="s">
        <v>15</v>
      </c>
      <c r="J28" s="32"/>
    </row>
    <row r="29" spans="1:16" x14ac:dyDescent="0.35">
      <c r="A29" s="1"/>
      <c r="B29" s="2" t="s">
        <v>95</v>
      </c>
      <c r="D29" s="4">
        <f>G29</f>
        <v>0</v>
      </c>
      <c r="G29" s="31">
        <f>E104</f>
        <v>0</v>
      </c>
      <c r="H29" s="30"/>
      <c r="I29" s="30"/>
      <c r="J29" s="28"/>
      <c r="N29" s="4"/>
      <c r="O29" s="4"/>
      <c r="P29" s="4"/>
    </row>
    <row r="30" spans="1:16" x14ac:dyDescent="0.35">
      <c r="A30" s="1"/>
      <c r="B30" s="2" t="s">
        <v>500</v>
      </c>
      <c r="D30" s="61"/>
      <c r="E30" s="12">
        <f>D30/H19</f>
        <v>0</v>
      </c>
      <c r="G30" s="165"/>
      <c r="H30" s="105"/>
      <c r="I30" s="105"/>
      <c r="J30" s="105"/>
      <c r="N30" s="4"/>
      <c r="O30" s="4"/>
      <c r="P30" s="4"/>
    </row>
    <row r="31" spans="1:16" ht="15" thickBot="1" x14ac:dyDescent="0.4">
      <c r="A31" s="1"/>
      <c r="B31" s="24" t="s">
        <v>501</v>
      </c>
      <c r="C31" s="24"/>
      <c r="D31" s="25">
        <f>D28+D29+D30</f>
        <v>4000</v>
      </c>
      <c r="G31" s="165"/>
      <c r="H31" s="105"/>
      <c r="I31" s="105"/>
      <c r="J31" s="105"/>
      <c r="N31" s="4"/>
      <c r="O31" s="4"/>
      <c r="P31" s="4"/>
    </row>
    <row r="32" spans="1:16" x14ac:dyDescent="0.35">
      <c r="A32" s="1"/>
      <c r="D32" s="4"/>
      <c r="G32" s="165"/>
      <c r="H32" s="105"/>
      <c r="I32" s="105"/>
      <c r="J32" s="105"/>
      <c r="N32" s="4"/>
      <c r="O32" s="4"/>
      <c r="P32" s="4"/>
    </row>
    <row r="33" spans="1:64" outlineLevel="1" x14ac:dyDescent="0.35">
      <c r="A33" s="1"/>
      <c r="B33" s="2" t="s">
        <v>86</v>
      </c>
      <c r="D33" s="14">
        <v>0.95</v>
      </c>
      <c r="I33" s="26"/>
    </row>
    <row r="34" spans="1:64" outlineLevel="1" x14ac:dyDescent="0.35">
      <c r="A34" s="1"/>
      <c r="B34" s="2" t="s">
        <v>329</v>
      </c>
      <c r="D34" s="4">
        <f>D31*D33</f>
        <v>3800</v>
      </c>
    </row>
    <row r="35" spans="1:64" outlineLevel="1" x14ac:dyDescent="0.35">
      <c r="A35" s="1"/>
      <c r="D35" s="4"/>
    </row>
    <row r="36" spans="1:64" outlineLevel="1" x14ac:dyDescent="0.35">
      <c r="A36" s="1"/>
      <c r="B36" s="2" t="s">
        <v>182</v>
      </c>
      <c r="D36" s="157">
        <f>F36/100</f>
        <v>0.3</v>
      </c>
      <c r="F36" s="2">
        <v>30</v>
      </c>
    </row>
    <row r="37" spans="1:64" s="10" customFormat="1" outlineLevel="1" x14ac:dyDescent="0.35">
      <c r="A37" s="22"/>
    </row>
    <row r="38" spans="1:64" s="98" customFormat="1" outlineLevel="1" x14ac:dyDescent="0.35">
      <c r="A38" s="98" t="s">
        <v>210</v>
      </c>
    </row>
    <row r="39" spans="1:64" x14ac:dyDescent="0.35">
      <c r="A39" s="1"/>
      <c r="B39" s="2" t="s">
        <v>65</v>
      </c>
      <c r="E39" s="13">
        <v>1</v>
      </c>
      <c r="F39" s="13">
        <v>2</v>
      </c>
      <c r="G39" s="13">
        <v>3</v>
      </c>
      <c r="H39" s="13">
        <v>4</v>
      </c>
      <c r="I39" s="13">
        <v>5</v>
      </c>
      <c r="J39" s="13">
        <v>6</v>
      </c>
      <c r="K39" s="13">
        <v>7</v>
      </c>
      <c r="L39" s="13">
        <v>8</v>
      </c>
      <c r="M39" s="13">
        <v>9</v>
      </c>
      <c r="N39" s="13">
        <v>10</v>
      </c>
      <c r="O39" s="13">
        <v>11</v>
      </c>
      <c r="P39" s="13">
        <v>12</v>
      </c>
      <c r="Q39" s="13">
        <v>13</v>
      </c>
      <c r="R39" s="13">
        <v>14</v>
      </c>
      <c r="S39" s="13">
        <v>15</v>
      </c>
      <c r="T39" s="13">
        <v>16</v>
      </c>
      <c r="U39" s="13">
        <v>17</v>
      </c>
      <c r="V39" s="13">
        <v>18</v>
      </c>
      <c r="W39" s="13">
        <v>19</v>
      </c>
      <c r="X39" s="13">
        <v>20</v>
      </c>
      <c r="Y39" s="13">
        <v>21</v>
      </c>
      <c r="Z39" s="13">
        <v>22</v>
      </c>
      <c r="AA39" s="13">
        <v>23</v>
      </c>
      <c r="AB39" s="13">
        <v>24</v>
      </c>
      <c r="AC39" s="13">
        <v>25</v>
      </c>
      <c r="AD39" s="13">
        <v>26</v>
      </c>
      <c r="AE39" s="13">
        <v>27</v>
      </c>
      <c r="AF39" s="13">
        <v>28</v>
      </c>
      <c r="AG39" s="13">
        <v>29</v>
      </c>
      <c r="AH39" s="13">
        <v>30</v>
      </c>
      <c r="AI39" s="13">
        <v>31</v>
      </c>
      <c r="AJ39" s="13">
        <v>32</v>
      </c>
      <c r="AK39" s="13">
        <v>33</v>
      </c>
      <c r="AL39" s="13">
        <v>34</v>
      </c>
      <c r="AM39" s="13">
        <v>35</v>
      </c>
      <c r="AN39" s="13">
        <v>36</v>
      </c>
      <c r="AO39" s="13">
        <v>37</v>
      </c>
      <c r="AP39" s="13">
        <v>38</v>
      </c>
      <c r="AQ39" s="13">
        <v>39</v>
      </c>
      <c r="AR39" s="13">
        <v>40</v>
      </c>
      <c r="AS39" s="13">
        <v>41</v>
      </c>
      <c r="AT39" s="13">
        <v>42</v>
      </c>
      <c r="AU39" s="13">
        <v>43</v>
      </c>
      <c r="AV39" s="13">
        <v>44</v>
      </c>
      <c r="AW39" s="13">
        <v>45</v>
      </c>
      <c r="AX39" s="13">
        <v>46</v>
      </c>
      <c r="AY39" s="13">
        <v>47</v>
      </c>
      <c r="AZ39" s="13">
        <v>48</v>
      </c>
      <c r="BA39" s="13">
        <v>49</v>
      </c>
      <c r="BB39" s="13">
        <v>50</v>
      </c>
      <c r="BC39" s="13">
        <v>51</v>
      </c>
      <c r="BD39" s="13">
        <v>52</v>
      </c>
      <c r="BE39" s="13">
        <v>53</v>
      </c>
      <c r="BF39" s="13">
        <v>54</v>
      </c>
      <c r="BG39" s="13">
        <v>55</v>
      </c>
      <c r="BH39" s="13">
        <v>56</v>
      </c>
      <c r="BI39" s="13">
        <v>57</v>
      </c>
      <c r="BJ39" s="13">
        <v>58</v>
      </c>
      <c r="BK39" s="13">
        <v>59</v>
      </c>
      <c r="BL39" s="13">
        <v>60</v>
      </c>
    </row>
    <row r="40" spans="1:64" x14ac:dyDescent="0.35">
      <c r="A40" s="1"/>
      <c r="B40" s="2" t="s">
        <v>30</v>
      </c>
      <c r="E40" s="2">
        <f t="shared" ref="E40:BL40" si="0">ROUNDUP(E39/2,0)</f>
        <v>1</v>
      </c>
      <c r="F40" s="2">
        <f t="shared" si="0"/>
        <v>1</v>
      </c>
      <c r="G40" s="2">
        <f t="shared" si="0"/>
        <v>2</v>
      </c>
      <c r="H40" s="2">
        <f t="shared" si="0"/>
        <v>2</v>
      </c>
      <c r="I40" s="2">
        <f t="shared" si="0"/>
        <v>3</v>
      </c>
      <c r="J40" s="2">
        <f t="shared" si="0"/>
        <v>3</v>
      </c>
      <c r="K40" s="2">
        <f t="shared" si="0"/>
        <v>4</v>
      </c>
      <c r="L40" s="2">
        <f t="shared" si="0"/>
        <v>4</v>
      </c>
      <c r="M40" s="2">
        <f t="shared" si="0"/>
        <v>5</v>
      </c>
      <c r="N40" s="2">
        <f t="shared" si="0"/>
        <v>5</v>
      </c>
      <c r="O40" s="2">
        <f t="shared" si="0"/>
        <v>6</v>
      </c>
      <c r="P40" s="2">
        <f t="shared" si="0"/>
        <v>6</v>
      </c>
      <c r="Q40" s="2">
        <f t="shared" si="0"/>
        <v>7</v>
      </c>
      <c r="R40" s="2">
        <f t="shared" si="0"/>
        <v>7</v>
      </c>
      <c r="S40" s="2">
        <f t="shared" si="0"/>
        <v>8</v>
      </c>
      <c r="T40" s="2">
        <f t="shared" si="0"/>
        <v>8</v>
      </c>
      <c r="U40" s="2">
        <f t="shared" si="0"/>
        <v>9</v>
      </c>
      <c r="V40" s="2">
        <f t="shared" si="0"/>
        <v>9</v>
      </c>
      <c r="W40" s="2">
        <f t="shared" si="0"/>
        <v>10</v>
      </c>
      <c r="X40" s="2">
        <f t="shared" si="0"/>
        <v>10</v>
      </c>
      <c r="Y40" s="2">
        <f t="shared" si="0"/>
        <v>11</v>
      </c>
      <c r="Z40" s="2">
        <f t="shared" si="0"/>
        <v>11</v>
      </c>
      <c r="AA40" s="2">
        <f t="shared" si="0"/>
        <v>12</v>
      </c>
      <c r="AB40" s="2">
        <f t="shared" si="0"/>
        <v>12</v>
      </c>
      <c r="AC40" s="2">
        <f t="shared" si="0"/>
        <v>13</v>
      </c>
      <c r="AD40" s="2">
        <f t="shared" si="0"/>
        <v>13</v>
      </c>
      <c r="AE40" s="2">
        <f t="shared" si="0"/>
        <v>14</v>
      </c>
      <c r="AF40" s="2">
        <f t="shared" si="0"/>
        <v>14</v>
      </c>
      <c r="AG40" s="2">
        <f t="shared" si="0"/>
        <v>15</v>
      </c>
      <c r="AH40" s="2">
        <f t="shared" si="0"/>
        <v>15</v>
      </c>
      <c r="AI40" s="2">
        <f t="shared" si="0"/>
        <v>16</v>
      </c>
      <c r="AJ40" s="2">
        <f t="shared" si="0"/>
        <v>16</v>
      </c>
      <c r="AK40" s="2">
        <f t="shared" si="0"/>
        <v>17</v>
      </c>
      <c r="AL40" s="2">
        <f t="shared" si="0"/>
        <v>17</v>
      </c>
      <c r="AM40" s="2">
        <f t="shared" si="0"/>
        <v>18</v>
      </c>
      <c r="AN40" s="2">
        <f t="shared" si="0"/>
        <v>18</v>
      </c>
      <c r="AO40" s="2">
        <f t="shared" si="0"/>
        <v>19</v>
      </c>
      <c r="AP40" s="2">
        <f t="shared" si="0"/>
        <v>19</v>
      </c>
      <c r="AQ40" s="2">
        <f t="shared" si="0"/>
        <v>20</v>
      </c>
      <c r="AR40" s="2">
        <f t="shared" si="0"/>
        <v>20</v>
      </c>
      <c r="AS40" s="2">
        <f t="shared" si="0"/>
        <v>21</v>
      </c>
      <c r="AT40" s="2">
        <f t="shared" si="0"/>
        <v>21</v>
      </c>
      <c r="AU40" s="2">
        <f t="shared" si="0"/>
        <v>22</v>
      </c>
      <c r="AV40" s="2">
        <f t="shared" si="0"/>
        <v>22</v>
      </c>
      <c r="AW40" s="2">
        <f t="shared" si="0"/>
        <v>23</v>
      </c>
      <c r="AX40" s="2">
        <f t="shared" si="0"/>
        <v>23</v>
      </c>
      <c r="AY40" s="2">
        <f t="shared" si="0"/>
        <v>24</v>
      </c>
      <c r="AZ40" s="2">
        <f t="shared" si="0"/>
        <v>24</v>
      </c>
      <c r="BA40" s="2">
        <f t="shared" si="0"/>
        <v>25</v>
      </c>
      <c r="BB40" s="2">
        <f t="shared" si="0"/>
        <v>25</v>
      </c>
      <c r="BC40" s="2">
        <f t="shared" si="0"/>
        <v>26</v>
      </c>
      <c r="BD40" s="2">
        <f t="shared" si="0"/>
        <v>26</v>
      </c>
      <c r="BE40" s="2">
        <f t="shared" si="0"/>
        <v>27</v>
      </c>
      <c r="BF40" s="2">
        <f t="shared" si="0"/>
        <v>27</v>
      </c>
      <c r="BG40" s="2">
        <f t="shared" si="0"/>
        <v>28</v>
      </c>
      <c r="BH40" s="2">
        <f t="shared" si="0"/>
        <v>28</v>
      </c>
      <c r="BI40" s="2">
        <f t="shared" si="0"/>
        <v>29</v>
      </c>
      <c r="BJ40" s="2">
        <f t="shared" si="0"/>
        <v>29</v>
      </c>
      <c r="BK40" s="2">
        <f t="shared" si="0"/>
        <v>30</v>
      </c>
      <c r="BL40" s="2">
        <f t="shared" si="0"/>
        <v>30</v>
      </c>
    </row>
    <row r="41" spans="1:64" x14ac:dyDescent="0.35">
      <c r="A41" s="1"/>
      <c r="C41" s="2" t="s">
        <v>80</v>
      </c>
      <c r="E41" s="2" t="b">
        <f t="shared" ref="E41:BL41" si="1">E39&lt;=$D$10*2</f>
        <v>1</v>
      </c>
      <c r="F41" s="2" t="b">
        <f t="shared" si="1"/>
        <v>1</v>
      </c>
      <c r="G41" s="2" t="b">
        <f t="shared" si="1"/>
        <v>1</v>
      </c>
      <c r="H41" s="2" t="b">
        <f t="shared" si="1"/>
        <v>1</v>
      </c>
      <c r="I41" s="2" t="b">
        <f t="shared" si="1"/>
        <v>1</v>
      </c>
      <c r="J41" s="2" t="b">
        <f t="shared" si="1"/>
        <v>1</v>
      </c>
      <c r="K41" s="2" t="b">
        <f t="shared" si="1"/>
        <v>1</v>
      </c>
      <c r="L41" s="2" t="b">
        <f t="shared" si="1"/>
        <v>1</v>
      </c>
      <c r="M41" s="2" t="b">
        <f t="shared" si="1"/>
        <v>1</v>
      </c>
      <c r="N41" s="2" t="b">
        <f t="shared" si="1"/>
        <v>1</v>
      </c>
      <c r="O41" s="2" t="b">
        <f t="shared" si="1"/>
        <v>1</v>
      </c>
      <c r="P41" s="2" t="b">
        <f t="shared" si="1"/>
        <v>1</v>
      </c>
      <c r="Q41" s="2" t="b">
        <f t="shared" si="1"/>
        <v>1</v>
      </c>
      <c r="R41" s="2" t="b">
        <f t="shared" si="1"/>
        <v>1</v>
      </c>
      <c r="S41" s="2" t="b">
        <f t="shared" si="1"/>
        <v>1</v>
      </c>
      <c r="T41" s="2" t="b">
        <f t="shared" si="1"/>
        <v>1</v>
      </c>
      <c r="U41" s="2" t="b">
        <f t="shared" si="1"/>
        <v>1</v>
      </c>
      <c r="V41" s="2" t="b">
        <f t="shared" si="1"/>
        <v>1</v>
      </c>
      <c r="W41" s="2" t="b">
        <f t="shared" si="1"/>
        <v>1</v>
      </c>
      <c r="X41" s="2" t="b">
        <f t="shared" si="1"/>
        <v>1</v>
      </c>
      <c r="Y41" s="2" t="b">
        <f t="shared" si="1"/>
        <v>1</v>
      </c>
      <c r="Z41" s="2" t="b">
        <f t="shared" si="1"/>
        <v>1</v>
      </c>
      <c r="AA41" s="2" t="b">
        <f t="shared" si="1"/>
        <v>1</v>
      </c>
      <c r="AB41" s="2" t="b">
        <f t="shared" si="1"/>
        <v>1</v>
      </c>
      <c r="AC41" s="2" t="b">
        <f t="shared" si="1"/>
        <v>1</v>
      </c>
      <c r="AD41" s="2" t="b">
        <f t="shared" si="1"/>
        <v>1</v>
      </c>
      <c r="AE41" s="2" t="b">
        <f t="shared" si="1"/>
        <v>1</v>
      </c>
      <c r="AF41" s="2" t="b">
        <f t="shared" si="1"/>
        <v>1</v>
      </c>
      <c r="AG41" s="2" t="b">
        <f t="shared" si="1"/>
        <v>1</v>
      </c>
      <c r="AH41" s="2" t="b">
        <f t="shared" si="1"/>
        <v>1</v>
      </c>
      <c r="AI41" s="2" t="b">
        <f t="shared" si="1"/>
        <v>1</v>
      </c>
      <c r="AJ41" s="2" t="b">
        <f t="shared" si="1"/>
        <v>1</v>
      </c>
      <c r="AK41" s="2" t="b">
        <f t="shared" si="1"/>
        <v>1</v>
      </c>
      <c r="AL41" s="2" t="b">
        <f t="shared" si="1"/>
        <v>1</v>
      </c>
      <c r="AM41" s="2" t="b">
        <f t="shared" si="1"/>
        <v>1</v>
      </c>
      <c r="AN41" s="2" t="b">
        <f t="shared" si="1"/>
        <v>1</v>
      </c>
      <c r="AO41" s="2" t="b">
        <f t="shared" si="1"/>
        <v>1</v>
      </c>
      <c r="AP41" s="2" t="b">
        <f t="shared" si="1"/>
        <v>1</v>
      </c>
      <c r="AQ41" s="2" t="b">
        <f t="shared" si="1"/>
        <v>1</v>
      </c>
      <c r="AR41" s="2" t="b">
        <f t="shared" si="1"/>
        <v>1</v>
      </c>
      <c r="AS41" s="2" t="b">
        <f t="shared" si="1"/>
        <v>0</v>
      </c>
      <c r="AT41" s="2" t="b">
        <f t="shared" si="1"/>
        <v>0</v>
      </c>
      <c r="AU41" s="2" t="b">
        <f t="shared" si="1"/>
        <v>0</v>
      </c>
      <c r="AV41" s="2" t="b">
        <f t="shared" si="1"/>
        <v>0</v>
      </c>
      <c r="AW41" s="2" t="b">
        <f t="shared" si="1"/>
        <v>0</v>
      </c>
      <c r="AX41" s="2" t="b">
        <f t="shared" si="1"/>
        <v>0</v>
      </c>
      <c r="AY41" s="2" t="b">
        <f t="shared" si="1"/>
        <v>0</v>
      </c>
      <c r="AZ41" s="2" t="b">
        <f t="shared" si="1"/>
        <v>0</v>
      </c>
      <c r="BA41" s="2" t="b">
        <f t="shared" si="1"/>
        <v>0</v>
      </c>
      <c r="BB41" s="2" t="b">
        <f t="shared" si="1"/>
        <v>0</v>
      </c>
      <c r="BC41" s="2" t="b">
        <f t="shared" si="1"/>
        <v>0</v>
      </c>
      <c r="BD41" s="2" t="b">
        <f t="shared" si="1"/>
        <v>0</v>
      </c>
      <c r="BE41" s="2" t="b">
        <f t="shared" si="1"/>
        <v>0</v>
      </c>
      <c r="BF41" s="2" t="b">
        <f t="shared" si="1"/>
        <v>0</v>
      </c>
      <c r="BG41" s="2" t="b">
        <f t="shared" si="1"/>
        <v>0</v>
      </c>
      <c r="BH41" s="2" t="b">
        <f t="shared" si="1"/>
        <v>0</v>
      </c>
      <c r="BI41" s="2" t="b">
        <f t="shared" si="1"/>
        <v>0</v>
      </c>
      <c r="BJ41" s="2" t="b">
        <f t="shared" si="1"/>
        <v>0</v>
      </c>
      <c r="BK41" s="2" t="b">
        <f t="shared" si="1"/>
        <v>0</v>
      </c>
      <c r="BL41" s="2" t="b">
        <f t="shared" si="1"/>
        <v>0</v>
      </c>
    </row>
    <row r="42" spans="1:64" x14ac:dyDescent="0.35">
      <c r="A42" s="1"/>
      <c r="C42" s="2" t="s">
        <v>144</v>
      </c>
      <c r="E42" s="13" t="b">
        <v>1</v>
      </c>
      <c r="F42" s="13" t="b">
        <v>1</v>
      </c>
      <c r="G42" s="13" t="b">
        <v>1</v>
      </c>
      <c r="H42" s="13" t="b">
        <v>1</v>
      </c>
      <c r="I42" s="13" t="b">
        <v>1</v>
      </c>
      <c r="J42" s="13" t="b">
        <v>1</v>
      </c>
      <c r="K42" s="13" t="b">
        <v>1</v>
      </c>
      <c r="L42" s="13" t="b">
        <v>1</v>
      </c>
      <c r="M42" s="13" t="b">
        <v>1</v>
      </c>
      <c r="N42" s="13" t="b">
        <v>1</v>
      </c>
      <c r="O42" s="13" t="b">
        <v>1</v>
      </c>
      <c r="P42" s="13" t="b">
        <v>1</v>
      </c>
      <c r="Q42" s="13" t="b">
        <v>1</v>
      </c>
      <c r="R42" s="13" t="b">
        <v>1</v>
      </c>
      <c r="S42" s="13" t="b">
        <v>1</v>
      </c>
      <c r="T42" s="13" t="b">
        <v>1</v>
      </c>
      <c r="U42" s="13" t="b">
        <v>1</v>
      </c>
      <c r="V42" s="13" t="b">
        <v>1</v>
      </c>
      <c r="W42" s="13" t="b">
        <v>1</v>
      </c>
      <c r="X42" s="13" t="b">
        <v>1</v>
      </c>
      <c r="Y42" s="13" t="b">
        <v>1</v>
      </c>
      <c r="Z42" s="13" t="b">
        <v>1</v>
      </c>
      <c r="AA42" s="13" t="b">
        <v>1</v>
      </c>
      <c r="AB42" s="13" t="b">
        <v>1</v>
      </c>
      <c r="AC42" s="13" t="b">
        <v>1</v>
      </c>
      <c r="AD42" s="13" t="b">
        <v>1</v>
      </c>
      <c r="AE42" s="13" t="b">
        <v>1</v>
      </c>
      <c r="AF42" s="13" t="b">
        <v>1</v>
      </c>
      <c r="AG42" s="13" t="b">
        <v>1</v>
      </c>
      <c r="AH42" s="13" t="b">
        <v>1</v>
      </c>
      <c r="AI42" s="13" t="b">
        <v>1</v>
      </c>
      <c r="AJ42" s="13" t="b">
        <v>1</v>
      </c>
      <c r="AK42" s="13" t="b">
        <v>1</v>
      </c>
      <c r="AL42" s="13" t="b">
        <v>1</v>
      </c>
      <c r="AM42" s="13" t="b">
        <v>1</v>
      </c>
      <c r="AN42" s="13" t="b">
        <v>1</v>
      </c>
      <c r="AO42" s="13" t="b">
        <v>1</v>
      </c>
      <c r="AP42" s="13" t="b">
        <v>1</v>
      </c>
      <c r="AQ42" s="13" t="b">
        <v>1</v>
      </c>
      <c r="AR42" s="13" t="b">
        <v>1</v>
      </c>
      <c r="AS42" s="13" t="b">
        <v>1</v>
      </c>
      <c r="AT42" s="13" t="b">
        <v>1</v>
      </c>
      <c r="AU42" s="13" t="b">
        <v>1</v>
      </c>
      <c r="AV42" s="13" t="b">
        <v>1</v>
      </c>
      <c r="AW42" s="13" t="b">
        <v>1</v>
      </c>
      <c r="AX42" s="13" t="b">
        <v>1</v>
      </c>
      <c r="AY42" s="13" t="b">
        <v>1</v>
      </c>
      <c r="AZ42" s="13" t="b">
        <v>1</v>
      </c>
      <c r="BA42" s="13" t="b">
        <v>1</v>
      </c>
      <c r="BB42" s="13" t="b">
        <v>1</v>
      </c>
      <c r="BC42" s="13" t="b">
        <v>1</v>
      </c>
      <c r="BD42" s="13" t="b">
        <v>1</v>
      </c>
      <c r="BE42" s="13" t="b">
        <v>1</v>
      </c>
      <c r="BF42" s="13" t="b">
        <v>1</v>
      </c>
      <c r="BG42" s="13" t="b">
        <v>1</v>
      </c>
      <c r="BH42" s="13" t="b">
        <v>1</v>
      </c>
      <c r="BI42" s="13" t="b">
        <v>1</v>
      </c>
      <c r="BJ42" s="13" t="b">
        <v>1</v>
      </c>
      <c r="BK42" s="13" t="b">
        <v>1</v>
      </c>
      <c r="BL42" s="13" t="b">
        <v>1</v>
      </c>
    </row>
    <row r="43" spans="1:64" x14ac:dyDescent="0.35">
      <c r="A43" s="1"/>
    </row>
    <row r="44" spans="1:64" x14ac:dyDescent="0.35">
      <c r="A44" s="1"/>
      <c r="C44" s="2" t="s">
        <v>38</v>
      </c>
      <c r="E44" s="12">
        <f t="shared" ref="E44:BL44" si="2">LOOKUP(E40,22:22,23:23)/2</f>
        <v>2.5000000000000001E-2</v>
      </c>
      <c r="F44" s="12">
        <f t="shared" si="2"/>
        <v>2.5000000000000001E-2</v>
      </c>
      <c r="G44" s="12">
        <f t="shared" si="2"/>
        <v>2.5000000000000001E-2</v>
      </c>
      <c r="H44" s="12">
        <f t="shared" si="2"/>
        <v>2.5000000000000001E-2</v>
      </c>
      <c r="I44" s="12">
        <f t="shared" si="2"/>
        <v>2.5000000000000001E-2</v>
      </c>
      <c r="J44" s="12">
        <f t="shared" si="2"/>
        <v>2.5000000000000001E-2</v>
      </c>
      <c r="K44" s="12">
        <f t="shared" si="2"/>
        <v>2.5000000000000001E-2</v>
      </c>
      <c r="L44" s="12">
        <f t="shared" si="2"/>
        <v>2.5000000000000001E-2</v>
      </c>
      <c r="M44" s="12">
        <f t="shared" si="2"/>
        <v>2.5000000000000001E-2</v>
      </c>
      <c r="N44" s="12">
        <f t="shared" si="2"/>
        <v>2.5000000000000001E-2</v>
      </c>
      <c r="O44" s="12">
        <f t="shared" si="2"/>
        <v>1.4999999999999999E-2</v>
      </c>
      <c r="P44" s="12">
        <f t="shared" si="2"/>
        <v>1.4999999999999999E-2</v>
      </c>
      <c r="Q44" s="12">
        <f t="shared" si="2"/>
        <v>1.4999999999999999E-2</v>
      </c>
      <c r="R44" s="12">
        <f t="shared" si="2"/>
        <v>1.4999999999999999E-2</v>
      </c>
      <c r="S44" s="12">
        <f t="shared" si="2"/>
        <v>1.4999999999999999E-2</v>
      </c>
      <c r="T44" s="12">
        <f t="shared" si="2"/>
        <v>1.4999999999999999E-2</v>
      </c>
      <c r="U44" s="12">
        <f t="shared" si="2"/>
        <v>1.4999999999999999E-2</v>
      </c>
      <c r="V44" s="12">
        <f t="shared" si="2"/>
        <v>1.4999999999999999E-2</v>
      </c>
      <c r="W44" s="12">
        <f t="shared" si="2"/>
        <v>1.4999999999999999E-2</v>
      </c>
      <c r="X44" s="12">
        <f t="shared" si="2"/>
        <v>1.4999999999999999E-2</v>
      </c>
      <c r="Y44" s="12">
        <f t="shared" si="2"/>
        <v>1.4999999999999999E-2</v>
      </c>
      <c r="Z44" s="12">
        <f t="shared" si="2"/>
        <v>1.4999999999999999E-2</v>
      </c>
      <c r="AA44" s="12">
        <f t="shared" si="2"/>
        <v>1.4999999999999999E-2</v>
      </c>
      <c r="AB44" s="12">
        <f t="shared" si="2"/>
        <v>1.4999999999999999E-2</v>
      </c>
      <c r="AC44" s="12">
        <f t="shared" si="2"/>
        <v>1.4999999999999999E-2</v>
      </c>
      <c r="AD44" s="12">
        <f t="shared" si="2"/>
        <v>1.4999999999999999E-2</v>
      </c>
      <c r="AE44" s="12">
        <f t="shared" si="2"/>
        <v>1.4999999999999999E-2</v>
      </c>
      <c r="AF44" s="12">
        <f t="shared" si="2"/>
        <v>1.4999999999999999E-2</v>
      </c>
      <c r="AG44" s="12">
        <f t="shared" si="2"/>
        <v>1.4999999999999999E-2</v>
      </c>
      <c r="AH44" s="12">
        <f t="shared" si="2"/>
        <v>1.4999999999999999E-2</v>
      </c>
      <c r="AI44" s="12">
        <f t="shared" si="2"/>
        <v>1.4999999999999999E-2</v>
      </c>
      <c r="AJ44" s="12">
        <f t="shared" si="2"/>
        <v>1.4999999999999999E-2</v>
      </c>
      <c r="AK44" s="12">
        <f t="shared" si="2"/>
        <v>1.4999999999999999E-2</v>
      </c>
      <c r="AL44" s="12">
        <f t="shared" si="2"/>
        <v>1.4999999999999999E-2</v>
      </c>
      <c r="AM44" s="12">
        <f t="shared" si="2"/>
        <v>1.4999999999999999E-2</v>
      </c>
      <c r="AN44" s="12">
        <f t="shared" si="2"/>
        <v>1.4999999999999999E-2</v>
      </c>
      <c r="AO44" s="12">
        <f t="shared" si="2"/>
        <v>1.4999999999999999E-2</v>
      </c>
      <c r="AP44" s="12">
        <f t="shared" si="2"/>
        <v>1.4999999999999999E-2</v>
      </c>
      <c r="AQ44" s="12">
        <f t="shared" si="2"/>
        <v>1.4999999999999999E-2</v>
      </c>
      <c r="AR44" s="12">
        <f t="shared" si="2"/>
        <v>1.4999999999999999E-2</v>
      </c>
      <c r="AS44" s="12">
        <f t="shared" si="2"/>
        <v>1.4999999999999999E-2</v>
      </c>
      <c r="AT44" s="12">
        <f t="shared" si="2"/>
        <v>1.4999999999999999E-2</v>
      </c>
      <c r="AU44" s="12">
        <f t="shared" si="2"/>
        <v>1.4999999999999999E-2</v>
      </c>
      <c r="AV44" s="12">
        <f t="shared" si="2"/>
        <v>1.4999999999999999E-2</v>
      </c>
      <c r="AW44" s="12">
        <f t="shared" si="2"/>
        <v>1.4999999999999999E-2</v>
      </c>
      <c r="AX44" s="12">
        <f t="shared" si="2"/>
        <v>1.4999999999999999E-2</v>
      </c>
      <c r="AY44" s="12">
        <f t="shared" si="2"/>
        <v>1.4999999999999999E-2</v>
      </c>
      <c r="AZ44" s="12">
        <f t="shared" si="2"/>
        <v>1.4999999999999999E-2</v>
      </c>
      <c r="BA44" s="12">
        <f t="shared" si="2"/>
        <v>1.4999999999999999E-2</v>
      </c>
      <c r="BB44" s="12">
        <f t="shared" si="2"/>
        <v>1.4999999999999999E-2</v>
      </c>
      <c r="BC44" s="12">
        <f t="shared" si="2"/>
        <v>1.4999999999999999E-2</v>
      </c>
      <c r="BD44" s="12">
        <f t="shared" si="2"/>
        <v>1.4999999999999999E-2</v>
      </c>
      <c r="BE44" s="12">
        <f t="shared" si="2"/>
        <v>1.4999999999999999E-2</v>
      </c>
      <c r="BF44" s="12">
        <f t="shared" si="2"/>
        <v>1.4999999999999999E-2</v>
      </c>
      <c r="BG44" s="12">
        <f t="shared" si="2"/>
        <v>1.4999999999999999E-2</v>
      </c>
      <c r="BH44" s="12">
        <f t="shared" si="2"/>
        <v>1.4999999999999999E-2</v>
      </c>
      <c r="BI44" s="12">
        <f t="shared" si="2"/>
        <v>1.4999999999999999E-2</v>
      </c>
      <c r="BJ44" s="12">
        <f t="shared" si="2"/>
        <v>1.4999999999999999E-2</v>
      </c>
      <c r="BK44" s="12">
        <f t="shared" si="2"/>
        <v>1.4999999999999999E-2</v>
      </c>
      <c r="BL44" s="12">
        <f t="shared" si="2"/>
        <v>1.4999999999999999E-2</v>
      </c>
    </row>
    <row r="45" spans="1:64" x14ac:dyDescent="0.35">
      <c r="A45" s="1"/>
      <c r="C45" s="2" t="s">
        <v>104</v>
      </c>
      <c r="D45" s="4">
        <f>D20</f>
        <v>150</v>
      </c>
      <c r="E45" s="4">
        <f t="shared" ref="E45:BL45" si="3">D45*(1+E44)</f>
        <v>153.75</v>
      </c>
      <c r="F45" s="4">
        <f t="shared" si="3"/>
        <v>157.59375</v>
      </c>
      <c r="G45" s="4">
        <f t="shared" si="3"/>
        <v>161.53359374999999</v>
      </c>
      <c r="H45" s="4">
        <f t="shared" si="3"/>
        <v>165.57193359374997</v>
      </c>
      <c r="I45" s="4">
        <f t="shared" si="3"/>
        <v>169.71123193359372</v>
      </c>
      <c r="J45" s="4">
        <f t="shared" si="3"/>
        <v>173.95401273193355</v>
      </c>
      <c r="K45" s="4">
        <f t="shared" si="3"/>
        <v>178.30286305023188</v>
      </c>
      <c r="L45" s="4">
        <f t="shared" si="3"/>
        <v>182.76043462648767</v>
      </c>
      <c r="M45" s="4">
        <f t="shared" si="3"/>
        <v>187.32944549214983</v>
      </c>
      <c r="N45" s="4">
        <f t="shared" si="3"/>
        <v>192.01268162945357</v>
      </c>
      <c r="O45" s="4">
        <f t="shared" si="3"/>
        <v>194.89287185389534</v>
      </c>
      <c r="P45" s="4">
        <f t="shared" si="3"/>
        <v>197.81626493170376</v>
      </c>
      <c r="Q45" s="4">
        <f t="shared" si="3"/>
        <v>200.7835089056793</v>
      </c>
      <c r="R45" s="4">
        <f t="shared" si="3"/>
        <v>203.79526153926446</v>
      </c>
      <c r="S45" s="4">
        <f t="shared" si="3"/>
        <v>206.85219046235341</v>
      </c>
      <c r="T45" s="4">
        <f t="shared" si="3"/>
        <v>209.95497331928868</v>
      </c>
      <c r="U45" s="4">
        <f t="shared" si="3"/>
        <v>213.10429791907799</v>
      </c>
      <c r="V45" s="4">
        <f t="shared" si="3"/>
        <v>216.30086238786413</v>
      </c>
      <c r="W45" s="4">
        <f t="shared" si="3"/>
        <v>219.54537532368207</v>
      </c>
      <c r="X45" s="4">
        <f t="shared" si="3"/>
        <v>222.83855595353728</v>
      </c>
      <c r="Y45" s="4">
        <f t="shared" si="3"/>
        <v>226.18113429284031</v>
      </c>
      <c r="Z45" s="4">
        <f t="shared" si="3"/>
        <v>229.5738513072329</v>
      </c>
      <c r="AA45" s="4">
        <f t="shared" si="3"/>
        <v>233.01745907684136</v>
      </c>
      <c r="AB45" s="4">
        <f t="shared" si="3"/>
        <v>236.51272096299397</v>
      </c>
      <c r="AC45" s="4">
        <f t="shared" si="3"/>
        <v>240.06041177743884</v>
      </c>
      <c r="AD45" s="4">
        <f t="shared" si="3"/>
        <v>243.66131795410041</v>
      </c>
      <c r="AE45" s="4">
        <f t="shared" si="3"/>
        <v>247.31623772341189</v>
      </c>
      <c r="AF45" s="4">
        <f t="shared" si="3"/>
        <v>251.02598128926303</v>
      </c>
      <c r="AG45" s="4">
        <f t="shared" si="3"/>
        <v>254.79137100860194</v>
      </c>
      <c r="AH45" s="4">
        <f t="shared" si="3"/>
        <v>258.61324157373093</v>
      </c>
      <c r="AI45" s="4">
        <f t="shared" si="3"/>
        <v>262.49244019733686</v>
      </c>
      <c r="AJ45" s="4">
        <f t="shared" si="3"/>
        <v>266.42982680029689</v>
      </c>
      <c r="AK45" s="4">
        <f t="shared" si="3"/>
        <v>270.42627420230133</v>
      </c>
      <c r="AL45" s="4">
        <f t="shared" si="3"/>
        <v>274.48266831533584</v>
      </c>
      <c r="AM45" s="4">
        <f t="shared" si="3"/>
        <v>278.59990834006584</v>
      </c>
      <c r="AN45" s="4">
        <f t="shared" si="3"/>
        <v>282.77890696516681</v>
      </c>
      <c r="AO45" s="4">
        <f t="shared" si="3"/>
        <v>287.0205905696443</v>
      </c>
      <c r="AP45" s="4">
        <f t="shared" si="3"/>
        <v>291.32589942818896</v>
      </c>
      <c r="AQ45" s="4">
        <f t="shared" si="3"/>
        <v>295.69578791961175</v>
      </c>
      <c r="AR45" s="4">
        <f t="shared" si="3"/>
        <v>300.13122473840588</v>
      </c>
      <c r="AS45" s="4">
        <f t="shared" si="3"/>
        <v>304.63319310948191</v>
      </c>
      <c r="AT45" s="4">
        <f t="shared" si="3"/>
        <v>309.2026910061241</v>
      </c>
      <c r="AU45" s="4">
        <f t="shared" si="3"/>
        <v>313.84073137121595</v>
      </c>
      <c r="AV45" s="4">
        <f t="shared" si="3"/>
        <v>318.54834234178418</v>
      </c>
      <c r="AW45" s="4">
        <f t="shared" si="3"/>
        <v>323.3265674769109</v>
      </c>
      <c r="AX45" s="4">
        <f t="shared" si="3"/>
        <v>328.17646598906452</v>
      </c>
      <c r="AY45" s="4">
        <f t="shared" si="3"/>
        <v>333.09911297890045</v>
      </c>
      <c r="AZ45" s="4">
        <f t="shared" si="3"/>
        <v>338.09559967358393</v>
      </c>
      <c r="BA45" s="4">
        <f t="shared" si="3"/>
        <v>343.16703366868768</v>
      </c>
      <c r="BB45" s="4">
        <f t="shared" si="3"/>
        <v>348.31453917371795</v>
      </c>
      <c r="BC45" s="4">
        <f t="shared" si="3"/>
        <v>353.53925726132366</v>
      </c>
      <c r="BD45" s="4">
        <f t="shared" si="3"/>
        <v>358.84234612024346</v>
      </c>
      <c r="BE45" s="4">
        <f t="shared" si="3"/>
        <v>364.22498131204708</v>
      </c>
      <c r="BF45" s="4">
        <f t="shared" si="3"/>
        <v>369.68835603172772</v>
      </c>
      <c r="BG45" s="4">
        <f t="shared" si="3"/>
        <v>375.23368137220359</v>
      </c>
      <c r="BH45" s="4">
        <f t="shared" si="3"/>
        <v>380.8621865927866</v>
      </c>
      <c r="BI45" s="4">
        <f t="shared" si="3"/>
        <v>386.57511939167836</v>
      </c>
      <c r="BJ45" s="4">
        <f t="shared" si="3"/>
        <v>392.37374618255348</v>
      </c>
      <c r="BK45" s="4">
        <f t="shared" si="3"/>
        <v>398.25935237529171</v>
      </c>
      <c r="BL45" s="4">
        <f t="shared" si="3"/>
        <v>404.23324266092106</v>
      </c>
    </row>
    <row r="46" spans="1:64" x14ac:dyDescent="0.35">
      <c r="A46" s="1"/>
      <c r="C46" s="2" t="s">
        <v>105</v>
      </c>
      <c r="D46" s="4"/>
      <c r="E46" s="46">
        <f t="shared" ref="E46:BL46" si="4">E105*$D$13</f>
        <v>0</v>
      </c>
      <c r="F46" s="46">
        <f t="shared" si="4"/>
        <v>0</v>
      </c>
      <c r="G46" s="46">
        <f t="shared" si="4"/>
        <v>0</v>
      </c>
      <c r="H46" s="46">
        <f t="shared" si="4"/>
        <v>0</v>
      </c>
      <c r="I46" s="46">
        <f t="shared" si="4"/>
        <v>0</v>
      </c>
      <c r="J46" s="46">
        <f t="shared" si="4"/>
        <v>0</v>
      </c>
      <c r="K46" s="46">
        <f t="shared" si="4"/>
        <v>0</v>
      </c>
      <c r="L46" s="46">
        <f t="shared" si="4"/>
        <v>0</v>
      </c>
      <c r="M46" s="46">
        <f t="shared" si="4"/>
        <v>0</v>
      </c>
      <c r="N46" s="46">
        <f t="shared" si="4"/>
        <v>0</v>
      </c>
      <c r="O46" s="46">
        <f t="shared" si="4"/>
        <v>0</v>
      </c>
      <c r="P46" s="46">
        <f t="shared" si="4"/>
        <v>0</v>
      </c>
      <c r="Q46" s="46">
        <f t="shared" si="4"/>
        <v>0</v>
      </c>
      <c r="R46" s="46">
        <f t="shared" si="4"/>
        <v>0</v>
      </c>
      <c r="S46" s="46">
        <f t="shared" si="4"/>
        <v>0</v>
      </c>
      <c r="T46" s="46">
        <f t="shared" si="4"/>
        <v>0</v>
      </c>
      <c r="U46" s="46">
        <f t="shared" si="4"/>
        <v>0</v>
      </c>
      <c r="V46" s="46">
        <f t="shared" si="4"/>
        <v>0</v>
      </c>
      <c r="W46" s="46">
        <f t="shared" si="4"/>
        <v>0</v>
      </c>
      <c r="X46" s="46">
        <f t="shared" si="4"/>
        <v>0</v>
      </c>
      <c r="Y46" s="46">
        <f t="shared" si="4"/>
        <v>0</v>
      </c>
      <c r="Z46" s="46">
        <f t="shared" si="4"/>
        <v>0</v>
      </c>
      <c r="AA46" s="46">
        <f t="shared" si="4"/>
        <v>0</v>
      </c>
      <c r="AB46" s="46">
        <f t="shared" si="4"/>
        <v>0</v>
      </c>
      <c r="AC46" s="46">
        <f t="shared" si="4"/>
        <v>0</v>
      </c>
      <c r="AD46" s="46">
        <f t="shared" si="4"/>
        <v>0</v>
      </c>
      <c r="AE46" s="46">
        <f t="shared" si="4"/>
        <v>0</v>
      </c>
      <c r="AF46" s="46">
        <f t="shared" si="4"/>
        <v>0</v>
      </c>
      <c r="AG46" s="46">
        <f t="shared" si="4"/>
        <v>0</v>
      </c>
      <c r="AH46" s="46">
        <f t="shared" si="4"/>
        <v>0</v>
      </c>
      <c r="AI46" s="46">
        <f t="shared" si="4"/>
        <v>0</v>
      </c>
      <c r="AJ46" s="46">
        <f t="shared" si="4"/>
        <v>0</v>
      </c>
      <c r="AK46" s="46">
        <f t="shared" si="4"/>
        <v>0</v>
      </c>
      <c r="AL46" s="46">
        <f t="shared" si="4"/>
        <v>0</v>
      </c>
      <c r="AM46" s="46">
        <f t="shared" si="4"/>
        <v>0</v>
      </c>
      <c r="AN46" s="46">
        <f t="shared" si="4"/>
        <v>0</v>
      </c>
      <c r="AO46" s="46">
        <f t="shared" si="4"/>
        <v>0</v>
      </c>
      <c r="AP46" s="46">
        <f t="shared" si="4"/>
        <v>0</v>
      </c>
      <c r="AQ46" s="46">
        <f t="shared" si="4"/>
        <v>0</v>
      </c>
      <c r="AR46" s="46">
        <f t="shared" si="4"/>
        <v>0</v>
      </c>
      <c r="AS46" s="46">
        <f t="shared" si="4"/>
        <v>0</v>
      </c>
      <c r="AT46" s="46">
        <f t="shared" si="4"/>
        <v>0</v>
      </c>
      <c r="AU46" s="46">
        <f t="shared" si="4"/>
        <v>0</v>
      </c>
      <c r="AV46" s="46">
        <f t="shared" si="4"/>
        <v>0</v>
      </c>
      <c r="AW46" s="46">
        <f t="shared" si="4"/>
        <v>0</v>
      </c>
      <c r="AX46" s="46">
        <f t="shared" si="4"/>
        <v>0</v>
      </c>
      <c r="AY46" s="46">
        <f t="shared" si="4"/>
        <v>0</v>
      </c>
      <c r="AZ46" s="46">
        <f t="shared" si="4"/>
        <v>0</v>
      </c>
      <c r="BA46" s="46">
        <f t="shared" si="4"/>
        <v>0</v>
      </c>
      <c r="BB46" s="46">
        <f t="shared" si="4"/>
        <v>0</v>
      </c>
      <c r="BC46" s="46">
        <f t="shared" si="4"/>
        <v>0</v>
      </c>
      <c r="BD46" s="46">
        <f t="shared" si="4"/>
        <v>0</v>
      </c>
      <c r="BE46" s="46">
        <f t="shared" si="4"/>
        <v>0</v>
      </c>
      <c r="BF46" s="46">
        <f t="shared" si="4"/>
        <v>0</v>
      </c>
      <c r="BG46" s="46">
        <f t="shared" si="4"/>
        <v>0</v>
      </c>
      <c r="BH46" s="46">
        <f t="shared" si="4"/>
        <v>0</v>
      </c>
      <c r="BI46" s="46">
        <f t="shared" si="4"/>
        <v>0</v>
      </c>
      <c r="BJ46" s="46">
        <f t="shared" si="4"/>
        <v>0</v>
      </c>
      <c r="BK46" s="46">
        <f t="shared" si="4"/>
        <v>0</v>
      </c>
      <c r="BL46" s="46">
        <f t="shared" si="4"/>
        <v>0</v>
      </c>
    </row>
    <row r="47" spans="1:64" x14ac:dyDescent="0.35">
      <c r="A47" s="1"/>
      <c r="C47" s="2" t="s">
        <v>407</v>
      </c>
      <c r="D47" s="4"/>
      <c r="E47" s="46">
        <f>E110</f>
        <v>0</v>
      </c>
      <c r="F47" s="46">
        <f t="shared" ref="F47:BL47" si="5">F110</f>
        <v>0</v>
      </c>
      <c r="G47" s="46">
        <f t="shared" si="5"/>
        <v>0</v>
      </c>
      <c r="H47" s="46">
        <f t="shared" si="5"/>
        <v>0</v>
      </c>
      <c r="I47" s="46">
        <f t="shared" si="5"/>
        <v>0</v>
      </c>
      <c r="J47" s="46">
        <f t="shared" si="5"/>
        <v>0</v>
      </c>
      <c r="K47" s="46">
        <f t="shared" si="5"/>
        <v>0</v>
      </c>
      <c r="L47" s="46">
        <f t="shared" si="5"/>
        <v>0</v>
      </c>
      <c r="M47" s="46">
        <f t="shared" si="5"/>
        <v>0</v>
      </c>
      <c r="N47" s="46">
        <f t="shared" si="5"/>
        <v>0</v>
      </c>
      <c r="O47" s="46">
        <f t="shared" si="5"/>
        <v>0</v>
      </c>
      <c r="P47" s="46">
        <f t="shared" si="5"/>
        <v>0</v>
      </c>
      <c r="Q47" s="46">
        <f t="shared" si="5"/>
        <v>0</v>
      </c>
      <c r="R47" s="46">
        <f t="shared" si="5"/>
        <v>0</v>
      </c>
      <c r="S47" s="46">
        <f t="shared" si="5"/>
        <v>0</v>
      </c>
      <c r="T47" s="46">
        <f t="shared" si="5"/>
        <v>0</v>
      </c>
      <c r="U47" s="46">
        <f t="shared" si="5"/>
        <v>0</v>
      </c>
      <c r="V47" s="46">
        <f t="shared" si="5"/>
        <v>0</v>
      </c>
      <c r="W47" s="46">
        <f t="shared" si="5"/>
        <v>0</v>
      </c>
      <c r="X47" s="46">
        <f t="shared" si="5"/>
        <v>0</v>
      </c>
      <c r="Y47" s="46">
        <f t="shared" si="5"/>
        <v>0</v>
      </c>
      <c r="Z47" s="46">
        <f t="shared" si="5"/>
        <v>0</v>
      </c>
      <c r="AA47" s="46">
        <f t="shared" si="5"/>
        <v>0</v>
      </c>
      <c r="AB47" s="46">
        <f t="shared" si="5"/>
        <v>0</v>
      </c>
      <c r="AC47" s="46">
        <f t="shared" si="5"/>
        <v>0</v>
      </c>
      <c r="AD47" s="46">
        <f t="shared" si="5"/>
        <v>0</v>
      </c>
      <c r="AE47" s="46">
        <f t="shared" si="5"/>
        <v>0</v>
      </c>
      <c r="AF47" s="46">
        <f t="shared" si="5"/>
        <v>0</v>
      </c>
      <c r="AG47" s="46">
        <f t="shared" si="5"/>
        <v>0</v>
      </c>
      <c r="AH47" s="46">
        <f t="shared" si="5"/>
        <v>0</v>
      </c>
      <c r="AI47" s="46">
        <f t="shared" si="5"/>
        <v>0</v>
      </c>
      <c r="AJ47" s="46">
        <f t="shared" si="5"/>
        <v>0</v>
      </c>
      <c r="AK47" s="46">
        <f t="shared" si="5"/>
        <v>0</v>
      </c>
      <c r="AL47" s="46">
        <f t="shared" si="5"/>
        <v>0</v>
      </c>
      <c r="AM47" s="46">
        <f t="shared" si="5"/>
        <v>0</v>
      </c>
      <c r="AN47" s="46">
        <f t="shared" si="5"/>
        <v>0</v>
      </c>
      <c r="AO47" s="46">
        <f t="shared" si="5"/>
        <v>0</v>
      </c>
      <c r="AP47" s="46">
        <f t="shared" si="5"/>
        <v>0</v>
      </c>
      <c r="AQ47" s="46">
        <f t="shared" si="5"/>
        <v>0</v>
      </c>
      <c r="AR47" s="46">
        <f t="shared" si="5"/>
        <v>0</v>
      </c>
      <c r="AS47" s="46">
        <f t="shared" si="5"/>
        <v>0</v>
      </c>
      <c r="AT47" s="46">
        <f t="shared" si="5"/>
        <v>0</v>
      </c>
      <c r="AU47" s="46">
        <f t="shared" si="5"/>
        <v>0</v>
      </c>
      <c r="AV47" s="46">
        <f t="shared" si="5"/>
        <v>0</v>
      </c>
      <c r="AW47" s="46">
        <f t="shared" si="5"/>
        <v>0</v>
      </c>
      <c r="AX47" s="46">
        <f t="shared" si="5"/>
        <v>0</v>
      </c>
      <c r="AY47" s="46">
        <f t="shared" si="5"/>
        <v>0</v>
      </c>
      <c r="AZ47" s="46">
        <f t="shared" si="5"/>
        <v>0</v>
      </c>
      <c r="BA47" s="46">
        <f t="shared" si="5"/>
        <v>0</v>
      </c>
      <c r="BB47" s="46">
        <f t="shared" si="5"/>
        <v>0</v>
      </c>
      <c r="BC47" s="46">
        <f t="shared" si="5"/>
        <v>0</v>
      </c>
      <c r="BD47" s="46">
        <f t="shared" si="5"/>
        <v>0</v>
      </c>
      <c r="BE47" s="46">
        <f t="shared" si="5"/>
        <v>0</v>
      </c>
      <c r="BF47" s="46">
        <f t="shared" si="5"/>
        <v>0</v>
      </c>
      <c r="BG47" s="46">
        <f t="shared" si="5"/>
        <v>0</v>
      </c>
      <c r="BH47" s="46">
        <f t="shared" si="5"/>
        <v>0</v>
      </c>
      <c r="BI47" s="46">
        <f t="shared" si="5"/>
        <v>0</v>
      </c>
      <c r="BJ47" s="46">
        <f t="shared" si="5"/>
        <v>0</v>
      </c>
      <c r="BK47" s="46">
        <f t="shared" si="5"/>
        <v>0</v>
      </c>
      <c r="BL47" s="46">
        <f t="shared" si="5"/>
        <v>0</v>
      </c>
    </row>
    <row r="48" spans="1:64" ht="15" thickBot="1" x14ac:dyDescent="0.4">
      <c r="A48" s="1"/>
      <c r="C48" s="24" t="s">
        <v>2</v>
      </c>
      <c r="D48" s="25"/>
      <c r="E48" s="25">
        <f>E45+E46-E47</f>
        <v>153.75</v>
      </c>
      <c r="F48" s="25">
        <f t="shared" ref="F48:BL48" si="6">F45+F46-F47</f>
        <v>157.59375</v>
      </c>
      <c r="G48" s="25">
        <f t="shared" si="6"/>
        <v>161.53359374999999</v>
      </c>
      <c r="H48" s="25">
        <f t="shared" si="6"/>
        <v>165.57193359374997</v>
      </c>
      <c r="I48" s="25">
        <f t="shared" si="6"/>
        <v>169.71123193359372</v>
      </c>
      <c r="J48" s="25">
        <f t="shared" si="6"/>
        <v>173.95401273193355</v>
      </c>
      <c r="K48" s="25">
        <f t="shared" si="6"/>
        <v>178.30286305023188</v>
      </c>
      <c r="L48" s="25">
        <f t="shared" si="6"/>
        <v>182.76043462648767</v>
      </c>
      <c r="M48" s="25">
        <f t="shared" si="6"/>
        <v>187.32944549214983</v>
      </c>
      <c r="N48" s="25">
        <f t="shared" si="6"/>
        <v>192.01268162945357</v>
      </c>
      <c r="O48" s="25">
        <f t="shared" si="6"/>
        <v>194.89287185389534</v>
      </c>
      <c r="P48" s="25">
        <f t="shared" si="6"/>
        <v>197.81626493170376</v>
      </c>
      <c r="Q48" s="25">
        <f t="shared" si="6"/>
        <v>200.7835089056793</v>
      </c>
      <c r="R48" s="25">
        <f t="shared" si="6"/>
        <v>203.79526153926446</v>
      </c>
      <c r="S48" s="25">
        <f t="shared" si="6"/>
        <v>206.85219046235341</v>
      </c>
      <c r="T48" s="25">
        <f t="shared" si="6"/>
        <v>209.95497331928868</v>
      </c>
      <c r="U48" s="25">
        <f t="shared" si="6"/>
        <v>213.10429791907799</v>
      </c>
      <c r="V48" s="25">
        <f t="shared" si="6"/>
        <v>216.30086238786413</v>
      </c>
      <c r="W48" s="25">
        <f t="shared" si="6"/>
        <v>219.54537532368207</v>
      </c>
      <c r="X48" s="25">
        <f t="shared" si="6"/>
        <v>222.83855595353728</v>
      </c>
      <c r="Y48" s="25">
        <f t="shared" si="6"/>
        <v>226.18113429284031</v>
      </c>
      <c r="Z48" s="25">
        <f t="shared" si="6"/>
        <v>229.5738513072329</v>
      </c>
      <c r="AA48" s="25">
        <f t="shared" si="6"/>
        <v>233.01745907684136</v>
      </c>
      <c r="AB48" s="25">
        <f t="shared" si="6"/>
        <v>236.51272096299397</v>
      </c>
      <c r="AC48" s="25">
        <f t="shared" si="6"/>
        <v>240.06041177743884</v>
      </c>
      <c r="AD48" s="25">
        <f t="shared" si="6"/>
        <v>243.66131795410041</v>
      </c>
      <c r="AE48" s="25">
        <f t="shared" si="6"/>
        <v>247.31623772341189</v>
      </c>
      <c r="AF48" s="25">
        <f t="shared" si="6"/>
        <v>251.02598128926303</v>
      </c>
      <c r="AG48" s="25">
        <f t="shared" si="6"/>
        <v>254.79137100860194</v>
      </c>
      <c r="AH48" s="25">
        <f t="shared" si="6"/>
        <v>258.61324157373093</v>
      </c>
      <c r="AI48" s="25">
        <f t="shared" si="6"/>
        <v>262.49244019733686</v>
      </c>
      <c r="AJ48" s="25">
        <f t="shared" si="6"/>
        <v>266.42982680029689</v>
      </c>
      <c r="AK48" s="25">
        <f t="shared" si="6"/>
        <v>270.42627420230133</v>
      </c>
      <c r="AL48" s="25">
        <f t="shared" si="6"/>
        <v>274.48266831533584</v>
      </c>
      <c r="AM48" s="25">
        <f t="shared" si="6"/>
        <v>278.59990834006584</v>
      </c>
      <c r="AN48" s="25">
        <f t="shared" si="6"/>
        <v>282.77890696516681</v>
      </c>
      <c r="AO48" s="25">
        <f t="shared" si="6"/>
        <v>287.0205905696443</v>
      </c>
      <c r="AP48" s="25">
        <f t="shared" si="6"/>
        <v>291.32589942818896</v>
      </c>
      <c r="AQ48" s="25">
        <f t="shared" si="6"/>
        <v>295.69578791961175</v>
      </c>
      <c r="AR48" s="25">
        <f t="shared" si="6"/>
        <v>300.13122473840588</v>
      </c>
      <c r="AS48" s="25">
        <f t="shared" si="6"/>
        <v>304.63319310948191</v>
      </c>
      <c r="AT48" s="25">
        <f t="shared" si="6"/>
        <v>309.2026910061241</v>
      </c>
      <c r="AU48" s="25">
        <f t="shared" si="6"/>
        <v>313.84073137121595</v>
      </c>
      <c r="AV48" s="25">
        <f t="shared" si="6"/>
        <v>318.54834234178418</v>
      </c>
      <c r="AW48" s="25">
        <f t="shared" si="6"/>
        <v>323.3265674769109</v>
      </c>
      <c r="AX48" s="25">
        <f t="shared" si="6"/>
        <v>328.17646598906452</v>
      </c>
      <c r="AY48" s="25">
        <f t="shared" si="6"/>
        <v>333.09911297890045</v>
      </c>
      <c r="AZ48" s="25">
        <f t="shared" si="6"/>
        <v>338.09559967358393</v>
      </c>
      <c r="BA48" s="25">
        <f t="shared" si="6"/>
        <v>343.16703366868768</v>
      </c>
      <c r="BB48" s="25">
        <f t="shared" si="6"/>
        <v>348.31453917371795</v>
      </c>
      <c r="BC48" s="25">
        <f t="shared" si="6"/>
        <v>353.53925726132366</v>
      </c>
      <c r="BD48" s="25">
        <f t="shared" si="6"/>
        <v>358.84234612024346</v>
      </c>
      <c r="BE48" s="25">
        <f t="shared" si="6"/>
        <v>364.22498131204708</v>
      </c>
      <c r="BF48" s="25">
        <f t="shared" si="6"/>
        <v>369.68835603172772</v>
      </c>
      <c r="BG48" s="25">
        <f t="shared" si="6"/>
        <v>375.23368137220359</v>
      </c>
      <c r="BH48" s="25">
        <f t="shared" si="6"/>
        <v>380.8621865927866</v>
      </c>
      <c r="BI48" s="25">
        <f t="shared" si="6"/>
        <v>386.57511939167836</v>
      </c>
      <c r="BJ48" s="25">
        <f t="shared" si="6"/>
        <v>392.37374618255348</v>
      </c>
      <c r="BK48" s="25">
        <f t="shared" si="6"/>
        <v>398.25935237529171</v>
      </c>
      <c r="BL48" s="25">
        <f t="shared" si="6"/>
        <v>404.23324266092106</v>
      </c>
    </row>
    <row r="49" spans="1:64" x14ac:dyDescent="0.35">
      <c r="A49" s="1"/>
      <c r="C49" s="10" t="s">
        <v>122</v>
      </c>
      <c r="D49" s="46"/>
      <c r="E49" s="46">
        <f>E48*E41</f>
        <v>153.75</v>
      </c>
      <c r="F49" s="46">
        <f t="shared" ref="F49:BL49" si="7">F48*F41</f>
        <v>157.59375</v>
      </c>
      <c r="G49" s="46">
        <f t="shared" si="7"/>
        <v>161.53359374999999</v>
      </c>
      <c r="H49" s="46">
        <f t="shared" si="7"/>
        <v>165.57193359374997</v>
      </c>
      <c r="I49" s="46">
        <f t="shared" si="7"/>
        <v>169.71123193359372</v>
      </c>
      <c r="J49" s="46">
        <f t="shared" si="7"/>
        <v>173.95401273193355</v>
      </c>
      <c r="K49" s="46">
        <f t="shared" si="7"/>
        <v>178.30286305023188</v>
      </c>
      <c r="L49" s="46">
        <f t="shared" si="7"/>
        <v>182.76043462648767</v>
      </c>
      <c r="M49" s="46">
        <f t="shared" si="7"/>
        <v>187.32944549214983</v>
      </c>
      <c r="N49" s="46">
        <f t="shared" si="7"/>
        <v>192.01268162945357</v>
      </c>
      <c r="O49" s="46">
        <f t="shared" si="7"/>
        <v>194.89287185389534</v>
      </c>
      <c r="P49" s="46">
        <f t="shared" si="7"/>
        <v>197.81626493170376</v>
      </c>
      <c r="Q49" s="46">
        <f t="shared" si="7"/>
        <v>200.7835089056793</v>
      </c>
      <c r="R49" s="46">
        <f t="shared" si="7"/>
        <v>203.79526153926446</v>
      </c>
      <c r="S49" s="46">
        <f t="shared" si="7"/>
        <v>206.85219046235341</v>
      </c>
      <c r="T49" s="46">
        <f t="shared" si="7"/>
        <v>209.95497331928868</v>
      </c>
      <c r="U49" s="46">
        <f t="shared" si="7"/>
        <v>213.10429791907799</v>
      </c>
      <c r="V49" s="46">
        <f t="shared" si="7"/>
        <v>216.30086238786413</v>
      </c>
      <c r="W49" s="46">
        <f t="shared" si="7"/>
        <v>219.54537532368207</v>
      </c>
      <c r="X49" s="46">
        <f t="shared" si="7"/>
        <v>222.83855595353728</v>
      </c>
      <c r="Y49" s="46">
        <f t="shared" si="7"/>
        <v>226.18113429284031</v>
      </c>
      <c r="Z49" s="46">
        <f t="shared" si="7"/>
        <v>229.5738513072329</v>
      </c>
      <c r="AA49" s="46">
        <f t="shared" si="7"/>
        <v>233.01745907684136</v>
      </c>
      <c r="AB49" s="46">
        <f t="shared" si="7"/>
        <v>236.51272096299397</v>
      </c>
      <c r="AC49" s="46">
        <f t="shared" si="7"/>
        <v>240.06041177743884</v>
      </c>
      <c r="AD49" s="46">
        <f t="shared" si="7"/>
        <v>243.66131795410041</v>
      </c>
      <c r="AE49" s="46">
        <f t="shared" si="7"/>
        <v>247.31623772341189</v>
      </c>
      <c r="AF49" s="46">
        <f t="shared" si="7"/>
        <v>251.02598128926303</v>
      </c>
      <c r="AG49" s="46">
        <f t="shared" si="7"/>
        <v>254.79137100860194</v>
      </c>
      <c r="AH49" s="46">
        <f t="shared" si="7"/>
        <v>258.61324157373093</v>
      </c>
      <c r="AI49" s="46">
        <f t="shared" si="7"/>
        <v>262.49244019733686</v>
      </c>
      <c r="AJ49" s="46">
        <f t="shared" si="7"/>
        <v>266.42982680029689</v>
      </c>
      <c r="AK49" s="46">
        <f t="shared" si="7"/>
        <v>270.42627420230133</v>
      </c>
      <c r="AL49" s="46">
        <f t="shared" si="7"/>
        <v>274.48266831533584</v>
      </c>
      <c r="AM49" s="46">
        <f t="shared" si="7"/>
        <v>278.59990834006584</v>
      </c>
      <c r="AN49" s="46">
        <f t="shared" si="7"/>
        <v>282.77890696516681</v>
      </c>
      <c r="AO49" s="46">
        <f t="shared" si="7"/>
        <v>287.0205905696443</v>
      </c>
      <c r="AP49" s="46">
        <f t="shared" si="7"/>
        <v>291.32589942818896</v>
      </c>
      <c r="AQ49" s="46">
        <f t="shared" si="7"/>
        <v>295.69578791961175</v>
      </c>
      <c r="AR49" s="46">
        <f t="shared" si="7"/>
        <v>300.13122473840588</v>
      </c>
      <c r="AS49" s="46">
        <f t="shared" si="7"/>
        <v>0</v>
      </c>
      <c r="AT49" s="46">
        <f t="shared" si="7"/>
        <v>0</v>
      </c>
      <c r="AU49" s="46">
        <f t="shared" si="7"/>
        <v>0</v>
      </c>
      <c r="AV49" s="46">
        <f t="shared" si="7"/>
        <v>0</v>
      </c>
      <c r="AW49" s="46">
        <f t="shared" si="7"/>
        <v>0</v>
      </c>
      <c r="AX49" s="46">
        <f t="shared" si="7"/>
        <v>0</v>
      </c>
      <c r="AY49" s="46">
        <f t="shared" si="7"/>
        <v>0</v>
      </c>
      <c r="AZ49" s="46">
        <f t="shared" si="7"/>
        <v>0</v>
      </c>
      <c r="BA49" s="46">
        <f t="shared" si="7"/>
        <v>0</v>
      </c>
      <c r="BB49" s="46">
        <f t="shared" si="7"/>
        <v>0</v>
      </c>
      <c r="BC49" s="46">
        <f t="shared" si="7"/>
        <v>0</v>
      </c>
      <c r="BD49" s="46">
        <f t="shared" si="7"/>
        <v>0</v>
      </c>
      <c r="BE49" s="46">
        <f t="shared" si="7"/>
        <v>0</v>
      </c>
      <c r="BF49" s="46">
        <f t="shared" si="7"/>
        <v>0</v>
      </c>
      <c r="BG49" s="46">
        <f t="shared" si="7"/>
        <v>0</v>
      </c>
      <c r="BH49" s="46">
        <f t="shared" si="7"/>
        <v>0</v>
      </c>
      <c r="BI49" s="46">
        <f t="shared" si="7"/>
        <v>0</v>
      </c>
      <c r="BJ49" s="46">
        <f t="shared" si="7"/>
        <v>0</v>
      </c>
      <c r="BK49" s="46">
        <f t="shared" si="7"/>
        <v>0</v>
      </c>
      <c r="BL49" s="46">
        <f t="shared" si="7"/>
        <v>0</v>
      </c>
    </row>
    <row r="50" spans="1:64" x14ac:dyDescent="0.35">
      <c r="A50" s="1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</row>
    <row r="51" spans="1:64" x14ac:dyDescent="0.35">
      <c r="A51" s="1"/>
      <c r="C51" s="2" t="s">
        <v>171</v>
      </c>
      <c r="E51" s="4">
        <f>E107</f>
        <v>0</v>
      </c>
      <c r="F51" s="4">
        <f t="shared" ref="F51:BL51" si="8">F107</f>
        <v>0</v>
      </c>
      <c r="G51" s="4">
        <f t="shared" si="8"/>
        <v>0</v>
      </c>
      <c r="H51" s="4">
        <f t="shared" si="8"/>
        <v>0</v>
      </c>
      <c r="I51" s="4">
        <f t="shared" si="8"/>
        <v>0</v>
      </c>
      <c r="J51" s="4">
        <f t="shared" si="8"/>
        <v>0</v>
      </c>
      <c r="K51" s="4">
        <f t="shared" si="8"/>
        <v>0</v>
      </c>
      <c r="L51" s="4">
        <f t="shared" si="8"/>
        <v>0</v>
      </c>
      <c r="M51" s="4">
        <f t="shared" si="8"/>
        <v>0</v>
      </c>
      <c r="N51" s="4">
        <f t="shared" si="8"/>
        <v>0</v>
      </c>
      <c r="O51" s="4">
        <f t="shared" si="8"/>
        <v>0</v>
      </c>
      <c r="P51" s="4">
        <f t="shared" si="8"/>
        <v>0</v>
      </c>
      <c r="Q51" s="4">
        <f t="shared" si="8"/>
        <v>0</v>
      </c>
      <c r="R51" s="4">
        <f t="shared" si="8"/>
        <v>0</v>
      </c>
      <c r="S51" s="4">
        <f t="shared" si="8"/>
        <v>0</v>
      </c>
      <c r="T51" s="4">
        <f t="shared" si="8"/>
        <v>0</v>
      </c>
      <c r="U51" s="4">
        <f t="shared" si="8"/>
        <v>0</v>
      </c>
      <c r="V51" s="4">
        <f t="shared" si="8"/>
        <v>0</v>
      </c>
      <c r="W51" s="4">
        <f t="shared" si="8"/>
        <v>0</v>
      </c>
      <c r="X51" s="4">
        <f t="shared" si="8"/>
        <v>0</v>
      </c>
      <c r="Y51" s="4">
        <f t="shared" si="8"/>
        <v>0</v>
      </c>
      <c r="Z51" s="4">
        <f t="shared" si="8"/>
        <v>0</v>
      </c>
      <c r="AA51" s="4">
        <f t="shared" si="8"/>
        <v>0</v>
      </c>
      <c r="AB51" s="4">
        <f t="shared" si="8"/>
        <v>0</v>
      </c>
      <c r="AC51" s="4">
        <f t="shared" si="8"/>
        <v>0</v>
      </c>
      <c r="AD51" s="4">
        <f t="shared" si="8"/>
        <v>0</v>
      </c>
      <c r="AE51" s="4">
        <f t="shared" si="8"/>
        <v>0</v>
      </c>
      <c r="AF51" s="4">
        <f t="shared" si="8"/>
        <v>0</v>
      </c>
      <c r="AG51" s="4">
        <f t="shared" si="8"/>
        <v>0</v>
      </c>
      <c r="AH51" s="4">
        <f t="shared" si="8"/>
        <v>0</v>
      </c>
      <c r="AI51" s="4">
        <f t="shared" si="8"/>
        <v>0</v>
      </c>
      <c r="AJ51" s="4">
        <f t="shared" si="8"/>
        <v>0</v>
      </c>
      <c r="AK51" s="4">
        <f t="shared" si="8"/>
        <v>0</v>
      </c>
      <c r="AL51" s="4">
        <f t="shared" si="8"/>
        <v>0</v>
      </c>
      <c r="AM51" s="4">
        <f t="shared" si="8"/>
        <v>0</v>
      </c>
      <c r="AN51" s="4">
        <f t="shared" si="8"/>
        <v>0</v>
      </c>
      <c r="AO51" s="4">
        <f t="shared" si="8"/>
        <v>0</v>
      </c>
      <c r="AP51" s="4">
        <f t="shared" si="8"/>
        <v>0</v>
      </c>
      <c r="AQ51" s="4">
        <f t="shared" si="8"/>
        <v>0</v>
      </c>
      <c r="AR51" s="4">
        <f t="shared" si="8"/>
        <v>0</v>
      </c>
      <c r="AS51" s="4">
        <f t="shared" si="8"/>
        <v>0</v>
      </c>
      <c r="AT51" s="4">
        <f t="shared" si="8"/>
        <v>0</v>
      </c>
      <c r="AU51" s="4">
        <f t="shared" si="8"/>
        <v>0</v>
      </c>
      <c r="AV51" s="4">
        <f t="shared" si="8"/>
        <v>0</v>
      </c>
      <c r="AW51" s="4">
        <f t="shared" si="8"/>
        <v>0</v>
      </c>
      <c r="AX51" s="4">
        <f t="shared" si="8"/>
        <v>0</v>
      </c>
      <c r="AY51" s="4">
        <f t="shared" si="8"/>
        <v>0</v>
      </c>
      <c r="AZ51" s="4">
        <f t="shared" si="8"/>
        <v>0</v>
      </c>
      <c r="BA51" s="4">
        <f t="shared" si="8"/>
        <v>0</v>
      </c>
      <c r="BB51" s="4">
        <f t="shared" si="8"/>
        <v>0</v>
      </c>
      <c r="BC51" s="4">
        <f t="shared" si="8"/>
        <v>0</v>
      </c>
      <c r="BD51" s="4">
        <f t="shared" si="8"/>
        <v>0</v>
      </c>
      <c r="BE51" s="4">
        <f t="shared" si="8"/>
        <v>0</v>
      </c>
      <c r="BF51" s="4">
        <f t="shared" si="8"/>
        <v>0</v>
      </c>
      <c r="BG51" s="4">
        <f t="shared" si="8"/>
        <v>0</v>
      </c>
      <c r="BH51" s="4">
        <f t="shared" si="8"/>
        <v>0</v>
      </c>
      <c r="BI51" s="4">
        <f t="shared" si="8"/>
        <v>0</v>
      </c>
      <c r="BJ51" s="4">
        <f t="shared" si="8"/>
        <v>0</v>
      </c>
      <c r="BK51" s="4">
        <f t="shared" si="8"/>
        <v>0</v>
      </c>
      <c r="BL51" s="4">
        <f t="shared" si="8"/>
        <v>0</v>
      </c>
    </row>
    <row r="52" spans="1:64" x14ac:dyDescent="0.35">
      <c r="A52" s="1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</row>
    <row r="53" spans="1:64" x14ac:dyDescent="0.35">
      <c r="A53" s="1"/>
      <c r="C53" s="2" t="s">
        <v>72</v>
      </c>
      <c r="E53" s="12">
        <f t="shared" ref="E53:BL53" si="9">LOOKUP(E40,6:6,7:7)/2</f>
        <v>1.4999999999999999E-2</v>
      </c>
      <c r="F53" s="12">
        <f t="shared" si="9"/>
        <v>1.4999999999999999E-2</v>
      </c>
      <c r="G53" s="12">
        <f t="shared" si="9"/>
        <v>1.4999999999999999E-2</v>
      </c>
      <c r="H53" s="12">
        <f t="shared" si="9"/>
        <v>1.4999999999999999E-2</v>
      </c>
      <c r="I53" s="12">
        <f t="shared" si="9"/>
        <v>1.4999999999999999E-2</v>
      </c>
      <c r="J53" s="12">
        <f t="shared" si="9"/>
        <v>1.4999999999999999E-2</v>
      </c>
      <c r="K53" s="12">
        <f t="shared" si="9"/>
        <v>1.4999999999999999E-2</v>
      </c>
      <c r="L53" s="12">
        <f t="shared" si="9"/>
        <v>1.4999999999999999E-2</v>
      </c>
      <c r="M53" s="12">
        <f t="shared" si="9"/>
        <v>1.7500000000000002E-2</v>
      </c>
      <c r="N53" s="12">
        <f t="shared" si="9"/>
        <v>1.7500000000000002E-2</v>
      </c>
      <c r="O53" s="12">
        <f t="shared" si="9"/>
        <v>1.7500000000000002E-2</v>
      </c>
      <c r="P53" s="12">
        <f t="shared" si="9"/>
        <v>1.7500000000000002E-2</v>
      </c>
      <c r="Q53" s="12">
        <f t="shared" si="9"/>
        <v>1.7500000000000002E-2</v>
      </c>
      <c r="R53" s="12">
        <f t="shared" si="9"/>
        <v>1.7500000000000002E-2</v>
      </c>
      <c r="S53" s="12">
        <f t="shared" si="9"/>
        <v>1.7500000000000002E-2</v>
      </c>
      <c r="T53" s="12">
        <f t="shared" si="9"/>
        <v>1.7500000000000002E-2</v>
      </c>
      <c r="U53" s="12">
        <f t="shared" si="9"/>
        <v>1.7500000000000002E-2</v>
      </c>
      <c r="V53" s="12">
        <f t="shared" si="9"/>
        <v>1.7500000000000002E-2</v>
      </c>
      <c r="W53" s="12">
        <f t="shared" si="9"/>
        <v>0.02</v>
      </c>
      <c r="X53" s="12">
        <f t="shared" si="9"/>
        <v>0.02</v>
      </c>
      <c r="Y53" s="12">
        <f t="shared" si="9"/>
        <v>0.02</v>
      </c>
      <c r="Z53" s="12">
        <f t="shared" si="9"/>
        <v>0.02</v>
      </c>
      <c r="AA53" s="12">
        <f t="shared" si="9"/>
        <v>0.02</v>
      </c>
      <c r="AB53" s="12">
        <f t="shared" si="9"/>
        <v>0.02</v>
      </c>
      <c r="AC53" s="12">
        <f t="shared" si="9"/>
        <v>0.02</v>
      </c>
      <c r="AD53" s="12">
        <f t="shared" si="9"/>
        <v>0.02</v>
      </c>
      <c r="AE53" s="12">
        <f t="shared" si="9"/>
        <v>0.02</v>
      </c>
      <c r="AF53" s="12">
        <f t="shared" si="9"/>
        <v>0.02</v>
      </c>
      <c r="AG53" s="12">
        <f t="shared" si="9"/>
        <v>0.02</v>
      </c>
      <c r="AH53" s="12">
        <f t="shared" si="9"/>
        <v>0.02</v>
      </c>
      <c r="AI53" s="12">
        <f t="shared" si="9"/>
        <v>0.02</v>
      </c>
      <c r="AJ53" s="12">
        <f t="shared" si="9"/>
        <v>0.02</v>
      </c>
      <c r="AK53" s="12">
        <f t="shared" si="9"/>
        <v>0.02</v>
      </c>
      <c r="AL53" s="12">
        <f t="shared" si="9"/>
        <v>0.02</v>
      </c>
      <c r="AM53" s="12">
        <f t="shared" si="9"/>
        <v>0.02</v>
      </c>
      <c r="AN53" s="12">
        <f t="shared" si="9"/>
        <v>0.02</v>
      </c>
      <c r="AO53" s="12">
        <f t="shared" si="9"/>
        <v>0.02</v>
      </c>
      <c r="AP53" s="12">
        <f t="shared" si="9"/>
        <v>0.02</v>
      </c>
      <c r="AQ53" s="12">
        <f t="shared" si="9"/>
        <v>0.02</v>
      </c>
      <c r="AR53" s="12">
        <f t="shared" si="9"/>
        <v>0.02</v>
      </c>
      <c r="AS53" s="12">
        <f t="shared" si="9"/>
        <v>0.02</v>
      </c>
      <c r="AT53" s="12">
        <f t="shared" si="9"/>
        <v>0.02</v>
      </c>
      <c r="AU53" s="12">
        <f t="shared" si="9"/>
        <v>0.02</v>
      </c>
      <c r="AV53" s="12">
        <f t="shared" si="9"/>
        <v>0.02</v>
      </c>
      <c r="AW53" s="12">
        <f t="shared" si="9"/>
        <v>0.02</v>
      </c>
      <c r="AX53" s="12">
        <f t="shared" si="9"/>
        <v>0.02</v>
      </c>
      <c r="AY53" s="12">
        <f t="shared" si="9"/>
        <v>0.02</v>
      </c>
      <c r="AZ53" s="12">
        <f t="shared" si="9"/>
        <v>0.02</v>
      </c>
      <c r="BA53" s="12">
        <f t="shared" si="9"/>
        <v>0.02</v>
      </c>
      <c r="BB53" s="12">
        <f t="shared" si="9"/>
        <v>0.02</v>
      </c>
      <c r="BC53" s="12">
        <f t="shared" si="9"/>
        <v>0.02</v>
      </c>
      <c r="BD53" s="12">
        <f t="shared" si="9"/>
        <v>0.02</v>
      </c>
      <c r="BE53" s="12">
        <f t="shared" si="9"/>
        <v>0.02</v>
      </c>
      <c r="BF53" s="12">
        <f t="shared" si="9"/>
        <v>0.02</v>
      </c>
      <c r="BG53" s="12">
        <f t="shared" si="9"/>
        <v>0.02</v>
      </c>
      <c r="BH53" s="12">
        <f t="shared" si="9"/>
        <v>0.02</v>
      </c>
      <c r="BI53" s="12">
        <f t="shared" si="9"/>
        <v>0.02</v>
      </c>
      <c r="BJ53" s="12">
        <f t="shared" si="9"/>
        <v>0.02</v>
      </c>
      <c r="BK53" s="12">
        <f t="shared" si="9"/>
        <v>0.02</v>
      </c>
      <c r="BL53" s="12">
        <f t="shared" si="9"/>
        <v>0.02</v>
      </c>
    </row>
    <row r="54" spans="1:64" x14ac:dyDescent="0.35">
      <c r="A54" s="1"/>
      <c r="C54" s="2" t="s">
        <v>89</v>
      </c>
      <c r="D54" s="13">
        <v>1</v>
      </c>
      <c r="E54" s="4">
        <f t="shared" ref="E54:BL54" si="10">D54*(1+E53)</f>
        <v>1.0149999999999999</v>
      </c>
      <c r="F54" s="4">
        <f t="shared" si="10"/>
        <v>1.0302249999999997</v>
      </c>
      <c r="G54" s="4">
        <f t="shared" si="10"/>
        <v>1.0456783749999996</v>
      </c>
      <c r="H54" s="4">
        <f t="shared" si="10"/>
        <v>1.0613635506249994</v>
      </c>
      <c r="I54" s="4">
        <f t="shared" si="10"/>
        <v>1.0772840038843743</v>
      </c>
      <c r="J54" s="4">
        <f t="shared" si="10"/>
        <v>1.0934432639426397</v>
      </c>
      <c r="K54" s="4">
        <f t="shared" si="10"/>
        <v>1.1098449129017791</v>
      </c>
      <c r="L54" s="4">
        <f t="shared" si="10"/>
        <v>1.1264925865953057</v>
      </c>
      <c r="M54" s="4">
        <f t="shared" si="10"/>
        <v>1.1462062068607237</v>
      </c>
      <c r="N54" s="4">
        <f t="shared" si="10"/>
        <v>1.1662648154807864</v>
      </c>
      <c r="O54" s="4">
        <f t="shared" si="10"/>
        <v>1.1866744497517003</v>
      </c>
      <c r="P54" s="4">
        <f t="shared" si="10"/>
        <v>1.2074412526223552</v>
      </c>
      <c r="Q54" s="4">
        <f t="shared" si="10"/>
        <v>1.2285714745432466</v>
      </c>
      <c r="R54" s="4">
        <f t="shared" si="10"/>
        <v>1.2500714753477535</v>
      </c>
      <c r="S54" s="4">
        <f t="shared" si="10"/>
        <v>1.2719477261663392</v>
      </c>
      <c r="T54" s="4">
        <f t="shared" si="10"/>
        <v>1.2942068113742502</v>
      </c>
      <c r="U54" s="4">
        <f t="shared" si="10"/>
        <v>1.3168554305732996</v>
      </c>
      <c r="V54" s="4">
        <f t="shared" si="10"/>
        <v>1.3399004006083324</v>
      </c>
      <c r="W54" s="4">
        <f t="shared" si="10"/>
        <v>1.366698408620499</v>
      </c>
      <c r="X54" s="4">
        <f t="shared" si="10"/>
        <v>1.394032376792909</v>
      </c>
      <c r="Y54" s="4">
        <f t="shared" si="10"/>
        <v>1.4219130243287672</v>
      </c>
      <c r="Z54" s="4">
        <f t="shared" si="10"/>
        <v>1.4503512848153426</v>
      </c>
      <c r="AA54" s="4">
        <f t="shared" si="10"/>
        <v>1.4793583105116495</v>
      </c>
      <c r="AB54" s="4">
        <f t="shared" si="10"/>
        <v>1.5089454767218824</v>
      </c>
      <c r="AC54" s="4">
        <f t="shared" si="10"/>
        <v>1.53912438625632</v>
      </c>
      <c r="AD54" s="4">
        <f t="shared" si="10"/>
        <v>1.5699068739814463</v>
      </c>
      <c r="AE54" s="4">
        <f t="shared" si="10"/>
        <v>1.6013050114610754</v>
      </c>
      <c r="AF54" s="4">
        <f t="shared" si="10"/>
        <v>1.6333311116902969</v>
      </c>
      <c r="AG54" s="4">
        <f t="shared" si="10"/>
        <v>1.6659977339241028</v>
      </c>
      <c r="AH54" s="4">
        <f t="shared" si="10"/>
        <v>1.6993176886025849</v>
      </c>
      <c r="AI54" s="4">
        <f t="shared" si="10"/>
        <v>1.7333040423746366</v>
      </c>
      <c r="AJ54" s="4">
        <f t="shared" si="10"/>
        <v>1.7679701232221294</v>
      </c>
      <c r="AK54" s="4">
        <f t="shared" si="10"/>
        <v>1.803329525686572</v>
      </c>
      <c r="AL54" s="4">
        <f t="shared" si="10"/>
        <v>1.8393961162003034</v>
      </c>
      <c r="AM54" s="4">
        <f t="shared" si="10"/>
        <v>1.8761840385243096</v>
      </c>
      <c r="AN54" s="4">
        <f t="shared" si="10"/>
        <v>1.9137077192947958</v>
      </c>
      <c r="AO54" s="4">
        <f t="shared" si="10"/>
        <v>1.9519818736806918</v>
      </c>
      <c r="AP54" s="4">
        <f t="shared" si="10"/>
        <v>1.9910215111543057</v>
      </c>
      <c r="AQ54" s="4">
        <f t="shared" si="10"/>
        <v>2.0308419413773917</v>
      </c>
      <c r="AR54" s="4">
        <f t="shared" si="10"/>
        <v>2.0714587802049396</v>
      </c>
      <c r="AS54" s="4">
        <f t="shared" si="10"/>
        <v>2.1128879558090383</v>
      </c>
      <c r="AT54" s="4">
        <f t="shared" si="10"/>
        <v>2.1551457149252191</v>
      </c>
      <c r="AU54" s="4">
        <f t="shared" si="10"/>
        <v>2.1982486292237233</v>
      </c>
      <c r="AV54" s="4">
        <f t="shared" si="10"/>
        <v>2.242213601808198</v>
      </c>
      <c r="AW54" s="4">
        <f t="shared" si="10"/>
        <v>2.2870578738443621</v>
      </c>
      <c r="AX54" s="4">
        <f t="shared" si="10"/>
        <v>2.3327990313212492</v>
      </c>
      <c r="AY54" s="4">
        <f t="shared" si="10"/>
        <v>2.3794550119476741</v>
      </c>
      <c r="AZ54" s="4">
        <f t="shared" si="10"/>
        <v>2.4270441121866275</v>
      </c>
      <c r="BA54" s="4">
        <f t="shared" si="10"/>
        <v>2.4755849944303603</v>
      </c>
      <c r="BB54" s="4">
        <f t="shared" si="10"/>
        <v>2.5250966943189677</v>
      </c>
      <c r="BC54" s="4">
        <f t="shared" si="10"/>
        <v>2.5755986282053471</v>
      </c>
      <c r="BD54" s="4">
        <f t="shared" si="10"/>
        <v>2.6271106007694542</v>
      </c>
      <c r="BE54" s="4">
        <f t="shared" si="10"/>
        <v>2.6796528127848434</v>
      </c>
      <c r="BF54" s="4">
        <f t="shared" si="10"/>
        <v>2.7332458690405401</v>
      </c>
      <c r="BG54" s="4">
        <f t="shared" si="10"/>
        <v>2.7879107864213508</v>
      </c>
      <c r="BH54" s="4">
        <f t="shared" si="10"/>
        <v>2.8436690021497779</v>
      </c>
      <c r="BI54" s="4">
        <f t="shared" si="10"/>
        <v>2.9005423821927736</v>
      </c>
      <c r="BJ54" s="4">
        <f t="shared" si="10"/>
        <v>2.9585532298366291</v>
      </c>
      <c r="BK54" s="4">
        <f t="shared" si="10"/>
        <v>3.0177242944333615</v>
      </c>
      <c r="BL54" s="4">
        <f t="shared" si="10"/>
        <v>3.0780787803220289</v>
      </c>
    </row>
    <row r="55" spans="1:64" x14ac:dyDescent="0.35">
      <c r="A55" s="1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</row>
    <row r="56" spans="1:64" x14ac:dyDescent="0.35">
      <c r="A56" s="1"/>
      <c r="C56" s="2" t="s">
        <v>15</v>
      </c>
      <c r="D56" s="4">
        <f>SUMPRODUCT(E49:BL49/E54:BL54)</f>
        <v>6243.1203081917001</v>
      </c>
      <c r="G56" s="32" t="s">
        <v>348</v>
      </c>
      <c r="H56" s="4">
        <f>D56/D57</f>
        <v>1.6429263968925527</v>
      </c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</row>
    <row r="57" spans="1:64" x14ac:dyDescent="0.35">
      <c r="A57" s="1"/>
      <c r="C57" s="2" t="s">
        <v>330</v>
      </c>
      <c r="D57" s="4">
        <f>D34</f>
        <v>3800</v>
      </c>
      <c r="G57" s="32" t="s">
        <v>123</v>
      </c>
      <c r="H57" s="4">
        <f>D56/(D57+D58)</f>
        <v>1.6429263968925527</v>
      </c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</row>
    <row r="58" spans="1:64" x14ac:dyDescent="0.35">
      <c r="A58" s="1"/>
      <c r="C58" s="2" t="s">
        <v>328</v>
      </c>
      <c r="D58" s="4">
        <f>D68</f>
        <v>0</v>
      </c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</row>
    <row r="59" spans="1:64" x14ac:dyDescent="0.35">
      <c r="A59" s="1"/>
      <c r="C59" s="2" t="s">
        <v>316</v>
      </c>
      <c r="D59" s="4" t="b">
        <f>H57&gt;D8</f>
        <v>1</v>
      </c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</row>
    <row r="60" spans="1:64" x14ac:dyDescent="0.35">
      <c r="A60" s="1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</row>
    <row r="61" spans="1:64" x14ac:dyDescent="0.35">
      <c r="A61" s="1"/>
      <c r="C61" s="2" t="s">
        <v>351</v>
      </c>
      <c r="D61" s="4">
        <f>D8</f>
        <v>1.3</v>
      </c>
      <c r="E61" s="4">
        <f t="shared" ref="E61:BL61" si="11">E48/$D$61*E41</f>
        <v>118.26923076923076</v>
      </c>
      <c r="F61" s="4">
        <f t="shared" si="11"/>
        <v>121.22596153846153</v>
      </c>
      <c r="G61" s="4">
        <f t="shared" si="11"/>
        <v>124.25661057692307</v>
      </c>
      <c r="H61" s="4">
        <f t="shared" si="11"/>
        <v>127.36302584134613</v>
      </c>
      <c r="I61" s="4">
        <f t="shared" si="11"/>
        <v>130.54710148737979</v>
      </c>
      <c r="J61" s="4">
        <f t="shared" si="11"/>
        <v>133.81077902456425</v>
      </c>
      <c r="K61" s="4">
        <f t="shared" si="11"/>
        <v>137.15604850017837</v>
      </c>
      <c r="L61" s="4">
        <f t="shared" si="11"/>
        <v>140.58494971268283</v>
      </c>
      <c r="M61" s="4">
        <f t="shared" si="11"/>
        <v>144.09957345549986</v>
      </c>
      <c r="N61" s="4">
        <f t="shared" si="11"/>
        <v>147.70206279188736</v>
      </c>
      <c r="O61" s="4">
        <f t="shared" si="11"/>
        <v>149.91759373376564</v>
      </c>
      <c r="P61" s="4">
        <f t="shared" si="11"/>
        <v>152.16635763977212</v>
      </c>
      <c r="Q61" s="4">
        <f t="shared" si="11"/>
        <v>154.44885300436869</v>
      </c>
      <c r="R61" s="4">
        <f t="shared" si="11"/>
        <v>156.76558579943421</v>
      </c>
      <c r="S61" s="4">
        <f t="shared" si="11"/>
        <v>159.11706958642569</v>
      </c>
      <c r="T61" s="4">
        <f t="shared" si="11"/>
        <v>161.50382563022205</v>
      </c>
      <c r="U61" s="4">
        <f t="shared" si="11"/>
        <v>163.92638301467537</v>
      </c>
      <c r="V61" s="4">
        <f t="shared" si="11"/>
        <v>166.38527875989547</v>
      </c>
      <c r="W61" s="4">
        <f t="shared" si="11"/>
        <v>168.8810579412939</v>
      </c>
      <c r="X61" s="4">
        <f t="shared" si="11"/>
        <v>171.41427381041328</v>
      </c>
      <c r="Y61" s="4">
        <f t="shared" si="11"/>
        <v>173.98548791756946</v>
      </c>
      <c r="Z61" s="4">
        <f t="shared" si="11"/>
        <v>176.59527023633299</v>
      </c>
      <c r="AA61" s="4">
        <f t="shared" si="11"/>
        <v>179.24419928987797</v>
      </c>
      <c r="AB61" s="4">
        <f t="shared" si="11"/>
        <v>181.93286227922613</v>
      </c>
      <c r="AC61" s="4">
        <f t="shared" si="11"/>
        <v>184.6618552134145</v>
      </c>
      <c r="AD61" s="4">
        <f t="shared" si="11"/>
        <v>187.43178304161569</v>
      </c>
      <c r="AE61" s="4">
        <f t="shared" si="11"/>
        <v>190.24325978723991</v>
      </c>
      <c r="AF61" s="4">
        <f t="shared" si="11"/>
        <v>193.09690868404849</v>
      </c>
      <c r="AG61" s="4">
        <f t="shared" si="11"/>
        <v>195.99336231430917</v>
      </c>
      <c r="AH61" s="4">
        <f t="shared" si="11"/>
        <v>198.93326274902378</v>
      </c>
      <c r="AI61" s="4">
        <f t="shared" si="11"/>
        <v>201.91726169025912</v>
      </c>
      <c r="AJ61" s="4">
        <f t="shared" si="11"/>
        <v>204.94602061561298</v>
      </c>
      <c r="AK61" s="4">
        <f t="shared" si="11"/>
        <v>208.02021092484716</v>
      </c>
      <c r="AL61" s="4">
        <f t="shared" si="11"/>
        <v>211.14051408871987</v>
      </c>
      <c r="AM61" s="4">
        <f t="shared" si="11"/>
        <v>214.30762180005064</v>
      </c>
      <c r="AN61" s="4">
        <f t="shared" si="11"/>
        <v>217.5222361270514</v>
      </c>
      <c r="AO61" s="4">
        <f t="shared" si="11"/>
        <v>220.78506966895714</v>
      </c>
      <c r="AP61" s="4">
        <f t="shared" si="11"/>
        <v>224.09684571399151</v>
      </c>
      <c r="AQ61" s="4">
        <f t="shared" si="11"/>
        <v>227.45829839970133</v>
      </c>
      <c r="AR61" s="4">
        <f t="shared" si="11"/>
        <v>230.87017287569682</v>
      </c>
      <c r="AS61" s="4">
        <f t="shared" si="11"/>
        <v>0</v>
      </c>
      <c r="AT61" s="4">
        <f t="shared" si="11"/>
        <v>0</v>
      </c>
      <c r="AU61" s="4">
        <f t="shared" si="11"/>
        <v>0</v>
      </c>
      <c r="AV61" s="4">
        <f t="shared" si="11"/>
        <v>0</v>
      </c>
      <c r="AW61" s="4">
        <f t="shared" si="11"/>
        <v>0</v>
      </c>
      <c r="AX61" s="4">
        <f t="shared" si="11"/>
        <v>0</v>
      </c>
      <c r="AY61" s="4">
        <f t="shared" si="11"/>
        <v>0</v>
      </c>
      <c r="AZ61" s="4">
        <f t="shared" si="11"/>
        <v>0</v>
      </c>
      <c r="BA61" s="4">
        <f t="shared" si="11"/>
        <v>0</v>
      </c>
      <c r="BB61" s="4">
        <f t="shared" si="11"/>
        <v>0</v>
      </c>
      <c r="BC61" s="4">
        <f t="shared" si="11"/>
        <v>0</v>
      </c>
      <c r="BD61" s="4">
        <f t="shared" si="11"/>
        <v>0</v>
      </c>
      <c r="BE61" s="4">
        <f t="shared" si="11"/>
        <v>0</v>
      </c>
      <c r="BF61" s="4">
        <f t="shared" si="11"/>
        <v>0</v>
      </c>
      <c r="BG61" s="4">
        <f t="shared" si="11"/>
        <v>0</v>
      </c>
      <c r="BH61" s="4">
        <f t="shared" si="11"/>
        <v>0</v>
      </c>
      <c r="BI61" s="4">
        <f t="shared" si="11"/>
        <v>0</v>
      </c>
      <c r="BJ61" s="4">
        <f t="shared" si="11"/>
        <v>0</v>
      </c>
      <c r="BK61" s="4">
        <f t="shared" si="11"/>
        <v>0</v>
      </c>
      <c r="BL61" s="4">
        <f t="shared" si="11"/>
        <v>0</v>
      </c>
    </row>
    <row r="62" spans="1:64" x14ac:dyDescent="0.35">
      <c r="A62" s="1"/>
      <c r="C62" s="2" t="s">
        <v>352</v>
      </c>
      <c r="D62" s="4">
        <f>SUMPRODUCT(E61:BL61/E54:BL54)-D58</f>
        <v>4802.4002370705375</v>
      </c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</row>
    <row r="63" spans="1:64" x14ac:dyDescent="0.35">
      <c r="A63" s="1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</row>
    <row r="64" spans="1:64" x14ac:dyDescent="0.35">
      <c r="A64" s="1"/>
      <c r="C64" s="27" t="s">
        <v>317</v>
      </c>
      <c r="D64" s="30">
        <f>IF(D62&lt;D57,D8,H57)</f>
        <v>1.6429263968925527</v>
      </c>
      <c r="E64" s="30">
        <f t="shared" ref="E64:BL64" si="12">D64</f>
        <v>1.6429263968925527</v>
      </c>
      <c r="F64" s="30">
        <f t="shared" si="12"/>
        <v>1.6429263968925527</v>
      </c>
      <c r="G64" s="30">
        <f t="shared" si="12"/>
        <v>1.6429263968925527</v>
      </c>
      <c r="H64" s="30">
        <f t="shared" si="12"/>
        <v>1.6429263968925527</v>
      </c>
      <c r="I64" s="30">
        <f t="shared" si="12"/>
        <v>1.6429263968925527</v>
      </c>
      <c r="J64" s="30">
        <f t="shared" si="12"/>
        <v>1.6429263968925527</v>
      </c>
      <c r="K64" s="30">
        <f t="shared" si="12"/>
        <v>1.6429263968925527</v>
      </c>
      <c r="L64" s="30">
        <f t="shared" si="12"/>
        <v>1.6429263968925527</v>
      </c>
      <c r="M64" s="30">
        <f t="shared" si="12"/>
        <v>1.6429263968925527</v>
      </c>
      <c r="N64" s="30">
        <f t="shared" si="12"/>
        <v>1.6429263968925527</v>
      </c>
      <c r="O64" s="30">
        <f t="shared" si="12"/>
        <v>1.6429263968925527</v>
      </c>
      <c r="P64" s="30">
        <f t="shared" si="12"/>
        <v>1.6429263968925527</v>
      </c>
      <c r="Q64" s="30">
        <f t="shared" si="12"/>
        <v>1.6429263968925527</v>
      </c>
      <c r="R64" s="30">
        <f t="shared" si="12"/>
        <v>1.6429263968925527</v>
      </c>
      <c r="S64" s="30">
        <f t="shared" si="12"/>
        <v>1.6429263968925527</v>
      </c>
      <c r="T64" s="30">
        <f t="shared" si="12"/>
        <v>1.6429263968925527</v>
      </c>
      <c r="U64" s="30">
        <f t="shared" si="12"/>
        <v>1.6429263968925527</v>
      </c>
      <c r="V64" s="30">
        <f t="shared" si="12"/>
        <v>1.6429263968925527</v>
      </c>
      <c r="W64" s="30">
        <f t="shared" si="12"/>
        <v>1.6429263968925527</v>
      </c>
      <c r="X64" s="30">
        <f t="shared" si="12"/>
        <v>1.6429263968925527</v>
      </c>
      <c r="Y64" s="30">
        <f t="shared" si="12"/>
        <v>1.6429263968925527</v>
      </c>
      <c r="Z64" s="30">
        <f t="shared" si="12"/>
        <v>1.6429263968925527</v>
      </c>
      <c r="AA64" s="30">
        <f t="shared" si="12"/>
        <v>1.6429263968925527</v>
      </c>
      <c r="AB64" s="30">
        <f t="shared" si="12"/>
        <v>1.6429263968925527</v>
      </c>
      <c r="AC64" s="30">
        <f t="shared" si="12"/>
        <v>1.6429263968925527</v>
      </c>
      <c r="AD64" s="30">
        <f t="shared" si="12"/>
        <v>1.6429263968925527</v>
      </c>
      <c r="AE64" s="30">
        <f t="shared" si="12"/>
        <v>1.6429263968925527</v>
      </c>
      <c r="AF64" s="30">
        <f t="shared" si="12"/>
        <v>1.6429263968925527</v>
      </c>
      <c r="AG64" s="30">
        <f t="shared" si="12"/>
        <v>1.6429263968925527</v>
      </c>
      <c r="AH64" s="30">
        <f t="shared" si="12"/>
        <v>1.6429263968925527</v>
      </c>
      <c r="AI64" s="30">
        <f t="shared" si="12"/>
        <v>1.6429263968925527</v>
      </c>
      <c r="AJ64" s="30">
        <f t="shared" si="12"/>
        <v>1.6429263968925527</v>
      </c>
      <c r="AK64" s="30">
        <f t="shared" si="12"/>
        <v>1.6429263968925527</v>
      </c>
      <c r="AL64" s="30">
        <f t="shared" si="12"/>
        <v>1.6429263968925527</v>
      </c>
      <c r="AM64" s="30">
        <f t="shared" si="12"/>
        <v>1.6429263968925527</v>
      </c>
      <c r="AN64" s="30">
        <f t="shared" si="12"/>
        <v>1.6429263968925527</v>
      </c>
      <c r="AO64" s="30">
        <f t="shared" si="12"/>
        <v>1.6429263968925527</v>
      </c>
      <c r="AP64" s="30">
        <f t="shared" si="12"/>
        <v>1.6429263968925527</v>
      </c>
      <c r="AQ64" s="30">
        <f t="shared" si="12"/>
        <v>1.6429263968925527</v>
      </c>
      <c r="AR64" s="30">
        <f t="shared" si="12"/>
        <v>1.6429263968925527</v>
      </c>
      <c r="AS64" s="30">
        <f t="shared" si="12"/>
        <v>1.6429263968925527</v>
      </c>
      <c r="AT64" s="30">
        <f t="shared" si="12"/>
        <v>1.6429263968925527</v>
      </c>
      <c r="AU64" s="30">
        <f t="shared" si="12"/>
        <v>1.6429263968925527</v>
      </c>
      <c r="AV64" s="30">
        <f t="shared" si="12"/>
        <v>1.6429263968925527</v>
      </c>
      <c r="AW64" s="30">
        <f t="shared" si="12"/>
        <v>1.6429263968925527</v>
      </c>
      <c r="AX64" s="30">
        <f t="shared" si="12"/>
        <v>1.6429263968925527</v>
      </c>
      <c r="AY64" s="30">
        <f t="shared" si="12"/>
        <v>1.6429263968925527</v>
      </c>
      <c r="AZ64" s="30">
        <f t="shared" si="12"/>
        <v>1.6429263968925527</v>
      </c>
      <c r="BA64" s="30">
        <f t="shared" si="12"/>
        <v>1.6429263968925527</v>
      </c>
      <c r="BB64" s="30">
        <f t="shared" si="12"/>
        <v>1.6429263968925527</v>
      </c>
      <c r="BC64" s="30">
        <f t="shared" si="12"/>
        <v>1.6429263968925527</v>
      </c>
      <c r="BD64" s="30">
        <f t="shared" si="12"/>
        <v>1.6429263968925527</v>
      </c>
      <c r="BE64" s="30">
        <f t="shared" si="12"/>
        <v>1.6429263968925527</v>
      </c>
      <c r="BF64" s="30">
        <f t="shared" si="12"/>
        <v>1.6429263968925527</v>
      </c>
      <c r="BG64" s="30">
        <f t="shared" si="12"/>
        <v>1.6429263968925527</v>
      </c>
      <c r="BH64" s="30">
        <f t="shared" si="12"/>
        <v>1.6429263968925527</v>
      </c>
      <c r="BI64" s="30">
        <f t="shared" si="12"/>
        <v>1.6429263968925527</v>
      </c>
      <c r="BJ64" s="30">
        <f t="shared" si="12"/>
        <v>1.6429263968925527</v>
      </c>
      <c r="BK64" s="30">
        <f t="shared" si="12"/>
        <v>1.6429263968925527</v>
      </c>
      <c r="BL64" s="28">
        <f t="shared" si="12"/>
        <v>1.6429263968925527</v>
      </c>
    </row>
    <row r="65" spans="1:64" x14ac:dyDescent="0.35">
      <c r="A65" s="1"/>
      <c r="C65" s="10" t="s">
        <v>318</v>
      </c>
      <c r="D65" s="105"/>
      <c r="E65" s="46">
        <f t="shared" ref="E65:BL65" si="13">E49/E64*E41</f>
        <v>93.583011564488999</v>
      </c>
      <c r="F65" s="46">
        <f t="shared" si="13"/>
        <v>95.922586853601217</v>
      </c>
      <c r="G65" s="46">
        <f t="shared" si="13"/>
        <v>98.320651524941255</v>
      </c>
      <c r="H65" s="46">
        <f t="shared" si="13"/>
        <v>100.77866781306477</v>
      </c>
      <c r="I65" s="46">
        <f t="shared" si="13"/>
        <v>103.29813450839139</v>
      </c>
      <c r="J65" s="46">
        <f t="shared" si="13"/>
        <v>105.88058787110116</v>
      </c>
      <c r="K65" s="46">
        <f t="shared" si="13"/>
        <v>108.52760256787869</v>
      </c>
      <c r="L65" s="46">
        <f t="shared" si="13"/>
        <v>111.24079263207564</v>
      </c>
      <c r="M65" s="46">
        <f t="shared" si="13"/>
        <v>114.02181244787752</v>
      </c>
      <c r="N65" s="46">
        <f t="shared" si="13"/>
        <v>116.87235775907445</v>
      </c>
      <c r="O65" s="46">
        <f t="shared" si="13"/>
        <v>118.62544312546055</v>
      </c>
      <c r="P65" s="46">
        <f t="shared" si="13"/>
        <v>120.40482477234245</v>
      </c>
      <c r="Q65" s="46">
        <f t="shared" si="13"/>
        <v>122.21089714392758</v>
      </c>
      <c r="R65" s="46">
        <f t="shared" si="13"/>
        <v>124.04406060108647</v>
      </c>
      <c r="S65" s="46">
        <f t="shared" si="13"/>
        <v>125.90472151010276</v>
      </c>
      <c r="T65" s="46">
        <f t="shared" si="13"/>
        <v>127.79329233275429</v>
      </c>
      <c r="U65" s="46">
        <f t="shared" si="13"/>
        <v>129.7101917177456</v>
      </c>
      <c r="V65" s="46">
        <f t="shared" si="13"/>
        <v>131.65584459351174</v>
      </c>
      <c r="W65" s="46">
        <f t="shared" si="13"/>
        <v>133.63068226241441</v>
      </c>
      <c r="X65" s="46">
        <f t="shared" si="13"/>
        <v>135.63514249635062</v>
      </c>
      <c r="Y65" s="46">
        <f t="shared" si="13"/>
        <v>137.66966963379585</v>
      </c>
      <c r="Z65" s="46">
        <f t="shared" si="13"/>
        <v>139.73471467830279</v>
      </c>
      <c r="AA65" s="46">
        <f t="shared" si="13"/>
        <v>141.83073539847732</v>
      </c>
      <c r="AB65" s="46">
        <f t="shared" si="13"/>
        <v>143.95819642945446</v>
      </c>
      <c r="AC65" s="46">
        <f t="shared" si="13"/>
        <v>146.11756937589627</v>
      </c>
      <c r="AD65" s="46">
        <f t="shared" si="13"/>
        <v>148.30933291653469</v>
      </c>
      <c r="AE65" s="46">
        <f t="shared" si="13"/>
        <v>150.5339729102827</v>
      </c>
      <c r="AF65" s="46">
        <f t="shared" si="13"/>
        <v>152.79198250393691</v>
      </c>
      <c r="AG65" s="46">
        <f t="shared" si="13"/>
        <v>155.08386224149595</v>
      </c>
      <c r="AH65" s="46">
        <f t="shared" si="13"/>
        <v>157.41012017511835</v>
      </c>
      <c r="AI65" s="46">
        <f t="shared" si="13"/>
        <v>159.77127197774513</v>
      </c>
      <c r="AJ65" s="46">
        <f t="shared" si="13"/>
        <v>162.16784105741129</v>
      </c>
      <c r="AK65" s="46">
        <f t="shared" si="13"/>
        <v>164.60035867327244</v>
      </c>
      <c r="AL65" s="46">
        <f t="shared" si="13"/>
        <v>167.06936405337152</v>
      </c>
      <c r="AM65" s="46">
        <f t="shared" si="13"/>
        <v>169.57540451417208</v>
      </c>
      <c r="AN65" s="46">
        <f t="shared" si="13"/>
        <v>172.11903558188465</v>
      </c>
      <c r="AO65" s="46">
        <f t="shared" si="13"/>
        <v>174.70082111561291</v>
      </c>
      <c r="AP65" s="46">
        <f t="shared" si="13"/>
        <v>177.3213334323471</v>
      </c>
      <c r="AQ65" s="46">
        <f t="shared" si="13"/>
        <v>179.98115343383228</v>
      </c>
      <c r="AR65" s="46">
        <f t="shared" si="13"/>
        <v>182.68087073533974</v>
      </c>
      <c r="AS65" s="46">
        <f t="shared" si="13"/>
        <v>0</v>
      </c>
      <c r="AT65" s="46">
        <f t="shared" si="13"/>
        <v>0</v>
      </c>
      <c r="AU65" s="46">
        <f t="shared" si="13"/>
        <v>0</v>
      </c>
      <c r="AV65" s="46">
        <f t="shared" si="13"/>
        <v>0</v>
      </c>
      <c r="AW65" s="46">
        <f t="shared" si="13"/>
        <v>0</v>
      </c>
      <c r="AX65" s="46">
        <f t="shared" si="13"/>
        <v>0</v>
      </c>
      <c r="AY65" s="46">
        <f t="shared" si="13"/>
        <v>0</v>
      </c>
      <c r="AZ65" s="46">
        <f t="shared" si="13"/>
        <v>0</v>
      </c>
      <c r="BA65" s="46">
        <f t="shared" si="13"/>
        <v>0</v>
      </c>
      <c r="BB65" s="46">
        <f t="shared" si="13"/>
        <v>0</v>
      </c>
      <c r="BC65" s="46">
        <f t="shared" si="13"/>
        <v>0</v>
      </c>
      <c r="BD65" s="46">
        <f t="shared" si="13"/>
        <v>0</v>
      </c>
      <c r="BE65" s="46">
        <f t="shared" si="13"/>
        <v>0</v>
      </c>
      <c r="BF65" s="46">
        <f t="shared" si="13"/>
        <v>0</v>
      </c>
      <c r="BG65" s="46">
        <f t="shared" si="13"/>
        <v>0</v>
      </c>
      <c r="BH65" s="46">
        <f t="shared" si="13"/>
        <v>0</v>
      </c>
      <c r="BI65" s="46">
        <f t="shared" si="13"/>
        <v>0</v>
      </c>
      <c r="BJ65" s="46">
        <f t="shared" si="13"/>
        <v>0</v>
      </c>
      <c r="BK65" s="46">
        <f t="shared" si="13"/>
        <v>0</v>
      </c>
      <c r="BL65" s="46">
        <f t="shared" si="13"/>
        <v>0</v>
      </c>
    </row>
    <row r="66" spans="1:64" x14ac:dyDescent="0.35">
      <c r="A66" s="1"/>
      <c r="C66" s="10" t="s">
        <v>319</v>
      </c>
      <c r="D66" s="105"/>
      <c r="E66" s="46">
        <f ca="1">E83*$D$12</f>
        <v>0</v>
      </c>
      <c r="F66" s="46">
        <f t="shared" ref="F66:BL66" ca="1" si="14">F83*$D$12</f>
        <v>0</v>
      </c>
      <c r="G66" s="46">
        <f t="shared" ca="1" si="14"/>
        <v>0</v>
      </c>
      <c r="H66" s="46">
        <f t="shared" ca="1" si="14"/>
        <v>0</v>
      </c>
      <c r="I66" s="46">
        <f t="shared" ca="1" si="14"/>
        <v>0</v>
      </c>
      <c r="J66" s="46">
        <f t="shared" ca="1" si="14"/>
        <v>0</v>
      </c>
      <c r="K66" s="46">
        <f t="shared" ca="1" si="14"/>
        <v>0</v>
      </c>
      <c r="L66" s="46">
        <f t="shared" ca="1" si="14"/>
        <v>0</v>
      </c>
      <c r="M66" s="46">
        <f t="shared" ca="1" si="14"/>
        <v>0</v>
      </c>
      <c r="N66" s="46">
        <f t="shared" ca="1" si="14"/>
        <v>0</v>
      </c>
      <c r="O66" s="46">
        <f t="shared" ca="1" si="14"/>
        <v>0</v>
      </c>
      <c r="P66" s="46">
        <f t="shared" ca="1" si="14"/>
        <v>0</v>
      </c>
      <c r="Q66" s="46">
        <f t="shared" ca="1" si="14"/>
        <v>0</v>
      </c>
      <c r="R66" s="46">
        <f t="shared" ca="1" si="14"/>
        <v>0</v>
      </c>
      <c r="S66" s="46">
        <f t="shared" ca="1" si="14"/>
        <v>0</v>
      </c>
      <c r="T66" s="46">
        <f t="shared" ca="1" si="14"/>
        <v>0</v>
      </c>
      <c r="U66" s="46">
        <f t="shared" ca="1" si="14"/>
        <v>0</v>
      </c>
      <c r="V66" s="46">
        <f t="shared" ca="1" si="14"/>
        <v>0</v>
      </c>
      <c r="W66" s="46">
        <f t="shared" ca="1" si="14"/>
        <v>0</v>
      </c>
      <c r="X66" s="46">
        <f t="shared" ca="1" si="14"/>
        <v>0</v>
      </c>
      <c r="Y66" s="46">
        <f t="shared" ca="1" si="14"/>
        <v>0</v>
      </c>
      <c r="Z66" s="46">
        <f t="shared" ca="1" si="14"/>
        <v>0</v>
      </c>
      <c r="AA66" s="46">
        <f t="shared" ca="1" si="14"/>
        <v>0</v>
      </c>
      <c r="AB66" s="46">
        <f t="shared" ca="1" si="14"/>
        <v>0</v>
      </c>
      <c r="AC66" s="46">
        <f t="shared" ca="1" si="14"/>
        <v>0</v>
      </c>
      <c r="AD66" s="46">
        <f t="shared" ca="1" si="14"/>
        <v>0</v>
      </c>
      <c r="AE66" s="46">
        <f t="shared" ca="1" si="14"/>
        <v>0</v>
      </c>
      <c r="AF66" s="46">
        <f t="shared" ca="1" si="14"/>
        <v>0</v>
      </c>
      <c r="AG66" s="46">
        <f t="shared" ca="1" si="14"/>
        <v>0</v>
      </c>
      <c r="AH66" s="46">
        <f t="shared" ca="1" si="14"/>
        <v>0</v>
      </c>
      <c r="AI66" s="46">
        <f t="shared" ca="1" si="14"/>
        <v>0</v>
      </c>
      <c r="AJ66" s="46">
        <f t="shared" ca="1" si="14"/>
        <v>0</v>
      </c>
      <c r="AK66" s="46">
        <f t="shared" ca="1" si="14"/>
        <v>0</v>
      </c>
      <c r="AL66" s="46">
        <f t="shared" ca="1" si="14"/>
        <v>0</v>
      </c>
      <c r="AM66" s="46">
        <f t="shared" ca="1" si="14"/>
        <v>0</v>
      </c>
      <c r="AN66" s="46">
        <f t="shared" ca="1" si="14"/>
        <v>0</v>
      </c>
      <c r="AO66" s="46">
        <f t="shared" ca="1" si="14"/>
        <v>0</v>
      </c>
      <c r="AP66" s="46">
        <f t="shared" ca="1" si="14"/>
        <v>0</v>
      </c>
      <c r="AQ66" s="46">
        <f t="shared" ca="1" si="14"/>
        <v>0</v>
      </c>
      <c r="AR66" s="46">
        <f t="shared" ca="1" si="14"/>
        <v>0</v>
      </c>
      <c r="AS66" s="46">
        <f t="shared" ca="1" si="14"/>
        <v>0</v>
      </c>
      <c r="AT66" s="46">
        <f t="shared" ca="1" si="14"/>
        <v>0</v>
      </c>
      <c r="AU66" s="46">
        <f t="shared" ca="1" si="14"/>
        <v>0</v>
      </c>
      <c r="AV66" s="46">
        <f t="shared" ca="1" si="14"/>
        <v>0</v>
      </c>
      <c r="AW66" s="46">
        <f t="shared" ca="1" si="14"/>
        <v>0</v>
      </c>
      <c r="AX66" s="46">
        <f t="shared" ca="1" si="14"/>
        <v>0</v>
      </c>
      <c r="AY66" s="46">
        <f t="shared" ca="1" si="14"/>
        <v>0</v>
      </c>
      <c r="AZ66" s="46">
        <f t="shared" ca="1" si="14"/>
        <v>0</v>
      </c>
      <c r="BA66" s="46">
        <f t="shared" ca="1" si="14"/>
        <v>0</v>
      </c>
      <c r="BB66" s="46">
        <f t="shared" ca="1" si="14"/>
        <v>0</v>
      </c>
      <c r="BC66" s="46">
        <f t="shared" ca="1" si="14"/>
        <v>0</v>
      </c>
      <c r="BD66" s="46">
        <f t="shared" ca="1" si="14"/>
        <v>0</v>
      </c>
      <c r="BE66" s="46">
        <f t="shared" ca="1" si="14"/>
        <v>0</v>
      </c>
      <c r="BF66" s="46">
        <f t="shared" ca="1" si="14"/>
        <v>0</v>
      </c>
      <c r="BG66" s="46">
        <f t="shared" ca="1" si="14"/>
        <v>0</v>
      </c>
      <c r="BH66" s="46">
        <f t="shared" ca="1" si="14"/>
        <v>0</v>
      </c>
      <c r="BI66" s="46">
        <f t="shared" ca="1" si="14"/>
        <v>0</v>
      </c>
      <c r="BJ66" s="46">
        <f t="shared" ca="1" si="14"/>
        <v>0</v>
      </c>
      <c r="BK66" s="46">
        <f t="shared" ca="1" si="14"/>
        <v>0</v>
      </c>
      <c r="BL66" s="46">
        <f t="shared" ca="1" si="14"/>
        <v>0</v>
      </c>
    </row>
    <row r="67" spans="1:64" x14ac:dyDescent="0.35">
      <c r="A67" s="1"/>
      <c r="C67" s="2" t="s">
        <v>81</v>
      </c>
      <c r="E67" s="4">
        <f ca="1">E65-E66</f>
        <v>93.583011564488999</v>
      </c>
      <c r="F67" s="4">
        <f t="shared" ref="F67:BL67" ca="1" si="15">F65-F66</f>
        <v>95.922586853601217</v>
      </c>
      <c r="G67" s="4">
        <f t="shared" ca="1" si="15"/>
        <v>98.320651524941255</v>
      </c>
      <c r="H67" s="4">
        <f t="shared" ca="1" si="15"/>
        <v>100.77866781306477</v>
      </c>
      <c r="I67" s="4">
        <f t="shared" ca="1" si="15"/>
        <v>103.29813450839139</v>
      </c>
      <c r="J67" s="4">
        <f t="shared" ca="1" si="15"/>
        <v>105.88058787110116</v>
      </c>
      <c r="K67" s="4">
        <f t="shared" ca="1" si="15"/>
        <v>108.52760256787869</v>
      </c>
      <c r="L67" s="4">
        <f t="shared" ca="1" si="15"/>
        <v>111.24079263207564</v>
      </c>
      <c r="M67" s="4">
        <f t="shared" ca="1" si="15"/>
        <v>114.02181244787752</v>
      </c>
      <c r="N67" s="4">
        <f t="shared" ca="1" si="15"/>
        <v>116.87235775907445</v>
      </c>
      <c r="O67" s="4">
        <f t="shared" ca="1" si="15"/>
        <v>118.62544312546055</v>
      </c>
      <c r="P67" s="4">
        <f t="shared" ca="1" si="15"/>
        <v>120.40482477234245</v>
      </c>
      <c r="Q67" s="4">
        <f t="shared" ca="1" si="15"/>
        <v>122.21089714392758</v>
      </c>
      <c r="R67" s="4">
        <f t="shared" ca="1" si="15"/>
        <v>124.04406060108647</v>
      </c>
      <c r="S67" s="4">
        <f t="shared" ca="1" si="15"/>
        <v>125.90472151010276</v>
      </c>
      <c r="T67" s="4">
        <f t="shared" ca="1" si="15"/>
        <v>127.79329233275429</v>
      </c>
      <c r="U67" s="4">
        <f t="shared" ca="1" si="15"/>
        <v>129.7101917177456</v>
      </c>
      <c r="V67" s="4">
        <f t="shared" ca="1" si="15"/>
        <v>131.65584459351174</v>
      </c>
      <c r="W67" s="4">
        <f t="shared" ca="1" si="15"/>
        <v>133.63068226241441</v>
      </c>
      <c r="X67" s="4">
        <f t="shared" ca="1" si="15"/>
        <v>135.63514249635062</v>
      </c>
      <c r="Y67" s="4">
        <f t="shared" ca="1" si="15"/>
        <v>137.66966963379585</v>
      </c>
      <c r="Z67" s="4">
        <f t="shared" ca="1" si="15"/>
        <v>139.73471467830279</v>
      </c>
      <c r="AA67" s="4">
        <f t="shared" ca="1" si="15"/>
        <v>141.83073539847732</v>
      </c>
      <c r="AB67" s="4">
        <f t="shared" ca="1" si="15"/>
        <v>143.95819642945446</v>
      </c>
      <c r="AC67" s="4">
        <f t="shared" ca="1" si="15"/>
        <v>146.11756937589627</v>
      </c>
      <c r="AD67" s="4">
        <f t="shared" ca="1" si="15"/>
        <v>148.30933291653469</v>
      </c>
      <c r="AE67" s="4">
        <f t="shared" ca="1" si="15"/>
        <v>150.5339729102827</v>
      </c>
      <c r="AF67" s="4">
        <f t="shared" ca="1" si="15"/>
        <v>152.79198250393691</v>
      </c>
      <c r="AG67" s="4">
        <f t="shared" ca="1" si="15"/>
        <v>155.08386224149595</v>
      </c>
      <c r="AH67" s="4">
        <f t="shared" ca="1" si="15"/>
        <v>157.41012017511835</v>
      </c>
      <c r="AI67" s="4">
        <f t="shared" ca="1" si="15"/>
        <v>159.77127197774513</v>
      </c>
      <c r="AJ67" s="4">
        <f t="shared" ca="1" si="15"/>
        <v>162.16784105741129</v>
      </c>
      <c r="AK67" s="4">
        <f t="shared" ca="1" si="15"/>
        <v>164.60035867327244</v>
      </c>
      <c r="AL67" s="4">
        <f t="shared" ca="1" si="15"/>
        <v>167.06936405337152</v>
      </c>
      <c r="AM67" s="4">
        <f t="shared" ca="1" si="15"/>
        <v>169.57540451417208</v>
      </c>
      <c r="AN67" s="4">
        <f t="shared" ca="1" si="15"/>
        <v>172.11903558188465</v>
      </c>
      <c r="AO67" s="4">
        <f t="shared" ca="1" si="15"/>
        <v>174.70082111561291</v>
      </c>
      <c r="AP67" s="4">
        <f t="shared" ca="1" si="15"/>
        <v>177.3213334323471</v>
      </c>
      <c r="AQ67" s="4">
        <f t="shared" ca="1" si="15"/>
        <v>179.98115343383228</v>
      </c>
      <c r="AR67" s="4">
        <f t="shared" ca="1" si="15"/>
        <v>182.68087073533974</v>
      </c>
      <c r="AS67" s="4">
        <f t="shared" ca="1" si="15"/>
        <v>0</v>
      </c>
      <c r="AT67" s="4">
        <f t="shared" ca="1" si="15"/>
        <v>0</v>
      </c>
      <c r="AU67" s="4">
        <f t="shared" ca="1" si="15"/>
        <v>0</v>
      </c>
      <c r="AV67" s="4">
        <f t="shared" ca="1" si="15"/>
        <v>0</v>
      </c>
      <c r="AW67" s="4">
        <f t="shared" ca="1" si="15"/>
        <v>0</v>
      </c>
      <c r="AX67" s="4">
        <f t="shared" ca="1" si="15"/>
        <v>0</v>
      </c>
      <c r="AY67" s="4">
        <f t="shared" ca="1" si="15"/>
        <v>0</v>
      </c>
      <c r="AZ67" s="4">
        <f t="shared" ca="1" si="15"/>
        <v>0</v>
      </c>
      <c r="BA67" s="4">
        <f t="shared" ca="1" si="15"/>
        <v>0</v>
      </c>
      <c r="BB67" s="4">
        <f t="shared" ca="1" si="15"/>
        <v>0</v>
      </c>
      <c r="BC67" s="4">
        <f t="shared" ca="1" si="15"/>
        <v>0</v>
      </c>
      <c r="BD67" s="4">
        <f t="shared" ca="1" si="15"/>
        <v>0</v>
      </c>
      <c r="BE67" s="4">
        <f t="shared" ca="1" si="15"/>
        <v>0</v>
      </c>
      <c r="BF67" s="4">
        <f t="shared" ca="1" si="15"/>
        <v>0</v>
      </c>
      <c r="BG67" s="4">
        <f t="shared" ca="1" si="15"/>
        <v>0</v>
      </c>
      <c r="BH67" s="4">
        <f t="shared" ca="1" si="15"/>
        <v>0</v>
      </c>
      <c r="BI67" s="4">
        <f t="shared" ca="1" si="15"/>
        <v>0</v>
      </c>
      <c r="BJ67" s="4">
        <f t="shared" ca="1" si="15"/>
        <v>0</v>
      </c>
      <c r="BK67" s="4">
        <f t="shared" ca="1" si="15"/>
        <v>0</v>
      </c>
      <c r="BL67" s="4">
        <f t="shared" ca="1" si="15"/>
        <v>0</v>
      </c>
    </row>
    <row r="68" spans="1:64" x14ac:dyDescent="0.35">
      <c r="A68" s="1"/>
      <c r="C68" s="2" t="s">
        <v>328</v>
      </c>
      <c r="D68" s="4">
        <f>SUMPRODUCT(E107:BL107/E54:BL54)</f>
        <v>0</v>
      </c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</row>
    <row r="69" spans="1:64" x14ac:dyDescent="0.35">
      <c r="A69" s="1"/>
      <c r="C69" s="2" t="s">
        <v>90</v>
      </c>
      <c r="D69" s="4">
        <f>SUMPRODUCT(E65:BL65/E54:BL54)</f>
        <v>3799.9999999999995</v>
      </c>
    </row>
    <row r="70" spans="1:64" x14ac:dyDescent="0.35">
      <c r="A70" s="1"/>
      <c r="C70" s="34" t="s">
        <v>125</v>
      </c>
      <c r="D70" s="47">
        <f>D69-D68</f>
        <v>3799.9999999999995</v>
      </c>
    </row>
    <row r="71" spans="1:64" x14ac:dyDescent="0.35">
      <c r="A71" s="1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</row>
    <row r="72" spans="1:64" x14ac:dyDescent="0.35">
      <c r="A72" s="1"/>
      <c r="C72" s="2" t="s">
        <v>91</v>
      </c>
      <c r="E72" s="4">
        <f t="shared" ref="E72:BL72" si="16">D74</f>
        <v>3799.9999999999995</v>
      </c>
      <c r="F72" s="4">
        <f t="shared" ca="1" si="16"/>
        <v>3763.4169884355106</v>
      </c>
      <c r="G72" s="4">
        <f t="shared" ca="1" si="16"/>
        <v>3723.9456564084421</v>
      </c>
      <c r="H72" s="4">
        <f t="shared" ca="1" si="16"/>
        <v>3681.4841897296274</v>
      </c>
      <c r="I72" s="4">
        <f t="shared" ca="1" si="16"/>
        <v>3635.9277847625071</v>
      </c>
      <c r="J72" s="4">
        <f t="shared" ca="1" si="16"/>
        <v>3587.1685670255533</v>
      </c>
      <c r="K72" s="4">
        <f t="shared" ca="1" si="16"/>
        <v>3535.0955076598357</v>
      </c>
      <c r="L72" s="4">
        <f t="shared" ca="1" si="16"/>
        <v>3479.5943377068547</v>
      </c>
      <c r="M72" s="4">
        <f t="shared" ca="1" si="16"/>
        <v>3420.5474601403821</v>
      </c>
      <c r="N72" s="4">
        <f t="shared" ca="1" si="16"/>
        <v>3366.3852282449611</v>
      </c>
      <c r="O72" s="4">
        <f t="shared" ca="1" si="16"/>
        <v>3308.4246119801737</v>
      </c>
      <c r="P72" s="4">
        <f t="shared" ca="1" si="16"/>
        <v>3247.6965995643664</v>
      </c>
      <c r="Q72" s="4">
        <f t="shared" ca="1" si="16"/>
        <v>3184.1264652844002</v>
      </c>
      <c r="R72" s="4">
        <f t="shared" ca="1" si="16"/>
        <v>3117.6377812829496</v>
      </c>
      <c r="S72" s="4">
        <f t="shared" ca="1" si="16"/>
        <v>3048.1523818543146</v>
      </c>
      <c r="T72" s="4">
        <f t="shared" ca="1" si="16"/>
        <v>2975.5903270266622</v>
      </c>
      <c r="U72" s="4">
        <f t="shared" ca="1" si="16"/>
        <v>2899.8698654168743</v>
      </c>
      <c r="V72" s="4">
        <f t="shared" ca="1" si="16"/>
        <v>2820.9073963439241</v>
      </c>
      <c r="W72" s="4">
        <f t="shared" ca="1" si="16"/>
        <v>2738.6174311864311</v>
      </c>
      <c r="X72" s="4">
        <f t="shared" ca="1" si="16"/>
        <v>2659.7590975477451</v>
      </c>
      <c r="Y72" s="4">
        <f t="shared" ca="1" si="16"/>
        <v>2577.3191370023492</v>
      </c>
      <c r="Z72" s="4">
        <f t="shared" ca="1" si="16"/>
        <v>2491.1958501086001</v>
      </c>
      <c r="AA72" s="4">
        <f t="shared" ca="1" si="16"/>
        <v>2401.2850524324695</v>
      </c>
      <c r="AB72" s="4">
        <f t="shared" ca="1" si="16"/>
        <v>2307.4800180826414</v>
      </c>
      <c r="AC72" s="4">
        <f t="shared" ca="1" si="16"/>
        <v>2209.6714220148397</v>
      </c>
      <c r="AD72" s="4">
        <f t="shared" ca="1" si="16"/>
        <v>2107.7472810792401</v>
      </c>
      <c r="AE72" s="4">
        <f t="shared" ca="1" si="16"/>
        <v>2001.5928937842903</v>
      </c>
      <c r="AF72" s="4">
        <f t="shared" ca="1" si="16"/>
        <v>1891.0907787496933</v>
      </c>
      <c r="AG72" s="4">
        <f t="shared" ca="1" si="16"/>
        <v>1776.1206118207504</v>
      </c>
      <c r="AH72" s="4">
        <f t="shared" ca="1" si="16"/>
        <v>1656.5591618156693</v>
      </c>
      <c r="AI72" s="4">
        <f t="shared" ca="1" si="16"/>
        <v>1532.2802248768644</v>
      </c>
      <c r="AJ72" s="4">
        <f t="shared" ca="1" si="16"/>
        <v>1403.1545573966566</v>
      </c>
      <c r="AK72" s="4">
        <f t="shared" ca="1" si="16"/>
        <v>1269.0498074871784</v>
      </c>
      <c r="AL72" s="4">
        <f t="shared" ca="1" si="16"/>
        <v>1129.8304449636496</v>
      </c>
      <c r="AM72" s="4">
        <f t="shared" ca="1" si="16"/>
        <v>985.35768980955106</v>
      </c>
      <c r="AN72" s="4">
        <f t="shared" ca="1" si="16"/>
        <v>835.48943909157003</v>
      </c>
      <c r="AO72" s="4">
        <f t="shared" ca="1" si="16"/>
        <v>680.08019229151682</v>
      </c>
      <c r="AP72" s="4">
        <f t="shared" ca="1" si="16"/>
        <v>518.98097502173425</v>
      </c>
      <c r="AQ72" s="4">
        <f t="shared" ca="1" si="16"/>
        <v>352.03926108982182</v>
      </c>
      <c r="AR72" s="4">
        <f t="shared" ca="1" si="16"/>
        <v>179.09889287778597</v>
      </c>
      <c r="AS72" s="4">
        <f t="shared" ca="1" si="16"/>
        <v>1.9610979506978765E-12</v>
      </c>
      <c r="AT72" s="4">
        <f t="shared" ca="1" si="16"/>
        <v>2.0003199097118339E-12</v>
      </c>
      <c r="AU72" s="4">
        <f t="shared" ca="1" si="16"/>
        <v>2.0403263079060707E-12</v>
      </c>
      <c r="AV72" s="4">
        <f t="shared" ca="1" si="16"/>
        <v>2.0811328340641919E-12</v>
      </c>
      <c r="AW72" s="4">
        <f t="shared" ca="1" si="16"/>
        <v>2.1227554907454758E-12</v>
      </c>
      <c r="AX72" s="4">
        <f t="shared" ca="1" si="16"/>
        <v>2.1652106005603851E-12</v>
      </c>
      <c r="AY72" s="4">
        <f t="shared" ca="1" si="16"/>
        <v>2.2085148125715929E-12</v>
      </c>
      <c r="AZ72" s="4">
        <f t="shared" ca="1" si="16"/>
        <v>2.2526851088230248E-12</v>
      </c>
      <c r="BA72" s="4">
        <f t="shared" ca="1" si="16"/>
        <v>2.2977388109994855E-12</v>
      </c>
      <c r="BB72" s="4">
        <f t="shared" ca="1" si="16"/>
        <v>2.3436935872194752E-12</v>
      </c>
      <c r="BC72" s="4">
        <f t="shared" ca="1" si="16"/>
        <v>2.3905674589638648E-12</v>
      </c>
      <c r="BD72" s="4">
        <f t="shared" ca="1" si="16"/>
        <v>2.438378808143142E-12</v>
      </c>
      <c r="BE72" s="4">
        <f t="shared" ca="1" si="16"/>
        <v>2.4871463843060047E-12</v>
      </c>
      <c r="BF72" s="4">
        <f t="shared" ca="1" si="16"/>
        <v>2.536889311992125E-12</v>
      </c>
      <c r="BG72" s="4">
        <f t="shared" ca="1" si="16"/>
        <v>2.5876270982319676E-12</v>
      </c>
      <c r="BH72" s="4">
        <f t="shared" ca="1" si="16"/>
        <v>2.639379640196607E-12</v>
      </c>
      <c r="BI72" s="4">
        <f t="shared" ca="1" si="16"/>
        <v>2.6921672330005392E-12</v>
      </c>
      <c r="BJ72" s="4">
        <f t="shared" ca="1" si="16"/>
        <v>2.74601057766055E-12</v>
      </c>
      <c r="BK72" s="4">
        <f t="shared" ca="1" si="16"/>
        <v>2.800930789213761E-12</v>
      </c>
      <c r="BL72" s="4">
        <f t="shared" ca="1" si="16"/>
        <v>2.8569494049980364E-12</v>
      </c>
    </row>
    <row r="73" spans="1:64" x14ac:dyDescent="0.35">
      <c r="A73" s="1"/>
      <c r="C73" s="2" t="s">
        <v>74</v>
      </c>
      <c r="E73" s="4">
        <f ca="1">E65-E75-E66</f>
        <v>36.583011564489006</v>
      </c>
      <c r="F73" s="4">
        <f t="shared" ref="F73:BL73" ca="1" si="17">F65-F75-F66</f>
        <v>39.471332027068563</v>
      </c>
      <c r="G73" s="4">
        <f t="shared" ca="1" si="17"/>
        <v>42.461466678814624</v>
      </c>
      <c r="H73" s="4">
        <f t="shared" ca="1" si="17"/>
        <v>45.556404967120365</v>
      </c>
      <c r="I73" s="4">
        <f t="shared" ca="1" si="17"/>
        <v>48.759217736953779</v>
      </c>
      <c r="J73" s="4">
        <f t="shared" ca="1" si="17"/>
        <v>52.07305936571786</v>
      </c>
      <c r="K73" s="4">
        <f t="shared" ca="1" si="17"/>
        <v>55.501169952981158</v>
      </c>
      <c r="L73" s="4">
        <f t="shared" ca="1" si="17"/>
        <v>59.046877566472823</v>
      </c>
      <c r="M73" s="4">
        <f t="shared" ca="1" si="17"/>
        <v>54.162231895420831</v>
      </c>
      <c r="N73" s="4">
        <f t="shared" ca="1" si="17"/>
        <v>57.960616264787625</v>
      </c>
      <c r="O73" s="4">
        <f t="shared" ca="1" si="17"/>
        <v>60.728012415807505</v>
      </c>
      <c r="P73" s="4">
        <f t="shared" ca="1" si="17"/>
        <v>63.570134279966034</v>
      </c>
      <c r="Q73" s="4">
        <f t="shared" ca="1" si="17"/>
        <v>66.488684001450565</v>
      </c>
      <c r="R73" s="4">
        <f t="shared" ca="1" si="17"/>
        <v>69.48539942863485</v>
      </c>
      <c r="S73" s="4">
        <f t="shared" ca="1" si="17"/>
        <v>72.562054827652247</v>
      </c>
      <c r="T73" s="4">
        <f t="shared" ca="1" si="17"/>
        <v>75.720461609787691</v>
      </c>
      <c r="U73" s="4">
        <f t="shared" ca="1" si="17"/>
        <v>78.962469072950299</v>
      </c>
      <c r="V73" s="4">
        <f t="shared" ca="1" si="17"/>
        <v>82.289965157493072</v>
      </c>
      <c r="W73" s="4">
        <f t="shared" ca="1" si="17"/>
        <v>78.858333638685792</v>
      </c>
      <c r="X73" s="4">
        <f t="shared" ca="1" si="17"/>
        <v>82.439960545395721</v>
      </c>
      <c r="Y73" s="4">
        <f t="shared" ca="1" si="17"/>
        <v>86.123286893748855</v>
      </c>
      <c r="Z73" s="4">
        <f t="shared" ca="1" si="17"/>
        <v>89.910797676130784</v>
      </c>
      <c r="AA73" s="4">
        <f t="shared" ca="1" si="17"/>
        <v>93.805034349827935</v>
      </c>
      <c r="AB73" s="4">
        <f t="shared" ca="1" si="17"/>
        <v>97.808596067801631</v>
      </c>
      <c r="AC73" s="4">
        <f t="shared" ca="1" si="17"/>
        <v>101.92414093559947</v>
      </c>
      <c r="AD73" s="4">
        <f t="shared" ca="1" si="17"/>
        <v>106.15438729494988</v>
      </c>
      <c r="AE73" s="4">
        <f t="shared" ca="1" si="17"/>
        <v>110.5021150345969</v>
      </c>
      <c r="AF73" s="4">
        <f t="shared" ca="1" si="17"/>
        <v>114.97016692894303</v>
      </c>
      <c r="AG73" s="4">
        <f t="shared" ca="1" si="17"/>
        <v>119.56145000508094</v>
      </c>
      <c r="AH73" s="4">
        <f t="shared" ca="1" si="17"/>
        <v>124.27893693880496</v>
      </c>
      <c r="AI73" s="4">
        <f t="shared" ca="1" si="17"/>
        <v>129.12566748020785</v>
      </c>
      <c r="AJ73" s="4">
        <f t="shared" ca="1" si="17"/>
        <v>134.10474990947816</v>
      </c>
      <c r="AK73" s="4">
        <f t="shared" ca="1" si="17"/>
        <v>139.21936252352887</v>
      </c>
      <c r="AL73" s="4">
        <f t="shared" ca="1" si="17"/>
        <v>144.47275515409854</v>
      </c>
      <c r="AM73" s="4">
        <f t="shared" ca="1" si="17"/>
        <v>149.86825071798106</v>
      </c>
      <c r="AN73" s="4">
        <f t="shared" ca="1" si="17"/>
        <v>155.40924680005324</v>
      </c>
      <c r="AO73" s="4">
        <f t="shared" ca="1" si="17"/>
        <v>161.09921726978257</v>
      </c>
      <c r="AP73" s="4">
        <f t="shared" ca="1" si="17"/>
        <v>166.94171393191243</v>
      </c>
      <c r="AQ73" s="4">
        <f t="shared" ca="1" si="17"/>
        <v>172.94036821203585</v>
      </c>
      <c r="AR73" s="4">
        <f t="shared" ca="1" si="17"/>
        <v>179.09889287778401</v>
      </c>
      <c r="AS73" s="4">
        <f t="shared" ca="1" si="17"/>
        <v>-3.9221959013957534E-14</v>
      </c>
      <c r="AT73" s="4">
        <f t="shared" ca="1" si="17"/>
        <v>-4.000639819423668E-14</v>
      </c>
      <c r="AU73" s="4">
        <f t="shared" ca="1" si="17"/>
        <v>-4.0806526158121412E-14</v>
      </c>
      <c r="AV73" s="4">
        <f t="shared" ca="1" si="17"/>
        <v>-4.1622656681283841E-14</v>
      </c>
      <c r="AW73" s="4">
        <f t="shared" ca="1" si="17"/>
        <v>-4.2455109814909515E-14</v>
      </c>
      <c r="AX73" s="4">
        <f t="shared" ca="1" si="17"/>
        <v>-4.3304212011207702E-14</v>
      </c>
      <c r="AY73" s="4">
        <f t="shared" ca="1" si="17"/>
        <v>-4.4170296251431856E-14</v>
      </c>
      <c r="AZ73" s="4">
        <f t="shared" ca="1" si="17"/>
        <v>-4.5053702176460495E-14</v>
      </c>
      <c r="BA73" s="4">
        <f t="shared" ca="1" si="17"/>
        <v>-4.5954776219989711E-14</v>
      </c>
      <c r="BB73" s="4">
        <f t="shared" ca="1" si="17"/>
        <v>-4.6873871744389506E-14</v>
      </c>
      <c r="BC73" s="4">
        <f t="shared" ca="1" si="17"/>
        <v>-4.7811349179277296E-14</v>
      </c>
      <c r="BD73" s="4">
        <f t="shared" ca="1" si="17"/>
        <v>-4.8767576162862843E-14</v>
      </c>
      <c r="BE73" s="4">
        <f t="shared" ca="1" si="17"/>
        <v>-4.9742927686120098E-14</v>
      </c>
      <c r="BF73" s="4">
        <f t="shared" ca="1" si="17"/>
        <v>-5.07377862398425E-14</v>
      </c>
      <c r="BG73" s="4">
        <f t="shared" ca="1" si="17"/>
        <v>-5.1752541964639351E-14</v>
      </c>
      <c r="BH73" s="4">
        <f t="shared" ca="1" si="17"/>
        <v>-5.2787592803932143E-14</v>
      </c>
      <c r="BI73" s="4">
        <f t="shared" ca="1" si="17"/>
        <v>-5.3843344660010787E-14</v>
      </c>
      <c r="BJ73" s="4">
        <f t="shared" ca="1" si="17"/>
        <v>-5.4920211553211001E-14</v>
      </c>
      <c r="BK73" s="4">
        <f t="shared" ca="1" si="17"/>
        <v>-5.601861578427522E-14</v>
      </c>
      <c r="BL73" s="4">
        <f t="shared" ca="1" si="17"/>
        <v>-5.7138988099960733E-14</v>
      </c>
    </row>
    <row r="74" spans="1:64" x14ac:dyDescent="0.35">
      <c r="A74" s="1"/>
      <c r="C74" s="2" t="s">
        <v>92</v>
      </c>
      <c r="D74" s="4">
        <f>D70</f>
        <v>3799.9999999999995</v>
      </c>
      <c r="E74" s="4">
        <f t="shared" ref="E74:BL74" ca="1" si="18">E72-E73</f>
        <v>3763.4169884355106</v>
      </c>
      <c r="F74" s="4">
        <f t="shared" ca="1" si="18"/>
        <v>3723.9456564084421</v>
      </c>
      <c r="G74" s="4">
        <f t="shared" ca="1" si="18"/>
        <v>3681.4841897296274</v>
      </c>
      <c r="H74" s="4">
        <f t="shared" ca="1" si="18"/>
        <v>3635.9277847625071</v>
      </c>
      <c r="I74" s="4">
        <f t="shared" ca="1" si="18"/>
        <v>3587.1685670255533</v>
      </c>
      <c r="J74" s="4">
        <f t="shared" ca="1" si="18"/>
        <v>3535.0955076598357</v>
      </c>
      <c r="K74" s="4">
        <f t="shared" ca="1" si="18"/>
        <v>3479.5943377068547</v>
      </c>
      <c r="L74" s="4">
        <f t="shared" ca="1" si="18"/>
        <v>3420.5474601403821</v>
      </c>
      <c r="M74" s="4">
        <f t="shared" ca="1" si="18"/>
        <v>3366.3852282449611</v>
      </c>
      <c r="N74" s="4">
        <f t="shared" ca="1" si="18"/>
        <v>3308.4246119801737</v>
      </c>
      <c r="O74" s="4">
        <f t="shared" ca="1" si="18"/>
        <v>3247.6965995643664</v>
      </c>
      <c r="P74" s="4">
        <f t="shared" ca="1" si="18"/>
        <v>3184.1264652844002</v>
      </c>
      <c r="Q74" s="4">
        <f t="shared" ca="1" si="18"/>
        <v>3117.6377812829496</v>
      </c>
      <c r="R74" s="4">
        <f t="shared" ca="1" si="18"/>
        <v>3048.1523818543146</v>
      </c>
      <c r="S74" s="4">
        <f t="shared" ca="1" si="18"/>
        <v>2975.5903270266622</v>
      </c>
      <c r="T74" s="4">
        <f t="shared" ca="1" si="18"/>
        <v>2899.8698654168743</v>
      </c>
      <c r="U74" s="4">
        <f t="shared" ca="1" si="18"/>
        <v>2820.9073963439241</v>
      </c>
      <c r="V74" s="4">
        <f t="shared" ca="1" si="18"/>
        <v>2738.6174311864311</v>
      </c>
      <c r="W74" s="4">
        <f t="shared" ca="1" si="18"/>
        <v>2659.7590975477451</v>
      </c>
      <c r="X74" s="4">
        <f t="shared" ca="1" si="18"/>
        <v>2577.3191370023492</v>
      </c>
      <c r="Y74" s="4">
        <f t="shared" ca="1" si="18"/>
        <v>2491.1958501086001</v>
      </c>
      <c r="Z74" s="4">
        <f t="shared" ca="1" si="18"/>
        <v>2401.2850524324695</v>
      </c>
      <c r="AA74" s="4">
        <f t="shared" ca="1" si="18"/>
        <v>2307.4800180826414</v>
      </c>
      <c r="AB74" s="4">
        <f t="shared" ca="1" si="18"/>
        <v>2209.6714220148397</v>
      </c>
      <c r="AC74" s="4">
        <f t="shared" ca="1" si="18"/>
        <v>2107.7472810792401</v>
      </c>
      <c r="AD74" s="4">
        <f t="shared" ca="1" si="18"/>
        <v>2001.5928937842903</v>
      </c>
      <c r="AE74" s="4">
        <f t="shared" ca="1" si="18"/>
        <v>1891.0907787496933</v>
      </c>
      <c r="AF74" s="4">
        <f t="shared" ca="1" si="18"/>
        <v>1776.1206118207504</v>
      </c>
      <c r="AG74" s="4">
        <f t="shared" ca="1" si="18"/>
        <v>1656.5591618156693</v>
      </c>
      <c r="AH74" s="4">
        <f t="shared" ca="1" si="18"/>
        <v>1532.2802248768644</v>
      </c>
      <c r="AI74" s="4">
        <f t="shared" ca="1" si="18"/>
        <v>1403.1545573966566</v>
      </c>
      <c r="AJ74" s="4">
        <f t="shared" ca="1" si="18"/>
        <v>1269.0498074871784</v>
      </c>
      <c r="AK74" s="4">
        <f t="shared" ca="1" si="18"/>
        <v>1129.8304449636496</v>
      </c>
      <c r="AL74" s="4">
        <f t="shared" ca="1" si="18"/>
        <v>985.35768980955106</v>
      </c>
      <c r="AM74" s="4">
        <f t="shared" ca="1" si="18"/>
        <v>835.48943909157003</v>
      </c>
      <c r="AN74" s="4">
        <f t="shared" ca="1" si="18"/>
        <v>680.08019229151682</v>
      </c>
      <c r="AO74" s="4">
        <f t="shared" ca="1" si="18"/>
        <v>518.98097502173425</v>
      </c>
      <c r="AP74" s="4">
        <f t="shared" ca="1" si="18"/>
        <v>352.03926108982182</v>
      </c>
      <c r="AQ74" s="4">
        <f t="shared" ca="1" si="18"/>
        <v>179.09889287778597</v>
      </c>
      <c r="AR74" s="4">
        <f t="shared" ca="1" si="18"/>
        <v>1.9610979506978765E-12</v>
      </c>
      <c r="AS74" s="4">
        <f t="shared" ca="1" si="18"/>
        <v>2.0003199097118339E-12</v>
      </c>
      <c r="AT74" s="4">
        <f t="shared" ca="1" si="18"/>
        <v>2.0403263079060707E-12</v>
      </c>
      <c r="AU74" s="4">
        <f t="shared" ca="1" si="18"/>
        <v>2.0811328340641919E-12</v>
      </c>
      <c r="AV74" s="4">
        <f t="shared" ca="1" si="18"/>
        <v>2.1227554907454758E-12</v>
      </c>
      <c r="AW74" s="4">
        <f t="shared" ca="1" si="18"/>
        <v>2.1652106005603851E-12</v>
      </c>
      <c r="AX74" s="4">
        <f t="shared" ca="1" si="18"/>
        <v>2.2085148125715929E-12</v>
      </c>
      <c r="AY74" s="4">
        <f t="shared" ca="1" si="18"/>
        <v>2.2526851088230248E-12</v>
      </c>
      <c r="AZ74" s="4">
        <f t="shared" ca="1" si="18"/>
        <v>2.2977388109994855E-12</v>
      </c>
      <c r="BA74" s="4">
        <f t="shared" ca="1" si="18"/>
        <v>2.3436935872194752E-12</v>
      </c>
      <c r="BB74" s="4">
        <f t="shared" ca="1" si="18"/>
        <v>2.3905674589638648E-12</v>
      </c>
      <c r="BC74" s="4">
        <f t="shared" ca="1" si="18"/>
        <v>2.438378808143142E-12</v>
      </c>
      <c r="BD74" s="4">
        <f t="shared" ca="1" si="18"/>
        <v>2.4871463843060047E-12</v>
      </c>
      <c r="BE74" s="4">
        <f t="shared" ca="1" si="18"/>
        <v>2.536889311992125E-12</v>
      </c>
      <c r="BF74" s="4">
        <f t="shared" ca="1" si="18"/>
        <v>2.5876270982319676E-12</v>
      </c>
      <c r="BG74" s="4">
        <f t="shared" ca="1" si="18"/>
        <v>2.639379640196607E-12</v>
      </c>
      <c r="BH74" s="4">
        <f t="shared" ca="1" si="18"/>
        <v>2.6921672330005392E-12</v>
      </c>
      <c r="BI74" s="4">
        <f t="shared" ca="1" si="18"/>
        <v>2.74601057766055E-12</v>
      </c>
      <c r="BJ74" s="4">
        <f t="shared" ca="1" si="18"/>
        <v>2.800930789213761E-12</v>
      </c>
      <c r="BK74" s="4">
        <f t="shared" ca="1" si="18"/>
        <v>2.8569494049980364E-12</v>
      </c>
      <c r="BL74" s="4">
        <f t="shared" ca="1" si="18"/>
        <v>2.9140883930979973E-12</v>
      </c>
    </row>
    <row r="75" spans="1:64" x14ac:dyDescent="0.35">
      <c r="A75" s="1"/>
      <c r="C75" s="2" t="s">
        <v>310</v>
      </c>
      <c r="E75" s="4">
        <f t="shared" ref="E75:BL75" si="19">E72*E53</f>
        <v>56.999999999999993</v>
      </c>
      <c r="F75" s="4">
        <f t="shared" ca="1" si="19"/>
        <v>56.451254826532654</v>
      </c>
      <c r="G75" s="4">
        <f t="shared" ca="1" si="19"/>
        <v>55.859184846126631</v>
      </c>
      <c r="H75" s="4">
        <f t="shared" ca="1" si="19"/>
        <v>55.222262845944407</v>
      </c>
      <c r="I75" s="4">
        <f t="shared" ca="1" si="19"/>
        <v>54.538916771437606</v>
      </c>
      <c r="J75" s="4">
        <f t="shared" ca="1" si="19"/>
        <v>53.807528505383296</v>
      </c>
      <c r="K75" s="4">
        <f t="shared" ca="1" si="19"/>
        <v>53.02643261489753</v>
      </c>
      <c r="L75" s="4">
        <f t="shared" ca="1" si="19"/>
        <v>52.193915065602816</v>
      </c>
      <c r="M75" s="4">
        <f t="shared" ca="1" si="19"/>
        <v>59.859580552456691</v>
      </c>
      <c r="N75" s="4">
        <f t="shared" ca="1" si="19"/>
        <v>58.911741494286822</v>
      </c>
      <c r="O75" s="4">
        <f t="shared" ca="1" si="19"/>
        <v>57.897430709653044</v>
      </c>
      <c r="P75" s="4">
        <f t="shared" ca="1" si="19"/>
        <v>56.834690492376417</v>
      </c>
      <c r="Q75" s="4">
        <f t="shared" ca="1" si="19"/>
        <v>55.72221314247701</v>
      </c>
      <c r="R75" s="4">
        <f t="shared" ca="1" si="19"/>
        <v>54.558661172451622</v>
      </c>
      <c r="S75" s="4">
        <f t="shared" ca="1" si="19"/>
        <v>53.342666682450513</v>
      </c>
      <c r="T75" s="4">
        <f t="shared" ca="1" si="19"/>
        <v>52.072830722966593</v>
      </c>
      <c r="U75" s="4">
        <f t="shared" ca="1" si="19"/>
        <v>50.747722644795303</v>
      </c>
      <c r="V75" s="4">
        <f t="shared" ca="1" si="19"/>
        <v>49.36587943601868</v>
      </c>
      <c r="W75" s="4">
        <f t="shared" ca="1" si="19"/>
        <v>54.772348623728625</v>
      </c>
      <c r="X75" s="4">
        <f t="shared" ca="1" si="19"/>
        <v>53.195181950954904</v>
      </c>
      <c r="Y75" s="4">
        <f t="shared" ca="1" si="19"/>
        <v>51.546382740046987</v>
      </c>
      <c r="Z75" s="4">
        <f t="shared" ca="1" si="19"/>
        <v>49.823917002172003</v>
      </c>
      <c r="AA75" s="4">
        <f t="shared" ca="1" si="19"/>
        <v>48.025701048649388</v>
      </c>
      <c r="AB75" s="4">
        <f t="shared" ca="1" si="19"/>
        <v>46.14960036165283</v>
      </c>
      <c r="AC75" s="4">
        <f t="shared" ca="1" si="19"/>
        <v>44.193428440296792</v>
      </c>
      <c r="AD75" s="4">
        <f t="shared" ca="1" si="19"/>
        <v>42.154945621584801</v>
      </c>
      <c r="AE75" s="4">
        <f t="shared" ca="1" si="19"/>
        <v>40.031857875685809</v>
      </c>
      <c r="AF75" s="4">
        <f t="shared" ca="1" si="19"/>
        <v>37.82181557499387</v>
      </c>
      <c r="AG75" s="4">
        <f t="shared" ca="1" si="19"/>
        <v>35.522412236415008</v>
      </c>
      <c r="AH75" s="4">
        <f t="shared" ca="1" si="19"/>
        <v>33.13118323631339</v>
      </c>
      <c r="AI75" s="4">
        <f t="shared" ca="1" si="19"/>
        <v>30.645604497537288</v>
      </c>
      <c r="AJ75" s="4">
        <f t="shared" ca="1" si="19"/>
        <v>28.063091147933132</v>
      </c>
      <c r="AK75" s="4">
        <f t="shared" ca="1" si="19"/>
        <v>25.38099614974357</v>
      </c>
      <c r="AL75" s="4">
        <f t="shared" ca="1" si="19"/>
        <v>22.596608899272994</v>
      </c>
      <c r="AM75" s="4">
        <f t="shared" ca="1" si="19"/>
        <v>19.707153796191022</v>
      </c>
      <c r="AN75" s="4">
        <f t="shared" ca="1" si="19"/>
        <v>16.709788781831399</v>
      </c>
      <c r="AO75" s="4">
        <f t="shared" ca="1" si="19"/>
        <v>13.601603845830336</v>
      </c>
      <c r="AP75" s="4">
        <f t="shared" ca="1" si="19"/>
        <v>10.379619500434686</v>
      </c>
      <c r="AQ75" s="4">
        <f t="shared" ca="1" si="19"/>
        <v>7.0407852217964368</v>
      </c>
      <c r="AR75" s="4">
        <f t="shared" ca="1" si="19"/>
        <v>3.5819778575557195</v>
      </c>
      <c r="AS75" s="4">
        <f t="shared" ca="1" si="19"/>
        <v>3.9221959013957534E-14</v>
      </c>
      <c r="AT75" s="4">
        <f t="shared" ca="1" si="19"/>
        <v>4.000639819423668E-14</v>
      </c>
      <c r="AU75" s="4">
        <f t="shared" ca="1" si="19"/>
        <v>4.0806526158121412E-14</v>
      </c>
      <c r="AV75" s="4">
        <f t="shared" ca="1" si="19"/>
        <v>4.1622656681283841E-14</v>
      </c>
      <c r="AW75" s="4">
        <f t="shared" ca="1" si="19"/>
        <v>4.2455109814909515E-14</v>
      </c>
      <c r="AX75" s="4">
        <f t="shared" ca="1" si="19"/>
        <v>4.3304212011207702E-14</v>
      </c>
      <c r="AY75" s="4">
        <f t="shared" ca="1" si="19"/>
        <v>4.4170296251431856E-14</v>
      </c>
      <c r="AZ75" s="4">
        <f t="shared" ca="1" si="19"/>
        <v>4.5053702176460495E-14</v>
      </c>
      <c r="BA75" s="4">
        <f t="shared" ca="1" si="19"/>
        <v>4.5954776219989711E-14</v>
      </c>
      <c r="BB75" s="4">
        <f t="shared" ca="1" si="19"/>
        <v>4.6873871744389506E-14</v>
      </c>
      <c r="BC75" s="4">
        <f t="shared" ca="1" si="19"/>
        <v>4.7811349179277296E-14</v>
      </c>
      <c r="BD75" s="4">
        <f t="shared" ca="1" si="19"/>
        <v>4.8767576162862843E-14</v>
      </c>
      <c r="BE75" s="4">
        <f t="shared" ca="1" si="19"/>
        <v>4.9742927686120098E-14</v>
      </c>
      <c r="BF75" s="4">
        <f t="shared" ca="1" si="19"/>
        <v>5.07377862398425E-14</v>
      </c>
      <c r="BG75" s="4">
        <f t="shared" ca="1" si="19"/>
        <v>5.1752541964639351E-14</v>
      </c>
      <c r="BH75" s="4">
        <f t="shared" ca="1" si="19"/>
        <v>5.2787592803932143E-14</v>
      </c>
      <c r="BI75" s="4">
        <f t="shared" ca="1" si="19"/>
        <v>5.3843344660010787E-14</v>
      </c>
      <c r="BJ75" s="4">
        <f t="shared" ca="1" si="19"/>
        <v>5.4920211553211001E-14</v>
      </c>
      <c r="BK75" s="4">
        <f t="shared" ca="1" si="19"/>
        <v>5.601861578427522E-14</v>
      </c>
      <c r="BL75" s="4">
        <f t="shared" ca="1" si="19"/>
        <v>5.7138988099960733E-14</v>
      </c>
    </row>
    <row r="76" spans="1:64" x14ac:dyDescent="0.35">
      <c r="A76" s="1"/>
      <c r="E76" s="26"/>
      <c r="F76" s="26"/>
      <c r="G76" s="26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</row>
    <row r="77" spans="1:64" x14ac:dyDescent="0.35">
      <c r="A77" s="1"/>
      <c r="B77" s="1"/>
      <c r="C77" s="2" t="s">
        <v>116</v>
      </c>
      <c r="D77" s="45">
        <f t="shared" ref="D77:AI77" ca="1" si="20">IF($D$16&gt;0,SUM(OFFSET(D65,0,1,1,$D$16)))*1</f>
        <v>189.50559841809022</v>
      </c>
      <c r="E77" s="4">
        <f t="shared" ca="1" si="20"/>
        <v>194.24323837854246</v>
      </c>
      <c r="F77" s="4">
        <f t="shared" ca="1" si="20"/>
        <v>199.09931933800601</v>
      </c>
      <c r="G77" s="4">
        <f t="shared" ca="1" si="20"/>
        <v>204.07680232145617</v>
      </c>
      <c r="H77" s="4">
        <f t="shared" ca="1" si="20"/>
        <v>209.17872237949254</v>
      </c>
      <c r="I77" s="4">
        <f t="shared" ca="1" si="20"/>
        <v>214.40819043897983</v>
      </c>
      <c r="J77" s="4">
        <f t="shared" ca="1" si="20"/>
        <v>219.76839519995434</v>
      </c>
      <c r="K77" s="4">
        <f t="shared" ca="1" si="20"/>
        <v>225.26260507995318</v>
      </c>
      <c r="L77" s="4">
        <f t="shared" ca="1" si="20"/>
        <v>230.89417020695197</v>
      </c>
      <c r="M77" s="4">
        <f t="shared" ca="1" si="20"/>
        <v>235.497800884535</v>
      </c>
      <c r="N77" s="4">
        <f t="shared" ca="1" si="20"/>
        <v>239.03026789780301</v>
      </c>
      <c r="O77" s="4">
        <f t="shared" ca="1" si="20"/>
        <v>242.61572191627005</v>
      </c>
      <c r="P77" s="4">
        <f t="shared" ca="1" si="20"/>
        <v>246.25495774501405</v>
      </c>
      <c r="Q77" s="4">
        <f t="shared" ca="1" si="20"/>
        <v>249.94878211118925</v>
      </c>
      <c r="R77" s="4">
        <f t="shared" ca="1" si="20"/>
        <v>253.69801384285705</v>
      </c>
      <c r="S77" s="4">
        <f t="shared" ca="1" si="20"/>
        <v>257.50348405049988</v>
      </c>
      <c r="T77" s="4">
        <f t="shared" ca="1" si="20"/>
        <v>261.36603631125735</v>
      </c>
      <c r="U77" s="4">
        <f t="shared" ca="1" si="20"/>
        <v>265.28652685592613</v>
      </c>
      <c r="V77" s="4">
        <f t="shared" ca="1" si="20"/>
        <v>269.26582475876501</v>
      </c>
      <c r="W77" s="4">
        <f t="shared" ca="1" si="20"/>
        <v>273.3048121301465</v>
      </c>
      <c r="X77" s="4">
        <f t="shared" ca="1" si="20"/>
        <v>277.40438431209861</v>
      </c>
      <c r="Y77" s="4">
        <f t="shared" ca="1" si="20"/>
        <v>281.56545007678011</v>
      </c>
      <c r="Z77" s="4">
        <f t="shared" ca="1" si="20"/>
        <v>285.78893182793178</v>
      </c>
      <c r="AA77" s="4">
        <f t="shared" ca="1" si="20"/>
        <v>290.07576580535073</v>
      </c>
      <c r="AB77" s="4">
        <f t="shared" ca="1" si="20"/>
        <v>294.42690229243095</v>
      </c>
      <c r="AC77" s="4">
        <f t="shared" ca="1" si="20"/>
        <v>298.84330582681741</v>
      </c>
      <c r="AD77" s="4">
        <f t="shared" ca="1" si="20"/>
        <v>303.32595541421961</v>
      </c>
      <c r="AE77" s="4">
        <f t="shared" ca="1" si="20"/>
        <v>307.87584474543286</v>
      </c>
      <c r="AF77" s="4">
        <f t="shared" ca="1" si="20"/>
        <v>312.4939824166143</v>
      </c>
      <c r="AG77" s="4">
        <f t="shared" ca="1" si="20"/>
        <v>317.18139215286351</v>
      </c>
      <c r="AH77" s="4">
        <f t="shared" ca="1" si="20"/>
        <v>321.93911303515642</v>
      </c>
      <c r="AI77" s="4">
        <f t="shared" ca="1" si="20"/>
        <v>326.7681997306837</v>
      </c>
      <c r="AJ77" s="4">
        <f t="shared" ref="AJ77:BL77" ca="1" si="21">IF($D$16&gt;0,SUM(OFFSET(AJ65,0,1,1,$D$16)))*1</f>
        <v>331.66972272664395</v>
      </c>
      <c r="AK77" s="4">
        <f t="shared" ca="1" si="21"/>
        <v>336.64476856754357</v>
      </c>
      <c r="AL77" s="4">
        <f t="shared" ca="1" si="21"/>
        <v>341.69444009605672</v>
      </c>
      <c r="AM77" s="4">
        <f t="shared" ca="1" si="21"/>
        <v>346.81985669749758</v>
      </c>
      <c r="AN77" s="4">
        <f t="shared" ca="1" si="21"/>
        <v>352.02215454795999</v>
      </c>
      <c r="AO77" s="4">
        <f t="shared" ca="1" si="21"/>
        <v>357.30248686617938</v>
      </c>
      <c r="AP77" s="4">
        <f t="shared" ca="1" si="21"/>
        <v>362.66202416917201</v>
      </c>
      <c r="AQ77" s="4">
        <f t="shared" ca="1" si="21"/>
        <v>182.68087073533974</v>
      </c>
      <c r="AR77" s="4">
        <f t="shared" ca="1" si="21"/>
        <v>0</v>
      </c>
      <c r="AS77" s="4">
        <f t="shared" ca="1" si="21"/>
        <v>0</v>
      </c>
      <c r="AT77" s="4">
        <f t="shared" ca="1" si="21"/>
        <v>0</v>
      </c>
      <c r="AU77" s="4">
        <f t="shared" ca="1" si="21"/>
        <v>0</v>
      </c>
      <c r="AV77" s="4">
        <f t="shared" ca="1" si="21"/>
        <v>0</v>
      </c>
      <c r="AW77" s="4">
        <f t="shared" ca="1" si="21"/>
        <v>0</v>
      </c>
      <c r="AX77" s="4">
        <f t="shared" ca="1" si="21"/>
        <v>0</v>
      </c>
      <c r="AY77" s="4">
        <f t="shared" ca="1" si="21"/>
        <v>0</v>
      </c>
      <c r="AZ77" s="4">
        <f t="shared" ca="1" si="21"/>
        <v>0</v>
      </c>
      <c r="BA77" s="4">
        <f t="shared" ca="1" si="21"/>
        <v>0</v>
      </c>
      <c r="BB77" s="4">
        <f t="shared" ca="1" si="21"/>
        <v>0</v>
      </c>
      <c r="BC77" s="4">
        <f t="shared" ca="1" si="21"/>
        <v>0</v>
      </c>
      <c r="BD77" s="4">
        <f t="shared" ca="1" si="21"/>
        <v>0</v>
      </c>
      <c r="BE77" s="4">
        <f t="shared" ca="1" si="21"/>
        <v>0</v>
      </c>
      <c r="BF77" s="4">
        <f t="shared" ca="1" si="21"/>
        <v>0</v>
      </c>
      <c r="BG77" s="4">
        <f t="shared" ca="1" si="21"/>
        <v>0</v>
      </c>
      <c r="BH77" s="4">
        <f t="shared" ca="1" si="21"/>
        <v>0</v>
      </c>
      <c r="BI77" s="4">
        <f t="shared" ca="1" si="21"/>
        <v>0</v>
      </c>
      <c r="BJ77" s="4">
        <f t="shared" ca="1" si="21"/>
        <v>0</v>
      </c>
      <c r="BK77" s="4">
        <f t="shared" ca="1" si="21"/>
        <v>0</v>
      </c>
      <c r="BL77" s="4">
        <f t="shared" ca="1" si="21"/>
        <v>0</v>
      </c>
    </row>
    <row r="78" spans="1:64" x14ac:dyDescent="0.35">
      <c r="A78" s="1"/>
    </row>
    <row r="79" spans="1:64" x14ac:dyDescent="0.35">
      <c r="A79" s="1"/>
      <c r="C79" s="2" t="s">
        <v>302</v>
      </c>
      <c r="D79" s="4">
        <f ca="1">SUMIF(41:41,FALSE,72:72)</f>
        <v>4.7649522120006019E-11</v>
      </c>
    </row>
    <row r="80" spans="1:64" x14ac:dyDescent="0.35">
      <c r="A80" s="1"/>
      <c r="C80" s="2" t="s">
        <v>303</v>
      </c>
      <c r="D80" s="4">
        <f ca="1">SUMIF(39:39,D10*2,74:74)</f>
        <v>1.9610979506978765E-12</v>
      </c>
    </row>
    <row r="81" spans="1:64" x14ac:dyDescent="0.35">
      <c r="A81" s="1"/>
    </row>
    <row r="82" spans="1:64" x14ac:dyDescent="0.35">
      <c r="A82" s="1"/>
      <c r="C82" s="2" t="s">
        <v>174</v>
      </c>
      <c r="D82" s="4">
        <f t="shared" ref="D82:BL82" ca="1" si="22">D77</f>
        <v>189.50559841809022</v>
      </c>
      <c r="E82" s="4">
        <f t="shared" ca="1" si="22"/>
        <v>194.24323837854246</v>
      </c>
      <c r="F82" s="4">
        <f t="shared" ca="1" si="22"/>
        <v>199.09931933800601</v>
      </c>
      <c r="G82" s="4">
        <f t="shared" ca="1" si="22"/>
        <v>204.07680232145617</v>
      </c>
      <c r="H82" s="4">
        <f t="shared" ca="1" si="22"/>
        <v>209.17872237949254</v>
      </c>
      <c r="I82" s="4">
        <f t="shared" ca="1" si="22"/>
        <v>214.40819043897983</v>
      </c>
      <c r="J82" s="4">
        <f t="shared" ca="1" si="22"/>
        <v>219.76839519995434</v>
      </c>
      <c r="K82" s="4">
        <f t="shared" ca="1" si="22"/>
        <v>225.26260507995318</v>
      </c>
      <c r="L82" s="4">
        <f t="shared" ca="1" si="22"/>
        <v>230.89417020695197</v>
      </c>
      <c r="M82" s="4">
        <f t="shared" ca="1" si="22"/>
        <v>235.497800884535</v>
      </c>
      <c r="N82" s="4">
        <f t="shared" ca="1" si="22"/>
        <v>239.03026789780301</v>
      </c>
      <c r="O82" s="4">
        <f t="shared" ca="1" si="22"/>
        <v>242.61572191627005</v>
      </c>
      <c r="P82" s="4">
        <f t="shared" ca="1" si="22"/>
        <v>246.25495774501405</v>
      </c>
      <c r="Q82" s="4">
        <f t="shared" ca="1" si="22"/>
        <v>249.94878211118925</v>
      </c>
      <c r="R82" s="4">
        <f t="shared" ca="1" si="22"/>
        <v>253.69801384285705</v>
      </c>
      <c r="S82" s="4">
        <f t="shared" ca="1" si="22"/>
        <v>257.50348405049988</v>
      </c>
      <c r="T82" s="4">
        <f t="shared" ca="1" si="22"/>
        <v>261.36603631125735</v>
      </c>
      <c r="U82" s="4">
        <f t="shared" ca="1" si="22"/>
        <v>265.28652685592613</v>
      </c>
      <c r="V82" s="4">
        <f t="shared" ca="1" si="22"/>
        <v>269.26582475876501</v>
      </c>
      <c r="W82" s="4">
        <f t="shared" ca="1" si="22"/>
        <v>273.3048121301465</v>
      </c>
      <c r="X82" s="4">
        <f t="shared" ca="1" si="22"/>
        <v>277.40438431209861</v>
      </c>
      <c r="Y82" s="4">
        <f t="shared" ca="1" si="22"/>
        <v>281.56545007678011</v>
      </c>
      <c r="Z82" s="4">
        <f t="shared" ca="1" si="22"/>
        <v>285.78893182793178</v>
      </c>
      <c r="AA82" s="4">
        <f t="shared" ca="1" si="22"/>
        <v>290.07576580535073</v>
      </c>
      <c r="AB82" s="4">
        <f t="shared" ca="1" si="22"/>
        <v>294.42690229243095</v>
      </c>
      <c r="AC82" s="4">
        <f t="shared" ca="1" si="22"/>
        <v>298.84330582681741</v>
      </c>
      <c r="AD82" s="4">
        <f t="shared" ca="1" si="22"/>
        <v>303.32595541421961</v>
      </c>
      <c r="AE82" s="4">
        <f t="shared" ca="1" si="22"/>
        <v>307.87584474543286</v>
      </c>
      <c r="AF82" s="4">
        <f t="shared" ca="1" si="22"/>
        <v>312.4939824166143</v>
      </c>
      <c r="AG82" s="4">
        <f t="shared" ca="1" si="22"/>
        <v>317.18139215286351</v>
      </c>
      <c r="AH82" s="4">
        <f t="shared" ca="1" si="22"/>
        <v>321.93911303515642</v>
      </c>
      <c r="AI82" s="4">
        <f t="shared" ca="1" si="22"/>
        <v>326.7681997306837</v>
      </c>
      <c r="AJ82" s="4">
        <f t="shared" ca="1" si="22"/>
        <v>331.66972272664395</v>
      </c>
      <c r="AK82" s="4">
        <f t="shared" ca="1" si="22"/>
        <v>336.64476856754357</v>
      </c>
      <c r="AL82" s="4">
        <f t="shared" ca="1" si="22"/>
        <v>341.69444009605672</v>
      </c>
      <c r="AM82" s="4">
        <f t="shared" ca="1" si="22"/>
        <v>346.81985669749758</v>
      </c>
      <c r="AN82" s="4">
        <f t="shared" ca="1" si="22"/>
        <v>352.02215454795999</v>
      </c>
      <c r="AO82" s="4">
        <f t="shared" ca="1" si="22"/>
        <v>357.30248686617938</v>
      </c>
      <c r="AP82" s="4">
        <f t="shared" ca="1" si="22"/>
        <v>362.66202416917201</v>
      </c>
      <c r="AQ82" s="4">
        <f t="shared" ca="1" si="22"/>
        <v>182.68087073533974</v>
      </c>
      <c r="AR82" s="4">
        <f t="shared" ca="1" si="22"/>
        <v>0</v>
      </c>
      <c r="AS82" s="4">
        <f t="shared" ca="1" si="22"/>
        <v>0</v>
      </c>
      <c r="AT82" s="4">
        <f t="shared" ca="1" si="22"/>
        <v>0</v>
      </c>
      <c r="AU82" s="4">
        <f t="shared" ca="1" si="22"/>
        <v>0</v>
      </c>
      <c r="AV82" s="4">
        <f t="shared" ca="1" si="22"/>
        <v>0</v>
      </c>
      <c r="AW82" s="4">
        <f t="shared" ca="1" si="22"/>
        <v>0</v>
      </c>
      <c r="AX82" s="4">
        <f t="shared" ca="1" si="22"/>
        <v>0</v>
      </c>
      <c r="AY82" s="4">
        <f t="shared" ca="1" si="22"/>
        <v>0</v>
      </c>
      <c r="AZ82" s="4">
        <f t="shared" ca="1" si="22"/>
        <v>0</v>
      </c>
      <c r="BA82" s="4">
        <f t="shared" ca="1" si="22"/>
        <v>0</v>
      </c>
      <c r="BB82" s="4">
        <f t="shared" ca="1" si="22"/>
        <v>0</v>
      </c>
      <c r="BC82" s="4">
        <f t="shared" ca="1" si="22"/>
        <v>0</v>
      </c>
      <c r="BD82" s="4">
        <f t="shared" ca="1" si="22"/>
        <v>0</v>
      </c>
      <c r="BE82" s="4">
        <f t="shared" ca="1" si="22"/>
        <v>0</v>
      </c>
      <c r="BF82" s="4">
        <f t="shared" ca="1" si="22"/>
        <v>0</v>
      </c>
      <c r="BG82" s="4">
        <f t="shared" ca="1" si="22"/>
        <v>0</v>
      </c>
      <c r="BH82" s="4">
        <f t="shared" ca="1" si="22"/>
        <v>0</v>
      </c>
      <c r="BI82" s="4">
        <f t="shared" ca="1" si="22"/>
        <v>0</v>
      </c>
      <c r="BJ82" s="4">
        <f t="shared" ca="1" si="22"/>
        <v>0</v>
      </c>
      <c r="BK82" s="4">
        <f t="shared" ca="1" si="22"/>
        <v>0</v>
      </c>
      <c r="BL82" s="4">
        <f t="shared" ca="1" si="22"/>
        <v>0</v>
      </c>
    </row>
    <row r="83" spans="1:64" x14ac:dyDescent="0.35">
      <c r="A83" s="1"/>
      <c r="C83" s="2" t="s">
        <v>171</v>
      </c>
      <c r="E83" s="4">
        <f ca="1">D82*$D$18*$D$12</f>
        <v>0</v>
      </c>
      <c r="F83" s="4">
        <f t="shared" ref="F83:BL83" ca="1" si="23">E82*$D$18*$D$12</f>
        <v>0</v>
      </c>
      <c r="G83" s="4">
        <f t="shared" ca="1" si="23"/>
        <v>0</v>
      </c>
      <c r="H83" s="4">
        <f t="shared" ca="1" si="23"/>
        <v>0</v>
      </c>
      <c r="I83" s="4">
        <f t="shared" ca="1" si="23"/>
        <v>0</v>
      </c>
      <c r="J83" s="4">
        <f t="shared" ca="1" si="23"/>
        <v>0</v>
      </c>
      <c r="K83" s="4">
        <f t="shared" ca="1" si="23"/>
        <v>0</v>
      </c>
      <c r="L83" s="4">
        <f t="shared" ca="1" si="23"/>
        <v>0</v>
      </c>
      <c r="M83" s="4">
        <f t="shared" ca="1" si="23"/>
        <v>0</v>
      </c>
      <c r="N83" s="4">
        <f t="shared" ca="1" si="23"/>
        <v>0</v>
      </c>
      <c r="O83" s="4">
        <f t="shared" ca="1" si="23"/>
        <v>0</v>
      </c>
      <c r="P83" s="4">
        <f t="shared" ca="1" si="23"/>
        <v>0</v>
      </c>
      <c r="Q83" s="4">
        <f t="shared" ca="1" si="23"/>
        <v>0</v>
      </c>
      <c r="R83" s="4">
        <f t="shared" ca="1" si="23"/>
        <v>0</v>
      </c>
      <c r="S83" s="4">
        <f t="shared" ca="1" si="23"/>
        <v>0</v>
      </c>
      <c r="T83" s="4">
        <f t="shared" ca="1" si="23"/>
        <v>0</v>
      </c>
      <c r="U83" s="4">
        <f t="shared" ca="1" si="23"/>
        <v>0</v>
      </c>
      <c r="V83" s="4">
        <f t="shared" ca="1" si="23"/>
        <v>0</v>
      </c>
      <c r="W83" s="4">
        <f t="shared" ca="1" si="23"/>
        <v>0</v>
      </c>
      <c r="X83" s="4">
        <f t="shared" ca="1" si="23"/>
        <v>0</v>
      </c>
      <c r="Y83" s="4">
        <f t="shared" ca="1" si="23"/>
        <v>0</v>
      </c>
      <c r="Z83" s="4">
        <f t="shared" ca="1" si="23"/>
        <v>0</v>
      </c>
      <c r="AA83" s="4">
        <f t="shared" ca="1" si="23"/>
        <v>0</v>
      </c>
      <c r="AB83" s="4">
        <f t="shared" ca="1" si="23"/>
        <v>0</v>
      </c>
      <c r="AC83" s="4">
        <f t="shared" ca="1" si="23"/>
        <v>0</v>
      </c>
      <c r="AD83" s="4">
        <f t="shared" ca="1" si="23"/>
        <v>0</v>
      </c>
      <c r="AE83" s="4">
        <f t="shared" ca="1" si="23"/>
        <v>0</v>
      </c>
      <c r="AF83" s="4">
        <f t="shared" ca="1" si="23"/>
        <v>0</v>
      </c>
      <c r="AG83" s="4">
        <f t="shared" ca="1" si="23"/>
        <v>0</v>
      </c>
      <c r="AH83" s="4">
        <f t="shared" ca="1" si="23"/>
        <v>0</v>
      </c>
      <c r="AI83" s="4">
        <f t="shared" ca="1" si="23"/>
        <v>0</v>
      </c>
      <c r="AJ83" s="4">
        <f t="shared" ca="1" si="23"/>
        <v>0</v>
      </c>
      <c r="AK83" s="4">
        <f t="shared" ca="1" si="23"/>
        <v>0</v>
      </c>
      <c r="AL83" s="4">
        <f t="shared" ca="1" si="23"/>
        <v>0</v>
      </c>
      <c r="AM83" s="4">
        <f t="shared" ca="1" si="23"/>
        <v>0</v>
      </c>
      <c r="AN83" s="4">
        <f t="shared" ca="1" si="23"/>
        <v>0</v>
      </c>
      <c r="AO83" s="4">
        <f t="shared" ca="1" si="23"/>
        <v>0</v>
      </c>
      <c r="AP83" s="4">
        <f t="shared" ca="1" si="23"/>
        <v>0</v>
      </c>
      <c r="AQ83" s="4">
        <f t="shared" ca="1" si="23"/>
        <v>0</v>
      </c>
      <c r="AR83" s="4">
        <f t="shared" ca="1" si="23"/>
        <v>0</v>
      </c>
      <c r="AS83" s="4">
        <f t="shared" ca="1" si="23"/>
        <v>0</v>
      </c>
      <c r="AT83" s="4">
        <f t="shared" ca="1" si="23"/>
        <v>0</v>
      </c>
      <c r="AU83" s="4">
        <f t="shared" ca="1" si="23"/>
        <v>0</v>
      </c>
      <c r="AV83" s="4">
        <f t="shared" ca="1" si="23"/>
        <v>0</v>
      </c>
      <c r="AW83" s="4">
        <f t="shared" ca="1" si="23"/>
        <v>0</v>
      </c>
      <c r="AX83" s="4">
        <f t="shared" ca="1" si="23"/>
        <v>0</v>
      </c>
      <c r="AY83" s="4">
        <f t="shared" ca="1" si="23"/>
        <v>0</v>
      </c>
      <c r="AZ83" s="4">
        <f t="shared" ca="1" si="23"/>
        <v>0</v>
      </c>
      <c r="BA83" s="4">
        <f t="shared" ca="1" si="23"/>
        <v>0</v>
      </c>
      <c r="BB83" s="4">
        <f t="shared" ca="1" si="23"/>
        <v>0</v>
      </c>
      <c r="BC83" s="4">
        <f t="shared" ca="1" si="23"/>
        <v>0</v>
      </c>
      <c r="BD83" s="4">
        <f t="shared" ca="1" si="23"/>
        <v>0</v>
      </c>
      <c r="BE83" s="4">
        <f t="shared" ca="1" si="23"/>
        <v>0</v>
      </c>
      <c r="BF83" s="4">
        <f t="shared" ca="1" si="23"/>
        <v>0</v>
      </c>
      <c r="BG83" s="4">
        <f t="shared" ca="1" si="23"/>
        <v>0</v>
      </c>
      <c r="BH83" s="4">
        <f t="shared" ca="1" si="23"/>
        <v>0</v>
      </c>
      <c r="BI83" s="4">
        <f t="shared" ca="1" si="23"/>
        <v>0</v>
      </c>
      <c r="BJ83" s="4">
        <f t="shared" ca="1" si="23"/>
        <v>0</v>
      </c>
      <c r="BK83" s="4">
        <f t="shared" ca="1" si="23"/>
        <v>0</v>
      </c>
      <c r="BL83" s="4">
        <f t="shared" ca="1" si="23"/>
        <v>0</v>
      </c>
    </row>
    <row r="84" spans="1:64" x14ac:dyDescent="0.35">
      <c r="A84" s="1"/>
    </row>
    <row r="85" spans="1:64" x14ac:dyDescent="0.35">
      <c r="A85" s="1"/>
      <c r="C85" s="2" t="s">
        <v>106</v>
      </c>
      <c r="E85" s="12">
        <f t="shared" ref="E85:BL85" si="24">$D$17/2</f>
        <v>5.0000000000000001E-3</v>
      </c>
      <c r="F85" s="12">
        <f t="shared" si="24"/>
        <v>5.0000000000000001E-3</v>
      </c>
      <c r="G85" s="12">
        <f t="shared" si="24"/>
        <v>5.0000000000000001E-3</v>
      </c>
      <c r="H85" s="12">
        <f t="shared" si="24"/>
        <v>5.0000000000000001E-3</v>
      </c>
      <c r="I85" s="12">
        <f t="shared" si="24"/>
        <v>5.0000000000000001E-3</v>
      </c>
      <c r="J85" s="12">
        <f t="shared" si="24"/>
        <v>5.0000000000000001E-3</v>
      </c>
      <c r="K85" s="12">
        <f t="shared" si="24"/>
        <v>5.0000000000000001E-3</v>
      </c>
      <c r="L85" s="12">
        <f t="shared" si="24"/>
        <v>5.0000000000000001E-3</v>
      </c>
      <c r="M85" s="12">
        <f t="shared" si="24"/>
        <v>5.0000000000000001E-3</v>
      </c>
      <c r="N85" s="12">
        <f t="shared" si="24"/>
        <v>5.0000000000000001E-3</v>
      </c>
      <c r="O85" s="12">
        <f t="shared" si="24"/>
        <v>5.0000000000000001E-3</v>
      </c>
      <c r="P85" s="12">
        <f t="shared" si="24"/>
        <v>5.0000000000000001E-3</v>
      </c>
      <c r="Q85" s="12">
        <f t="shared" si="24"/>
        <v>5.0000000000000001E-3</v>
      </c>
      <c r="R85" s="12">
        <f t="shared" si="24"/>
        <v>5.0000000000000001E-3</v>
      </c>
      <c r="S85" s="12">
        <f t="shared" si="24"/>
        <v>5.0000000000000001E-3</v>
      </c>
      <c r="T85" s="12">
        <f t="shared" si="24"/>
        <v>5.0000000000000001E-3</v>
      </c>
      <c r="U85" s="12">
        <f t="shared" si="24"/>
        <v>5.0000000000000001E-3</v>
      </c>
      <c r="V85" s="12">
        <f t="shared" si="24"/>
        <v>5.0000000000000001E-3</v>
      </c>
      <c r="W85" s="12">
        <f t="shared" si="24"/>
        <v>5.0000000000000001E-3</v>
      </c>
      <c r="X85" s="12">
        <f t="shared" si="24"/>
        <v>5.0000000000000001E-3</v>
      </c>
      <c r="Y85" s="12">
        <f t="shared" si="24"/>
        <v>5.0000000000000001E-3</v>
      </c>
      <c r="Z85" s="12">
        <f t="shared" si="24"/>
        <v>5.0000000000000001E-3</v>
      </c>
      <c r="AA85" s="12">
        <f t="shared" si="24"/>
        <v>5.0000000000000001E-3</v>
      </c>
      <c r="AB85" s="12">
        <f t="shared" si="24"/>
        <v>5.0000000000000001E-3</v>
      </c>
      <c r="AC85" s="12">
        <f t="shared" si="24"/>
        <v>5.0000000000000001E-3</v>
      </c>
      <c r="AD85" s="12">
        <f t="shared" si="24"/>
        <v>5.0000000000000001E-3</v>
      </c>
      <c r="AE85" s="12">
        <f t="shared" si="24"/>
        <v>5.0000000000000001E-3</v>
      </c>
      <c r="AF85" s="12">
        <f t="shared" si="24"/>
        <v>5.0000000000000001E-3</v>
      </c>
      <c r="AG85" s="12">
        <f t="shared" si="24"/>
        <v>5.0000000000000001E-3</v>
      </c>
      <c r="AH85" s="12">
        <f t="shared" si="24"/>
        <v>5.0000000000000001E-3</v>
      </c>
      <c r="AI85" s="12">
        <f t="shared" si="24"/>
        <v>5.0000000000000001E-3</v>
      </c>
      <c r="AJ85" s="12">
        <f t="shared" si="24"/>
        <v>5.0000000000000001E-3</v>
      </c>
      <c r="AK85" s="12">
        <f t="shared" si="24"/>
        <v>5.0000000000000001E-3</v>
      </c>
      <c r="AL85" s="12">
        <f t="shared" si="24"/>
        <v>5.0000000000000001E-3</v>
      </c>
      <c r="AM85" s="12">
        <f t="shared" si="24"/>
        <v>5.0000000000000001E-3</v>
      </c>
      <c r="AN85" s="12">
        <f t="shared" si="24"/>
        <v>5.0000000000000001E-3</v>
      </c>
      <c r="AO85" s="12">
        <f t="shared" si="24"/>
        <v>5.0000000000000001E-3</v>
      </c>
      <c r="AP85" s="12">
        <f t="shared" si="24"/>
        <v>5.0000000000000001E-3</v>
      </c>
      <c r="AQ85" s="12">
        <f t="shared" si="24"/>
        <v>5.0000000000000001E-3</v>
      </c>
      <c r="AR85" s="12">
        <f t="shared" si="24"/>
        <v>5.0000000000000001E-3</v>
      </c>
      <c r="AS85" s="12">
        <f t="shared" si="24"/>
        <v>5.0000000000000001E-3</v>
      </c>
      <c r="AT85" s="12">
        <f t="shared" si="24"/>
        <v>5.0000000000000001E-3</v>
      </c>
      <c r="AU85" s="12">
        <f t="shared" si="24"/>
        <v>5.0000000000000001E-3</v>
      </c>
      <c r="AV85" s="12">
        <f t="shared" si="24"/>
        <v>5.0000000000000001E-3</v>
      </c>
      <c r="AW85" s="12">
        <f t="shared" si="24"/>
        <v>5.0000000000000001E-3</v>
      </c>
      <c r="AX85" s="12">
        <f t="shared" si="24"/>
        <v>5.0000000000000001E-3</v>
      </c>
      <c r="AY85" s="12">
        <f t="shared" si="24"/>
        <v>5.0000000000000001E-3</v>
      </c>
      <c r="AZ85" s="12">
        <f t="shared" si="24"/>
        <v>5.0000000000000001E-3</v>
      </c>
      <c r="BA85" s="12">
        <f t="shared" si="24"/>
        <v>5.0000000000000001E-3</v>
      </c>
      <c r="BB85" s="12">
        <f t="shared" si="24"/>
        <v>5.0000000000000001E-3</v>
      </c>
      <c r="BC85" s="12">
        <f t="shared" si="24"/>
        <v>5.0000000000000001E-3</v>
      </c>
      <c r="BD85" s="12">
        <f t="shared" si="24"/>
        <v>5.0000000000000001E-3</v>
      </c>
      <c r="BE85" s="12">
        <f t="shared" si="24"/>
        <v>5.0000000000000001E-3</v>
      </c>
      <c r="BF85" s="12">
        <f t="shared" si="24"/>
        <v>5.0000000000000001E-3</v>
      </c>
      <c r="BG85" s="12">
        <f t="shared" si="24"/>
        <v>5.0000000000000001E-3</v>
      </c>
      <c r="BH85" s="12">
        <f t="shared" si="24"/>
        <v>5.0000000000000001E-3</v>
      </c>
      <c r="BI85" s="12">
        <f t="shared" si="24"/>
        <v>5.0000000000000001E-3</v>
      </c>
      <c r="BJ85" s="12">
        <f t="shared" si="24"/>
        <v>5.0000000000000001E-3</v>
      </c>
      <c r="BK85" s="12">
        <f t="shared" si="24"/>
        <v>5.0000000000000001E-3</v>
      </c>
      <c r="BL85" s="12">
        <f t="shared" si="24"/>
        <v>5.0000000000000001E-3</v>
      </c>
    </row>
    <row r="86" spans="1:64" x14ac:dyDescent="0.35">
      <c r="A86" s="1"/>
      <c r="C86" s="2" t="s">
        <v>107</v>
      </c>
      <c r="E86" s="4">
        <f ca="1">D77*E85*$D$13</f>
        <v>0.94752799209045113</v>
      </c>
      <c r="F86" s="4">
        <f t="shared" ref="F86:BL86" ca="1" si="25">E77*F85*$D$13</f>
        <v>0.97121619189271235</v>
      </c>
      <c r="G86" s="4">
        <f t="shared" ca="1" si="25"/>
        <v>0.9954965966900301</v>
      </c>
      <c r="H86" s="4">
        <f t="shared" ca="1" si="25"/>
        <v>1.0203840116072809</v>
      </c>
      <c r="I86" s="4">
        <f t="shared" ca="1" si="25"/>
        <v>1.0458936118974627</v>
      </c>
      <c r="J86" s="4">
        <f t="shared" ca="1" si="25"/>
        <v>1.0720409521948993</v>
      </c>
      <c r="K86" s="4">
        <f t="shared" ca="1" si="25"/>
        <v>1.0988419759997716</v>
      </c>
      <c r="L86" s="4">
        <f t="shared" ca="1" si="25"/>
        <v>1.126313025399766</v>
      </c>
      <c r="M86" s="4">
        <f t="shared" ca="1" si="25"/>
        <v>1.1544708510347599</v>
      </c>
      <c r="N86" s="4">
        <f t="shared" ca="1" si="25"/>
        <v>1.1774890044226749</v>
      </c>
      <c r="O86" s="4">
        <f t="shared" ca="1" si="25"/>
        <v>1.1951513394890152</v>
      </c>
      <c r="P86" s="4">
        <f t="shared" ca="1" si="25"/>
        <v>1.2130786095813502</v>
      </c>
      <c r="Q86" s="4">
        <f t="shared" ca="1" si="25"/>
        <v>1.2312747887250703</v>
      </c>
      <c r="R86" s="4">
        <f t="shared" ca="1" si="25"/>
        <v>1.2497439105559462</v>
      </c>
      <c r="S86" s="4">
        <f t="shared" ca="1" si="25"/>
        <v>1.2684900692142853</v>
      </c>
      <c r="T86" s="4">
        <f t="shared" ca="1" si="25"/>
        <v>1.2875174202524995</v>
      </c>
      <c r="U86" s="4">
        <f t="shared" ca="1" si="25"/>
        <v>1.3068301815562868</v>
      </c>
      <c r="V86" s="4">
        <f t="shared" ca="1" si="25"/>
        <v>1.3264326342796307</v>
      </c>
      <c r="W86" s="4">
        <f t="shared" ca="1" si="25"/>
        <v>1.3463291237938251</v>
      </c>
      <c r="X86" s="4">
        <f t="shared" ca="1" si="25"/>
        <v>1.3665240606507325</v>
      </c>
      <c r="Y86" s="4">
        <f t="shared" ca="1" si="25"/>
        <v>1.3870219215604931</v>
      </c>
      <c r="Z86" s="4">
        <f t="shared" ca="1" si="25"/>
        <v>1.4078272503839007</v>
      </c>
      <c r="AA86" s="4">
        <f t="shared" ca="1" si="25"/>
        <v>1.4289446591396588</v>
      </c>
      <c r="AB86" s="4">
        <f t="shared" ca="1" si="25"/>
        <v>1.4503788290267536</v>
      </c>
      <c r="AC86" s="4">
        <f t="shared" ca="1" si="25"/>
        <v>1.4721345114621547</v>
      </c>
      <c r="AD86" s="4">
        <f t="shared" ca="1" si="25"/>
        <v>1.4942165291340872</v>
      </c>
      <c r="AE86" s="4">
        <f t="shared" ca="1" si="25"/>
        <v>1.5166297770710981</v>
      </c>
      <c r="AF86" s="4">
        <f t="shared" ca="1" si="25"/>
        <v>1.5393792237271644</v>
      </c>
      <c r="AG86" s="4">
        <f t="shared" ca="1" si="25"/>
        <v>1.5624699120830716</v>
      </c>
      <c r="AH86" s="4">
        <f t="shared" ca="1" si="25"/>
        <v>1.5859069607643175</v>
      </c>
      <c r="AI86" s="4">
        <f t="shared" ca="1" si="25"/>
        <v>1.6096955651757821</v>
      </c>
      <c r="AJ86" s="4">
        <f t="shared" ca="1" si="25"/>
        <v>1.6338409986534186</v>
      </c>
      <c r="AK86" s="4">
        <f t="shared" ca="1" si="25"/>
        <v>1.6583486136332197</v>
      </c>
      <c r="AL86" s="4">
        <f t="shared" ca="1" si="25"/>
        <v>1.6832238428377178</v>
      </c>
      <c r="AM86" s="4">
        <f t="shared" ca="1" si="25"/>
        <v>1.7084722004802837</v>
      </c>
      <c r="AN86" s="4">
        <f t="shared" ca="1" si="25"/>
        <v>1.734099283487488</v>
      </c>
      <c r="AO86" s="4">
        <f t="shared" ca="1" si="25"/>
        <v>1.7601107727398</v>
      </c>
      <c r="AP86" s="4">
        <f t="shared" ca="1" si="25"/>
        <v>1.7865124343308969</v>
      </c>
      <c r="AQ86" s="4">
        <f t="shared" ca="1" si="25"/>
        <v>1.8133101208458602</v>
      </c>
      <c r="AR86" s="4">
        <f t="shared" ca="1" si="25"/>
        <v>0.9134043536766987</v>
      </c>
      <c r="AS86" s="4">
        <f t="shared" ca="1" si="25"/>
        <v>0</v>
      </c>
      <c r="AT86" s="4">
        <f t="shared" ca="1" si="25"/>
        <v>0</v>
      </c>
      <c r="AU86" s="4">
        <f t="shared" ca="1" si="25"/>
        <v>0</v>
      </c>
      <c r="AV86" s="4">
        <f t="shared" ca="1" si="25"/>
        <v>0</v>
      </c>
      <c r="AW86" s="4">
        <f t="shared" ca="1" si="25"/>
        <v>0</v>
      </c>
      <c r="AX86" s="4">
        <f t="shared" ca="1" si="25"/>
        <v>0</v>
      </c>
      <c r="AY86" s="4">
        <f t="shared" ca="1" si="25"/>
        <v>0</v>
      </c>
      <c r="AZ86" s="4">
        <f t="shared" ca="1" si="25"/>
        <v>0</v>
      </c>
      <c r="BA86" s="4">
        <f t="shared" ca="1" si="25"/>
        <v>0</v>
      </c>
      <c r="BB86" s="4">
        <f t="shared" ca="1" si="25"/>
        <v>0</v>
      </c>
      <c r="BC86" s="4">
        <f t="shared" ca="1" si="25"/>
        <v>0</v>
      </c>
      <c r="BD86" s="4">
        <f t="shared" ca="1" si="25"/>
        <v>0</v>
      </c>
      <c r="BE86" s="4">
        <f t="shared" ca="1" si="25"/>
        <v>0</v>
      </c>
      <c r="BF86" s="4">
        <f t="shared" ca="1" si="25"/>
        <v>0</v>
      </c>
      <c r="BG86" s="4">
        <f t="shared" ca="1" si="25"/>
        <v>0</v>
      </c>
      <c r="BH86" s="4">
        <f t="shared" ca="1" si="25"/>
        <v>0</v>
      </c>
      <c r="BI86" s="4">
        <f t="shared" ca="1" si="25"/>
        <v>0</v>
      </c>
      <c r="BJ86" s="4">
        <f t="shared" ca="1" si="25"/>
        <v>0</v>
      </c>
      <c r="BK86" s="4">
        <f t="shared" ca="1" si="25"/>
        <v>0</v>
      </c>
      <c r="BL86" s="4">
        <f t="shared" ca="1" si="25"/>
        <v>0</v>
      </c>
    </row>
    <row r="87" spans="1:64" x14ac:dyDescent="0.35">
      <c r="A87" s="1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</row>
    <row r="88" spans="1:64" x14ac:dyDescent="0.35">
      <c r="A88" s="1"/>
      <c r="B88" s="2" t="s">
        <v>408</v>
      </c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</row>
    <row r="89" spans="1:64" x14ac:dyDescent="0.35">
      <c r="A89" s="1"/>
      <c r="C89" s="2" t="s">
        <v>104</v>
      </c>
      <c r="D89" s="4"/>
      <c r="E89" s="4">
        <f t="shared" ref="E89:BL90" si="26">E45</f>
        <v>153.75</v>
      </c>
      <c r="F89" s="4">
        <f t="shared" si="26"/>
        <v>157.59375</v>
      </c>
      <c r="G89" s="4">
        <f t="shared" si="26"/>
        <v>161.53359374999999</v>
      </c>
      <c r="H89" s="4">
        <f t="shared" si="26"/>
        <v>165.57193359374997</v>
      </c>
      <c r="I89" s="4">
        <f t="shared" si="26"/>
        <v>169.71123193359372</v>
      </c>
      <c r="J89" s="4">
        <f t="shared" si="26"/>
        <v>173.95401273193355</v>
      </c>
      <c r="K89" s="4">
        <f t="shared" si="26"/>
        <v>178.30286305023188</v>
      </c>
      <c r="L89" s="4">
        <f t="shared" si="26"/>
        <v>182.76043462648767</v>
      </c>
      <c r="M89" s="4">
        <f t="shared" si="26"/>
        <v>187.32944549214983</v>
      </c>
      <c r="N89" s="4">
        <f t="shared" si="26"/>
        <v>192.01268162945357</v>
      </c>
      <c r="O89" s="4">
        <f t="shared" si="26"/>
        <v>194.89287185389534</v>
      </c>
      <c r="P89" s="4">
        <f t="shared" si="26"/>
        <v>197.81626493170376</v>
      </c>
      <c r="Q89" s="4">
        <f t="shared" si="26"/>
        <v>200.7835089056793</v>
      </c>
      <c r="R89" s="4">
        <f t="shared" si="26"/>
        <v>203.79526153926446</v>
      </c>
      <c r="S89" s="4">
        <f t="shared" si="26"/>
        <v>206.85219046235341</v>
      </c>
      <c r="T89" s="4">
        <f t="shared" si="26"/>
        <v>209.95497331928868</v>
      </c>
      <c r="U89" s="4">
        <f t="shared" si="26"/>
        <v>213.10429791907799</v>
      </c>
      <c r="V89" s="4">
        <f t="shared" si="26"/>
        <v>216.30086238786413</v>
      </c>
      <c r="W89" s="4">
        <f t="shared" si="26"/>
        <v>219.54537532368207</v>
      </c>
      <c r="X89" s="4">
        <f t="shared" si="26"/>
        <v>222.83855595353728</v>
      </c>
      <c r="Y89" s="4">
        <f t="shared" si="26"/>
        <v>226.18113429284031</v>
      </c>
      <c r="Z89" s="4">
        <f t="shared" si="26"/>
        <v>229.5738513072329</v>
      </c>
      <c r="AA89" s="4">
        <f t="shared" si="26"/>
        <v>233.01745907684136</v>
      </c>
      <c r="AB89" s="4">
        <f t="shared" si="26"/>
        <v>236.51272096299397</v>
      </c>
      <c r="AC89" s="4">
        <f t="shared" si="26"/>
        <v>240.06041177743884</v>
      </c>
      <c r="AD89" s="4">
        <f t="shared" si="26"/>
        <v>243.66131795410041</v>
      </c>
      <c r="AE89" s="4">
        <f t="shared" si="26"/>
        <v>247.31623772341189</v>
      </c>
      <c r="AF89" s="4">
        <f t="shared" si="26"/>
        <v>251.02598128926303</v>
      </c>
      <c r="AG89" s="4">
        <f t="shared" si="26"/>
        <v>254.79137100860194</v>
      </c>
      <c r="AH89" s="4">
        <f t="shared" si="26"/>
        <v>258.61324157373093</v>
      </c>
      <c r="AI89" s="4">
        <f t="shared" si="26"/>
        <v>262.49244019733686</v>
      </c>
      <c r="AJ89" s="4">
        <f t="shared" si="26"/>
        <v>266.42982680029689</v>
      </c>
      <c r="AK89" s="4">
        <f t="shared" si="26"/>
        <v>270.42627420230133</v>
      </c>
      <c r="AL89" s="4">
        <f t="shared" si="26"/>
        <v>274.48266831533584</v>
      </c>
      <c r="AM89" s="4">
        <f t="shared" si="26"/>
        <v>278.59990834006584</v>
      </c>
      <c r="AN89" s="4">
        <f t="shared" si="26"/>
        <v>282.77890696516681</v>
      </c>
      <c r="AO89" s="4">
        <f t="shared" si="26"/>
        <v>287.0205905696443</v>
      </c>
      <c r="AP89" s="4">
        <f t="shared" si="26"/>
        <v>291.32589942818896</v>
      </c>
      <c r="AQ89" s="4">
        <f t="shared" si="26"/>
        <v>295.69578791961175</v>
      </c>
      <c r="AR89" s="4">
        <f t="shared" si="26"/>
        <v>300.13122473840588</v>
      </c>
      <c r="AS89" s="4">
        <f t="shared" si="26"/>
        <v>304.63319310948191</v>
      </c>
      <c r="AT89" s="4">
        <f t="shared" si="26"/>
        <v>309.2026910061241</v>
      </c>
      <c r="AU89" s="4">
        <f t="shared" si="26"/>
        <v>313.84073137121595</v>
      </c>
      <c r="AV89" s="4">
        <f t="shared" si="26"/>
        <v>318.54834234178418</v>
      </c>
      <c r="AW89" s="4">
        <f t="shared" si="26"/>
        <v>323.3265674769109</v>
      </c>
      <c r="AX89" s="4">
        <f t="shared" si="26"/>
        <v>328.17646598906452</v>
      </c>
      <c r="AY89" s="4">
        <f t="shared" si="26"/>
        <v>333.09911297890045</v>
      </c>
      <c r="AZ89" s="4">
        <f t="shared" si="26"/>
        <v>338.09559967358393</v>
      </c>
      <c r="BA89" s="4">
        <f t="shared" si="26"/>
        <v>343.16703366868768</v>
      </c>
      <c r="BB89" s="4">
        <f t="shared" si="26"/>
        <v>348.31453917371795</v>
      </c>
      <c r="BC89" s="4">
        <f t="shared" si="26"/>
        <v>353.53925726132366</v>
      </c>
      <c r="BD89" s="4">
        <f t="shared" si="26"/>
        <v>358.84234612024346</v>
      </c>
      <c r="BE89" s="4">
        <f t="shared" si="26"/>
        <v>364.22498131204708</v>
      </c>
      <c r="BF89" s="4">
        <f t="shared" si="26"/>
        <v>369.68835603172772</v>
      </c>
      <c r="BG89" s="4">
        <f t="shared" si="26"/>
        <v>375.23368137220359</v>
      </c>
      <c r="BH89" s="4">
        <f t="shared" si="26"/>
        <v>380.8621865927866</v>
      </c>
      <c r="BI89" s="4">
        <f t="shared" si="26"/>
        <v>386.57511939167836</v>
      </c>
      <c r="BJ89" s="4">
        <f t="shared" si="26"/>
        <v>392.37374618255348</v>
      </c>
      <c r="BK89" s="4">
        <f t="shared" si="26"/>
        <v>398.25935237529171</v>
      </c>
      <c r="BL89" s="4">
        <f t="shared" si="26"/>
        <v>404.23324266092106</v>
      </c>
    </row>
    <row r="90" spans="1:64" x14ac:dyDescent="0.35">
      <c r="A90" s="1"/>
      <c r="C90" s="2" t="s">
        <v>105</v>
      </c>
      <c r="D90" s="4"/>
      <c r="E90" s="4">
        <f t="shared" si="26"/>
        <v>0</v>
      </c>
      <c r="F90" s="4">
        <f t="shared" si="26"/>
        <v>0</v>
      </c>
      <c r="G90" s="4">
        <f t="shared" si="26"/>
        <v>0</v>
      </c>
      <c r="H90" s="4">
        <f t="shared" si="26"/>
        <v>0</v>
      </c>
      <c r="I90" s="4">
        <f t="shared" si="26"/>
        <v>0</v>
      </c>
      <c r="J90" s="4">
        <f t="shared" si="26"/>
        <v>0</v>
      </c>
      <c r="K90" s="4">
        <f t="shared" si="26"/>
        <v>0</v>
      </c>
      <c r="L90" s="4">
        <f t="shared" si="26"/>
        <v>0</v>
      </c>
      <c r="M90" s="4">
        <f t="shared" si="26"/>
        <v>0</v>
      </c>
      <c r="N90" s="4">
        <f t="shared" si="26"/>
        <v>0</v>
      </c>
      <c r="O90" s="4">
        <f t="shared" si="26"/>
        <v>0</v>
      </c>
      <c r="P90" s="4">
        <f t="shared" si="26"/>
        <v>0</v>
      </c>
      <c r="Q90" s="4">
        <f t="shared" si="26"/>
        <v>0</v>
      </c>
      <c r="R90" s="4">
        <f t="shared" si="26"/>
        <v>0</v>
      </c>
      <c r="S90" s="4">
        <f t="shared" si="26"/>
        <v>0</v>
      </c>
      <c r="T90" s="4">
        <f t="shared" si="26"/>
        <v>0</v>
      </c>
      <c r="U90" s="4">
        <f t="shared" si="26"/>
        <v>0</v>
      </c>
      <c r="V90" s="4">
        <f t="shared" si="26"/>
        <v>0</v>
      </c>
      <c r="W90" s="4">
        <f t="shared" si="26"/>
        <v>0</v>
      </c>
      <c r="X90" s="4">
        <f t="shared" si="26"/>
        <v>0</v>
      </c>
      <c r="Y90" s="4">
        <f t="shared" si="26"/>
        <v>0</v>
      </c>
      <c r="Z90" s="4">
        <f t="shared" si="26"/>
        <v>0</v>
      </c>
      <c r="AA90" s="4">
        <f t="shared" si="26"/>
        <v>0</v>
      </c>
      <c r="AB90" s="4">
        <f t="shared" si="26"/>
        <v>0</v>
      </c>
      <c r="AC90" s="4">
        <f t="shared" si="26"/>
        <v>0</v>
      </c>
      <c r="AD90" s="4">
        <f t="shared" si="26"/>
        <v>0</v>
      </c>
      <c r="AE90" s="4">
        <f t="shared" si="26"/>
        <v>0</v>
      </c>
      <c r="AF90" s="4">
        <f t="shared" si="26"/>
        <v>0</v>
      </c>
      <c r="AG90" s="4">
        <f t="shared" si="26"/>
        <v>0</v>
      </c>
      <c r="AH90" s="4">
        <f t="shared" si="26"/>
        <v>0</v>
      </c>
      <c r="AI90" s="4">
        <f t="shared" si="26"/>
        <v>0</v>
      </c>
      <c r="AJ90" s="4">
        <f t="shared" si="26"/>
        <v>0</v>
      </c>
      <c r="AK90" s="4">
        <f t="shared" si="26"/>
        <v>0</v>
      </c>
      <c r="AL90" s="4">
        <f t="shared" si="26"/>
        <v>0</v>
      </c>
      <c r="AM90" s="4">
        <f t="shared" si="26"/>
        <v>0</v>
      </c>
      <c r="AN90" s="4">
        <f t="shared" si="26"/>
        <v>0</v>
      </c>
      <c r="AO90" s="4">
        <f t="shared" si="26"/>
        <v>0</v>
      </c>
      <c r="AP90" s="4">
        <f t="shared" si="26"/>
        <v>0</v>
      </c>
      <c r="AQ90" s="4">
        <f t="shared" si="26"/>
        <v>0</v>
      </c>
      <c r="AR90" s="4">
        <f t="shared" si="26"/>
        <v>0</v>
      </c>
      <c r="AS90" s="4">
        <f t="shared" si="26"/>
        <v>0</v>
      </c>
      <c r="AT90" s="4">
        <f t="shared" si="26"/>
        <v>0</v>
      </c>
      <c r="AU90" s="4">
        <f t="shared" si="26"/>
        <v>0</v>
      </c>
      <c r="AV90" s="4">
        <f t="shared" si="26"/>
        <v>0</v>
      </c>
      <c r="AW90" s="4">
        <f t="shared" si="26"/>
        <v>0</v>
      </c>
      <c r="AX90" s="4">
        <f t="shared" si="26"/>
        <v>0</v>
      </c>
      <c r="AY90" s="4">
        <f t="shared" si="26"/>
        <v>0</v>
      </c>
      <c r="AZ90" s="4">
        <f t="shared" si="26"/>
        <v>0</v>
      </c>
      <c r="BA90" s="4">
        <f t="shared" si="26"/>
        <v>0</v>
      </c>
      <c r="BB90" s="4">
        <f t="shared" si="26"/>
        <v>0</v>
      </c>
      <c r="BC90" s="4">
        <f t="shared" si="26"/>
        <v>0</v>
      </c>
      <c r="BD90" s="4">
        <f t="shared" si="26"/>
        <v>0</v>
      </c>
      <c r="BE90" s="4">
        <f t="shared" si="26"/>
        <v>0</v>
      </c>
      <c r="BF90" s="4">
        <f t="shared" si="26"/>
        <v>0</v>
      </c>
      <c r="BG90" s="4">
        <f t="shared" si="26"/>
        <v>0</v>
      </c>
      <c r="BH90" s="4">
        <f t="shared" si="26"/>
        <v>0</v>
      </c>
      <c r="BI90" s="4">
        <f t="shared" si="26"/>
        <v>0</v>
      </c>
      <c r="BJ90" s="4">
        <f t="shared" si="26"/>
        <v>0</v>
      </c>
      <c r="BK90" s="4">
        <f t="shared" si="26"/>
        <v>0</v>
      </c>
      <c r="BL90" s="4">
        <f t="shared" si="26"/>
        <v>0</v>
      </c>
    </row>
    <row r="91" spans="1:64" x14ac:dyDescent="0.35">
      <c r="A91" s="1"/>
      <c r="C91" s="2" t="s">
        <v>409</v>
      </c>
      <c r="D91" s="4"/>
      <c r="E91" s="4">
        <f>E75</f>
        <v>56.999999999999993</v>
      </c>
      <c r="F91" s="4">
        <f t="shared" ref="F91:BL91" ca="1" si="27">F75</f>
        <v>56.451254826532654</v>
      </c>
      <c r="G91" s="4">
        <f t="shared" ca="1" si="27"/>
        <v>55.859184846126631</v>
      </c>
      <c r="H91" s="4">
        <f t="shared" ca="1" si="27"/>
        <v>55.222262845944407</v>
      </c>
      <c r="I91" s="4">
        <f t="shared" ca="1" si="27"/>
        <v>54.538916771437606</v>
      </c>
      <c r="J91" s="4">
        <f t="shared" ca="1" si="27"/>
        <v>53.807528505383296</v>
      </c>
      <c r="K91" s="4">
        <f t="shared" ca="1" si="27"/>
        <v>53.02643261489753</v>
      </c>
      <c r="L91" s="4">
        <f t="shared" ca="1" si="27"/>
        <v>52.193915065602816</v>
      </c>
      <c r="M91" s="4">
        <f t="shared" ca="1" si="27"/>
        <v>59.859580552456691</v>
      </c>
      <c r="N91" s="4">
        <f t="shared" ca="1" si="27"/>
        <v>58.911741494286822</v>
      </c>
      <c r="O91" s="4">
        <f t="shared" ca="1" si="27"/>
        <v>57.897430709653044</v>
      </c>
      <c r="P91" s="4">
        <f t="shared" ca="1" si="27"/>
        <v>56.834690492376417</v>
      </c>
      <c r="Q91" s="4">
        <f t="shared" ca="1" si="27"/>
        <v>55.72221314247701</v>
      </c>
      <c r="R91" s="4">
        <f t="shared" ca="1" si="27"/>
        <v>54.558661172451622</v>
      </c>
      <c r="S91" s="4">
        <f t="shared" ca="1" si="27"/>
        <v>53.342666682450513</v>
      </c>
      <c r="T91" s="4">
        <f t="shared" ca="1" si="27"/>
        <v>52.072830722966593</v>
      </c>
      <c r="U91" s="4">
        <f t="shared" ca="1" si="27"/>
        <v>50.747722644795303</v>
      </c>
      <c r="V91" s="4">
        <f t="shared" ca="1" si="27"/>
        <v>49.36587943601868</v>
      </c>
      <c r="W91" s="4">
        <f t="shared" ca="1" si="27"/>
        <v>54.772348623728625</v>
      </c>
      <c r="X91" s="4">
        <f t="shared" ca="1" si="27"/>
        <v>53.195181950954904</v>
      </c>
      <c r="Y91" s="4">
        <f t="shared" ca="1" si="27"/>
        <v>51.546382740046987</v>
      </c>
      <c r="Z91" s="4">
        <f t="shared" ca="1" si="27"/>
        <v>49.823917002172003</v>
      </c>
      <c r="AA91" s="4">
        <f t="shared" ca="1" si="27"/>
        <v>48.025701048649388</v>
      </c>
      <c r="AB91" s="4">
        <f t="shared" ca="1" si="27"/>
        <v>46.14960036165283</v>
      </c>
      <c r="AC91" s="4">
        <f t="shared" ca="1" si="27"/>
        <v>44.193428440296792</v>
      </c>
      <c r="AD91" s="4">
        <f t="shared" ca="1" si="27"/>
        <v>42.154945621584801</v>
      </c>
      <c r="AE91" s="4">
        <f t="shared" ca="1" si="27"/>
        <v>40.031857875685809</v>
      </c>
      <c r="AF91" s="4">
        <f t="shared" ca="1" si="27"/>
        <v>37.82181557499387</v>
      </c>
      <c r="AG91" s="4">
        <f t="shared" ca="1" si="27"/>
        <v>35.522412236415008</v>
      </c>
      <c r="AH91" s="4">
        <f t="shared" ca="1" si="27"/>
        <v>33.13118323631339</v>
      </c>
      <c r="AI91" s="4">
        <f t="shared" ca="1" si="27"/>
        <v>30.645604497537288</v>
      </c>
      <c r="AJ91" s="4">
        <f t="shared" ca="1" si="27"/>
        <v>28.063091147933132</v>
      </c>
      <c r="AK91" s="4">
        <f t="shared" ca="1" si="27"/>
        <v>25.38099614974357</v>
      </c>
      <c r="AL91" s="4">
        <f t="shared" ca="1" si="27"/>
        <v>22.596608899272994</v>
      </c>
      <c r="AM91" s="4">
        <f t="shared" ca="1" si="27"/>
        <v>19.707153796191022</v>
      </c>
      <c r="AN91" s="4">
        <f t="shared" ca="1" si="27"/>
        <v>16.709788781831399</v>
      </c>
      <c r="AO91" s="4">
        <f t="shared" ca="1" si="27"/>
        <v>13.601603845830336</v>
      </c>
      <c r="AP91" s="4">
        <f t="shared" ca="1" si="27"/>
        <v>10.379619500434686</v>
      </c>
      <c r="AQ91" s="4">
        <f t="shared" ca="1" si="27"/>
        <v>7.0407852217964368</v>
      </c>
      <c r="AR91" s="4">
        <f t="shared" ca="1" si="27"/>
        <v>3.5819778575557195</v>
      </c>
      <c r="AS91" s="4">
        <f t="shared" ca="1" si="27"/>
        <v>3.9221959013957534E-14</v>
      </c>
      <c r="AT91" s="4">
        <f t="shared" ca="1" si="27"/>
        <v>4.000639819423668E-14</v>
      </c>
      <c r="AU91" s="4">
        <f t="shared" ca="1" si="27"/>
        <v>4.0806526158121412E-14</v>
      </c>
      <c r="AV91" s="4">
        <f t="shared" ca="1" si="27"/>
        <v>4.1622656681283841E-14</v>
      </c>
      <c r="AW91" s="4">
        <f t="shared" ca="1" si="27"/>
        <v>4.2455109814909515E-14</v>
      </c>
      <c r="AX91" s="4">
        <f t="shared" ca="1" si="27"/>
        <v>4.3304212011207702E-14</v>
      </c>
      <c r="AY91" s="4">
        <f t="shared" ca="1" si="27"/>
        <v>4.4170296251431856E-14</v>
      </c>
      <c r="AZ91" s="4">
        <f t="shared" ca="1" si="27"/>
        <v>4.5053702176460495E-14</v>
      </c>
      <c r="BA91" s="4">
        <f t="shared" ca="1" si="27"/>
        <v>4.5954776219989711E-14</v>
      </c>
      <c r="BB91" s="4">
        <f t="shared" ca="1" si="27"/>
        <v>4.6873871744389506E-14</v>
      </c>
      <c r="BC91" s="4">
        <f t="shared" ca="1" si="27"/>
        <v>4.7811349179277296E-14</v>
      </c>
      <c r="BD91" s="4">
        <f t="shared" ca="1" si="27"/>
        <v>4.8767576162862843E-14</v>
      </c>
      <c r="BE91" s="4">
        <f t="shared" ca="1" si="27"/>
        <v>4.9742927686120098E-14</v>
      </c>
      <c r="BF91" s="4">
        <f t="shared" ca="1" si="27"/>
        <v>5.07377862398425E-14</v>
      </c>
      <c r="BG91" s="4">
        <f t="shared" ca="1" si="27"/>
        <v>5.1752541964639351E-14</v>
      </c>
      <c r="BH91" s="4">
        <f t="shared" ca="1" si="27"/>
        <v>5.2787592803932143E-14</v>
      </c>
      <c r="BI91" s="4">
        <f t="shared" ca="1" si="27"/>
        <v>5.3843344660010787E-14</v>
      </c>
      <c r="BJ91" s="4">
        <f t="shared" ca="1" si="27"/>
        <v>5.4920211553211001E-14</v>
      </c>
      <c r="BK91" s="4">
        <f t="shared" ca="1" si="27"/>
        <v>5.601861578427522E-14</v>
      </c>
      <c r="BL91" s="4">
        <f t="shared" ca="1" si="27"/>
        <v>5.7138988099960733E-14</v>
      </c>
    </row>
    <row r="92" spans="1:64" x14ac:dyDescent="0.35">
      <c r="A92" s="1"/>
      <c r="C92" s="2" t="s">
        <v>410</v>
      </c>
      <c r="D92" s="46">
        <f>D28+D30</f>
        <v>4000</v>
      </c>
      <c r="E92" s="4">
        <f t="shared" ref="E92:BL92" si="28">E51</f>
        <v>0</v>
      </c>
      <c r="F92" s="4">
        <f t="shared" si="28"/>
        <v>0</v>
      </c>
      <c r="G92" s="4">
        <f t="shared" si="28"/>
        <v>0</v>
      </c>
      <c r="H92" s="4">
        <f t="shared" si="28"/>
        <v>0</v>
      </c>
      <c r="I92" s="4">
        <f t="shared" si="28"/>
        <v>0</v>
      </c>
      <c r="J92" s="4">
        <f t="shared" si="28"/>
        <v>0</v>
      </c>
      <c r="K92" s="4">
        <f t="shared" si="28"/>
        <v>0</v>
      </c>
      <c r="L92" s="4">
        <f t="shared" si="28"/>
        <v>0</v>
      </c>
      <c r="M92" s="4">
        <f t="shared" si="28"/>
        <v>0</v>
      </c>
      <c r="N92" s="4">
        <f t="shared" si="28"/>
        <v>0</v>
      </c>
      <c r="O92" s="4">
        <f t="shared" si="28"/>
        <v>0</v>
      </c>
      <c r="P92" s="4">
        <f t="shared" si="28"/>
        <v>0</v>
      </c>
      <c r="Q92" s="4">
        <f t="shared" si="28"/>
        <v>0</v>
      </c>
      <c r="R92" s="4">
        <f t="shared" si="28"/>
        <v>0</v>
      </c>
      <c r="S92" s="4">
        <f t="shared" si="28"/>
        <v>0</v>
      </c>
      <c r="T92" s="4">
        <f t="shared" si="28"/>
        <v>0</v>
      </c>
      <c r="U92" s="4">
        <f t="shared" si="28"/>
        <v>0</v>
      </c>
      <c r="V92" s="4">
        <f t="shared" si="28"/>
        <v>0</v>
      </c>
      <c r="W92" s="4">
        <f t="shared" si="28"/>
        <v>0</v>
      </c>
      <c r="X92" s="4">
        <f t="shared" si="28"/>
        <v>0</v>
      </c>
      <c r="Y92" s="4">
        <f t="shared" si="28"/>
        <v>0</v>
      </c>
      <c r="Z92" s="4">
        <f t="shared" si="28"/>
        <v>0</v>
      </c>
      <c r="AA92" s="4">
        <f t="shared" si="28"/>
        <v>0</v>
      </c>
      <c r="AB92" s="4">
        <f t="shared" si="28"/>
        <v>0</v>
      </c>
      <c r="AC92" s="4">
        <f t="shared" si="28"/>
        <v>0</v>
      </c>
      <c r="AD92" s="4">
        <f t="shared" si="28"/>
        <v>0</v>
      </c>
      <c r="AE92" s="4">
        <f t="shared" si="28"/>
        <v>0</v>
      </c>
      <c r="AF92" s="4">
        <f t="shared" si="28"/>
        <v>0</v>
      </c>
      <c r="AG92" s="4">
        <f t="shared" si="28"/>
        <v>0</v>
      </c>
      <c r="AH92" s="4">
        <f t="shared" si="28"/>
        <v>0</v>
      </c>
      <c r="AI92" s="4">
        <f t="shared" si="28"/>
        <v>0</v>
      </c>
      <c r="AJ92" s="4">
        <f t="shared" si="28"/>
        <v>0</v>
      </c>
      <c r="AK92" s="4">
        <f t="shared" si="28"/>
        <v>0</v>
      </c>
      <c r="AL92" s="4">
        <f t="shared" si="28"/>
        <v>0</v>
      </c>
      <c r="AM92" s="4">
        <f t="shared" si="28"/>
        <v>0</v>
      </c>
      <c r="AN92" s="4">
        <f t="shared" si="28"/>
        <v>0</v>
      </c>
      <c r="AO92" s="4">
        <f t="shared" si="28"/>
        <v>0</v>
      </c>
      <c r="AP92" s="4">
        <f t="shared" si="28"/>
        <v>0</v>
      </c>
      <c r="AQ92" s="4">
        <f t="shared" si="28"/>
        <v>0</v>
      </c>
      <c r="AR92" s="4">
        <f t="shared" si="28"/>
        <v>0</v>
      </c>
      <c r="AS92" s="4">
        <f t="shared" si="28"/>
        <v>0</v>
      </c>
      <c r="AT92" s="4">
        <f t="shared" si="28"/>
        <v>0</v>
      </c>
      <c r="AU92" s="4">
        <f t="shared" si="28"/>
        <v>0</v>
      </c>
      <c r="AV92" s="4">
        <f t="shared" si="28"/>
        <v>0</v>
      </c>
      <c r="AW92" s="4">
        <f t="shared" si="28"/>
        <v>0</v>
      </c>
      <c r="AX92" s="4">
        <f t="shared" si="28"/>
        <v>0</v>
      </c>
      <c r="AY92" s="4">
        <f t="shared" si="28"/>
        <v>0</v>
      </c>
      <c r="AZ92" s="4">
        <f t="shared" si="28"/>
        <v>0</v>
      </c>
      <c r="BA92" s="4">
        <f t="shared" si="28"/>
        <v>0</v>
      </c>
      <c r="BB92" s="4">
        <f t="shared" si="28"/>
        <v>0</v>
      </c>
      <c r="BC92" s="4">
        <f t="shared" si="28"/>
        <v>0</v>
      </c>
      <c r="BD92" s="4">
        <f t="shared" si="28"/>
        <v>0</v>
      </c>
      <c r="BE92" s="4">
        <f t="shared" si="28"/>
        <v>0</v>
      </c>
      <c r="BF92" s="4">
        <f t="shared" si="28"/>
        <v>0</v>
      </c>
      <c r="BG92" s="4">
        <f t="shared" si="28"/>
        <v>0</v>
      </c>
      <c r="BH92" s="4">
        <f t="shared" si="28"/>
        <v>0</v>
      </c>
      <c r="BI92" s="4">
        <f t="shared" si="28"/>
        <v>0</v>
      </c>
      <c r="BJ92" s="4">
        <f t="shared" si="28"/>
        <v>0</v>
      </c>
      <c r="BK92" s="4">
        <f t="shared" si="28"/>
        <v>0</v>
      </c>
      <c r="BL92" s="4">
        <f t="shared" si="28"/>
        <v>0</v>
      </c>
    </row>
    <row r="93" spans="1:64" x14ac:dyDescent="0.35">
      <c r="A93" s="1"/>
      <c r="C93" s="2" t="s">
        <v>492</v>
      </c>
      <c r="D93" s="12">
        <f>D25</f>
        <v>2.5000000000000001E-2</v>
      </c>
      <c r="E93" s="4">
        <f>$D$93*$D$92</f>
        <v>100</v>
      </c>
      <c r="F93" s="4">
        <f t="shared" ref="F93:BL93" si="29">$D$93*$D$92</f>
        <v>100</v>
      </c>
      <c r="G93" s="4">
        <f t="shared" si="29"/>
        <v>100</v>
      </c>
      <c r="H93" s="4">
        <f t="shared" si="29"/>
        <v>100</v>
      </c>
      <c r="I93" s="4">
        <f t="shared" si="29"/>
        <v>100</v>
      </c>
      <c r="J93" s="4">
        <f t="shared" si="29"/>
        <v>100</v>
      </c>
      <c r="K93" s="4">
        <f t="shared" si="29"/>
        <v>100</v>
      </c>
      <c r="L93" s="4">
        <f t="shared" si="29"/>
        <v>100</v>
      </c>
      <c r="M93" s="4">
        <f t="shared" si="29"/>
        <v>100</v>
      </c>
      <c r="N93" s="4">
        <f t="shared" si="29"/>
        <v>100</v>
      </c>
      <c r="O93" s="4">
        <f t="shared" si="29"/>
        <v>100</v>
      </c>
      <c r="P93" s="4">
        <f t="shared" si="29"/>
        <v>100</v>
      </c>
      <c r="Q93" s="4">
        <f t="shared" si="29"/>
        <v>100</v>
      </c>
      <c r="R93" s="4">
        <f t="shared" si="29"/>
        <v>100</v>
      </c>
      <c r="S93" s="4">
        <f t="shared" si="29"/>
        <v>100</v>
      </c>
      <c r="T93" s="4">
        <f t="shared" si="29"/>
        <v>100</v>
      </c>
      <c r="U93" s="4">
        <f t="shared" si="29"/>
        <v>100</v>
      </c>
      <c r="V93" s="4">
        <f t="shared" si="29"/>
        <v>100</v>
      </c>
      <c r="W93" s="4">
        <f t="shared" si="29"/>
        <v>100</v>
      </c>
      <c r="X93" s="4">
        <f t="shared" si="29"/>
        <v>100</v>
      </c>
      <c r="Y93" s="4">
        <f t="shared" si="29"/>
        <v>100</v>
      </c>
      <c r="Z93" s="4">
        <f t="shared" si="29"/>
        <v>100</v>
      </c>
      <c r="AA93" s="4">
        <f t="shared" si="29"/>
        <v>100</v>
      </c>
      <c r="AB93" s="4">
        <f t="shared" si="29"/>
        <v>100</v>
      </c>
      <c r="AC93" s="4">
        <f t="shared" si="29"/>
        <v>100</v>
      </c>
      <c r="AD93" s="4">
        <f t="shared" si="29"/>
        <v>100</v>
      </c>
      <c r="AE93" s="4">
        <f t="shared" si="29"/>
        <v>100</v>
      </c>
      <c r="AF93" s="4">
        <f t="shared" si="29"/>
        <v>100</v>
      </c>
      <c r="AG93" s="4">
        <f t="shared" si="29"/>
        <v>100</v>
      </c>
      <c r="AH93" s="4">
        <f t="shared" si="29"/>
        <v>100</v>
      </c>
      <c r="AI93" s="4">
        <f t="shared" si="29"/>
        <v>100</v>
      </c>
      <c r="AJ93" s="4">
        <f t="shared" si="29"/>
        <v>100</v>
      </c>
      <c r="AK93" s="4">
        <f t="shared" si="29"/>
        <v>100</v>
      </c>
      <c r="AL93" s="4">
        <f t="shared" si="29"/>
        <v>100</v>
      </c>
      <c r="AM93" s="4">
        <f t="shared" si="29"/>
        <v>100</v>
      </c>
      <c r="AN93" s="4">
        <f t="shared" si="29"/>
        <v>100</v>
      </c>
      <c r="AO93" s="4">
        <f t="shared" si="29"/>
        <v>100</v>
      </c>
      <c r="AP93" s="4">
        <f t="shared" si="29"/>
        <v>100</v>
      </c>
      <c r="AQ93" s="4">
        <f t="shared" si="29"/>
        <v>100</v>
      </c>
      <c r="AR93" s="4">
        <f t="shared" si="29"/>
        <v>100</v>
      </c>
      <c r="AS93" s="4">
        <f t="shared" si="29"/>
        <v>100</v>
      </c>
      <c r="AT93" s="4">
        <f t="shared" si="29"/>
        <v>100</v>
      </c>
      <c r="AU93" s="4">
        <f t="shared" si="29"/>
        <v>100</v>
      </c>
      <c r="AV93" s="4">
        <f t="shared" si="29"/>
        <v>100</v>
      </c>
      <c r="AW93" s="4">
        <f t="shared" si="29"/>
        <v>100</v>
      </c>
      <c r="AX93" s="4">
        <f t="shared" si="29"/>
        <v>100</v>
      </c>
      <c r="AY93" s="4">
        <f t="shared" si="29"/>
        <v>100</v>
      </c>
      <c r="AZ93" s="4">
        <f t="shared" si="29"/>
        <v>100</v>
      </c>
      <c r="BA93" s="4">
        <f t="shared" si="29"/>
        <v>100</v>
      </c>
      <c r="BB93" s="4">
        <f t="shared" si="29"/>
        <v>100</v>
      </c>
      <c r="BC93" s="4">
        <f t="shared" si="29"/>
        <v>100</v>
      </c>
      <c r="BD93" s="4">
        <f t="shared" si="29"/>
        <v>100</v>
      </c>
      <c r="BE93" s="4">
        <f t="shared" si="29"/>
        <v>100</v>
      </c>
      <c r="BF93" s="4">
        <f t="shared" si="29"/>
        <v>100</v>
      </c>
      <c r="BG93" s="4">
        <f t="shared" si="29"/>
        <v>100</v>
      </c>
      <c r="BH93" s="4">
        <f t="shared" si="29"/>
        <v>100</v>
      </c>
      <c r="BI93" s="4">
        <f t="shared" si="29"/>
        <v>100</v>
      </c>
      <c r="BJ93" s="4">
        <f t="shared" si="29"/>
        <v>100</v>
      </c>
      <c r="BK93" s="4">
        <f t="shared" si="29"/>
        <v>100</v>
      </c>
      <c r="BL93" s="4">
        <f t="shared" si="29"/>
        <v>100</v>
      </c>
    </row>
    <row r="94" spans="1:64" ht="15" thickBot="1" x14ac:dyDescent="0.4">
      <c r="A94" s="1"/>
      <c r="C94" s="24" t="s">
        <v>493</v>
      </c>
      <c r="D94" s="25"/>
      <c r="E94" s="25">
        <f>E89+E90-E91-E92-E93</f>
        <v>-3.25</v>
      </c>
      <c r="F94" s="25">
        <f t="shared" ref="F94:BL94" ca="1" si="30">F89+F90-F91-F92-F93</f>
        <v>1.1424951734673527</v>
      </c>
      <c r="G94" s="25">
        <f t="shared" ca="1" si="30"/>
        <v>5.6744089038733705</v>
      </c>
      <c r="H94" s="25">
        <f t="shared" ca="1" si="30"/>
        <v>10.349670747805561</v>
      </c>
      <c r="I94" s="25">
        <f t="shared" ca="1" si="30"/>
        <v>15.17231516215611</v>
      </c>
      <c r="J94" s="25">
        <f t="shared" ca="1" si="30"/>
        <v>20.146484226550257</v>
      </c>
      <c r="K94" s="25">
        <f t="shared" ca="1" si="30"/>
        <v>25.276430435334348</v>
      </c>
      <c r="L94" s="25">
        <f t="shared" ca="1" si="30"/>
        <v>30.566519560884842</v>
      </c>
      <c r="M94" s="25">
        <f t="shared" ca="1" si="30"/>
        <v>27.469864939693139</v>
      </c>
      <c r="N94" s="25">
        <f t="shared" ca="1" si="30"/>
        <v>33.100940135166752</v>
      </c>
      <c r="O94" s="25">
        <f t="shared" ca="1" si="30"/>
        <v>36.995441144242307</v>
      </c>
      <c r="P94" s="25">
        <f t="shared" ca="1" si="30"/>
        <v>40.981574439327346</v>
      </c>
      <c r="Q94" s="25">
        <f t="shared" ca="1" si="30"/>
        <v>45.061295763202281</v>
      </c>
      <c r="R94" s="25">
        <f t="shared" ca="1" si="30"/>
        <v>49.236600366812837</v>
      </c>
      <c r="S94" s="25">
        <f t="shared" ca="1" si="30"/>
        <v>53.509523779902906</v>
      </c>
      <c r="T94" s="25">
        <f t="shared" ca="1" si="30"/>
        <v>57.882142596322097</v>
      </c>
      <c r="U94" s="25">
        <f t="shared" ca="1" si="30"/>
        <v>62.356575274282704</v>
      </c>
      <c r="V94" s="25">
        <f t="shared" ca="1" si="30"/>
        <v>66.934982951845456</v>
      </c>
      <c r="W94" s="25">
        <f t="shared" ca="1" si="30"/>
        <v>64.773026699953448</v>
      </c>
      <c r="X94" s="25">
        <f t="shared" ca="1" si="30"/>
        <v>69.643374002582391</v>
      </c>
      <c r="Y94" s="25">
        <f t="shared" ca="1" si="30"/>
        <v>74.634751552793318</v>
      </c>
      <c r="Z94" s="25">
        <f t="shared" ca="1" si="30"/>
        <v>79.74993430506089</v>
      </c>
      <c r="AA94" s="25">
        <f t="shared" ca="1" si="30"/>
        <v>84.991758028191981</v>
      </c>
      <c r="AB94" s="25">
        <f t="shared" ca="1" si="30"/>
        <v>90.363120601341137</v>
      </c>
      <c r="AC94" s="25">
        <f t="shared" ca="1" si="30"/>
        <v>95.866983337142045</v>
      </c>
      <c r="AD94" s="25">
        <f t="shared" ca="1" si="30"/>
        <v>101.50637233251561</v>
      </c>
      <c r="AE94" s="25">
        <f t="shared" ca="1" si="30"/>
        <v>107.28437984772609</v>
      </c>
      <c r="AF94" s="25">
        <f t="shared" ca="1" si="30"/>
        <v>113.20416571426915</v>
      </c>
      <c r="AG94" s="25">
        <f t="shared" ca="1" si="30"/>
        <v>119.26895877218692</v>
      </c>
      <c r="AH94" s="25">
        <f t="shared" ca="1" si="30"/>
        <v>125.48205833741753</v>
      </c>
      <c r="AI94" s="25">
        <f t="shared" ca="1" si="30"/>
        <v>131.84683569979958</v>
      </c>
      <c r="AJ94" s="25">
        <f t="shared" ca="1" si="30"/>
        <v>138.36673565236376</v>
      </c>
      <c r="AK94" s="25">
        <f t="shared" ca="1" si="30"/>
        <v>145.04527805255776</v>
      </c>
      <c r="AL94" s="25">
        <f t="shared" ca="1" si="30"/>
        <v>151.88605941606284</v>
      </c>
      <c r="AM94" s="25">
        <f t="shared" ca="1" si="30"/>
        <v>158.89275454387484</v>
      </c>
      <c r="AN94" s="25">
        <f t="shared" ca="1" si="30"/>
        <v>166.06911818333543</v>
      </c>
      <c r="AO94" s="25">
        <f t="shared" ca="1" si="30"/>
        <v>173.41898672381399</v>
      </c>
      <c r="AP94" s="25">
        <f t="shared" ca="1" si="30"/>
        <v>180.94627992775429</v>
      </c>
      <c r="AQ94" s="25">
        <f t="shared" ca="1" si="30"/>
        <v>188.65500269781529</v>
      </c>
      <c r="AR94" s="25">
        <f t="shared" ca="1" si="30"/>
        <v>196.54924688085015</v>
      </c>
      <c r="AS94" s="25">
        <f t="shared" ca="1" si="30"/>
        <v>204.63319310948185</v>
      </c>
      <c r="AT94" s="25">
        <f t="shared" ca="1" si="30"/>
        <v>209.20269100612404</v>
      </c>
      <c r="AU94" s="25">
        <f t="shared" ca="1" si="30"/>
        <v>213.8407313712159</v>
      </c>
      <c r="AV94" s="25">
        <f t="shared" ca="1" si="30"/>
        <v>218.54834234178412</v>
      </c>
      <c r="AW94" s="25">
        <f t="shared" ca="1" si="30"/>
        <v>223.32656747691084</v>
      </c>
      <c r="AX94" s="25">
        <f t="shared" ca="1" si="30"/>
        <v>228.17646598906447</v>
      </c>
      <c r="AY94" s="25">
        <f t="shared" ca="1" si="30"/>
        <v>233.09911297890039</v>
      </c>
      <c r="AZ94" s="25">
        <f t="shared" ca="1" si="30"/>
        <v>238.09559967358388</v>
      </c>
      <c r="BA94" s="25">
        <f t="shared" ca="1" si="30"/>
        <v>243.16703366868762</v>
      </c>
      <c r="BB94" s="25">
        <f t="shared" ca="1" si="30"/>
        <v>248.31453917371789</v>
      </c>
      <c r="BC94" s="25">
        <f t="shared" ca="1" si="30"/>
        <v>253.5392572613236</v>
      </c>
      <c r="BD94" s="25">
        <f t="shared" ca="1" si="30"/>
        <v>258.84234612024341</v>
      </c>
      <c r="BE94" s="25">
        <f t="shared" ca="1" si="30"/>
        <v>264.22498131204702</v>
      </c>
      <c r="BF94" s="25">
        <f t="shared" ca="1" si="30"/>
        <v>269.68835603172766</v>
      </c>
      <c r="BG94" s="25">
        <f t="shared" ca="1" si="30"/>
        <v>275.23368137220353</v>
      </c>
      <c r="BH94" s="25">
        <f t="shared" ca="1" si="30"/>
        <v>280.86218659278654</v>
      </c>
      <c r="BI94" s="25">
        <f t="shared" ca="1" si="30"/>
        <v>286.5751193916783</v>
      </c>
      <c r="BJ94" s="25">
        <f t="shared" ca="1" si="30"/>
        <v>292.37374618255342</v>
      </c>
      <c r="BK94" s="25">
        <f t="shared" ca="1" si="30"/>
        <v>298.25935237529166</v>
      </c>
      <c r="BL94" s="25">
        <f t="shared" ca="1" si="30"/>
        <v>304.23324266092101</v>
      </c>
    </row>
    <row r="95" spans="1:64" x14ac:dyDescent="0.35">
      <c r="A95" s="1"/>
      <c r="C95" s="10" t="s">
        <v>494</v>
      </c>
      <c r="D95" s="46"/>
      <c r="E95" s="162"/>
      <c r="F95" s="162"/>
      <c r="G95" s="162"/>
      <c r="H95" s="162"/>
      <c r="I95" s="162"/>
      <c r="J95" s="162"/>
      <c r="K95" s="162"/>
      <c r="L95" s="162"/>
      <c r="M95" s="162"/>
      <c r="N95" s="162"/>
      <c r="O95" s="162"/>
      <c r="P95" s="162"/>
      <c r="Q95" s="162"/>
      <c r="R95" s="162"/>
      <c r="S95" s="162"/>
      <c r="T95" s="162"/>
      <c r="U95" s="162"/>
      <c r="V95" s="162"/>
      <c r="W95" s="162"/>
      <c r="X95" s="162"/>
      <c r="Y95" s="162"/>
      <c r="Z95" s="162"/>
      <c r="AA95" s="162"/>
      <c r="AB95" s="162"/>
      <c r="AC95" s="162"/>
      <c r="AD95" s="162"/>
      <c r="AE95" s="162"/>
      <c r="AF95" s="162"/>
      <c r="AG95" s="162"/>
      <c r="AH95" s="162"/>
      <c r="AI95" s="162"/>
      <c r="AJ95" s="162"/>
      <c r="AK95" s="162"/>
      <c r="AL95" s="162"/>
      <c r="AM95" s="162"/>
      <c r="AN95" s="162"/>
      <c r="AO95" s="162"/>
      <c r="AP95" s="162"/>
      <c r="AQ95" s="162"/>
      <c r="AR95" s="162"/>
      <c r="AS95" s="162"/>
      <c r="AT95" s="162"/>
      <c r="AU95" s="162"/>
      <c r="AV95" s="162"/>
      <c r="AW95" s="162"/>
      <c r="AX95" s="162"/>
      <c r="AY95" s="162"/>
      <c r="AZ95" s="162"/>
      <c r="BA95" s="162"/>
      <c r="BB95" s="162"/>
      <c r="BC95" s="162"/>
      <c r="BD95" s="162"/>
      <c r="BE95" s="162"/>
      <c r="BF95" s="162"/>
      <c r="BG95" s="162"/>
      <c r="BH95" s="162"/>
      <c r="BI95" s="162"/>
      <c r="BJ95" s="162"/>
      <c r="BK95" s="162"/>
      <c r="BL95" s="162"/>
    </row>
    <row r="96" spans="1:64" x14ac:dyDescent="0.35">
      <c r="A96" s="1"/>
      <c r="C96" s="10" t="s">
        <v>495</v>
      </c>
      <c r="D96" s="46"/>
      <c r="E96" s="162"/>
      <c r="F96" s="162"/>
      <c r="G96" s="162"/>
      <c r="H96" s="162"/>
      <c r="I96" s="162"/>
      <c r="J96" s="162"/>
      <c r="K96" s="162"/>
      <c r="L96" s="162"/>
      <c r="M96" s="162"/>
      <c r="N96" s="162"/>
      <c r="O96" s="162"/>
      <c r="P96" s="162"/>
      <c r="Q96" s="162"/>
      <c r="R96" s="162"/>
      <c r="S96" s="162"/>
      <c r="T96" s="162"/>
      <c r="U96" s="162"/>
      <c r="V96" s="162"/>
      <c r="W96" s="162"/>
      <c r="X96" s="162"/>
      <c r="Y96" s="162"/>
      <c r="Z96" s="162"/>
      <c r="AA96" s="162"/>
      <c r="AB96" s="162"/>
      <c r="AC96" s="162"/>
      <c r="AD96" s="162"/>
      <c r="AE96" s="162"/>
      <c r="AF96" s="162"/>
      <c r="AG96" s="162"/>
      <c r="AH96" s="162"/>
      <c r="AI96" s="162"/>
      <c r="AJ96" s="162"/>
      <c r="AK96" s="162"/>
      <c r="AL96" s="162"/>
      <c r="AM96" s="162"/>
      <c r="AN96" s="162"/>
      <c r="AO96" s="162"/>
      <c r="AP96" s="162"/>
      <c r="AQ96" s="162"/>
      <c r="AR96" s="162"/>
      <c r="AS96" s="162"/>
      <c r="AT96" s="162"/>
      <c r="AU96" s="162"/>
      <c r="AV96" s="162"/>
      <c r="AW96" s="162"/>
      <c r="AX96" s="162"/>
      <c r="AY96" s="162"/>
      <c r="AZ96" s="162"/>
      <c r="BA96" s="162"/>
      <c r="BB96" s="162"/>
      <c r="BC96" s="162"/>
      <c r="BD96" s="162"/>
      <c r="BE96" s="162"/>
      <c r="BF96" s="162"/>
      <c r="BG96" s="162"/>
      <c r="BH96" s="162"/>
      <c r="BI96" s="162"/>
      <c r="BJ96" s="162"/>
      <c r="BK96" s="162"/>
      <c r="BL96" s="162"/>
    </row>
    <row r="97" spans="1:64" x14ac:dyDescent="0.35">
      <c r="A97" s="1"/>
      <c r="C97" s="10" t="s">
        <v>496</v>
      </c>
      <c r="D97" s="46"/>
      <c r="E97" s="162"/>
      <c r="F97" s="162"/>
      <c r="G97" s="162"/>
      <c r="H97" s="162"/>
      <c r="I97" s="162"/>
      <c r="J97" s="162"/>
      <c r="K97" s="162"/>
      <c r="L97" s="162"/>
      <c r="M97" s="162"/>
      <c r="N97" s="162"/>
      <c r="O97" s="162"/>
      <c r="P97" s="162"/>
      <c r="Q97" s="162"/>
      <c r="R97" s="162"/>
      <c r="S97" s="162"/>
      <c r="T97" s="162"/>
      <c r="U97" s="162"/>
      <c r="V97" s="162"/>
      <c r="W97" s="162"/>
      <c r="X97" s="162"/>
      <c r="Y97" s="162"/>
      <c r="Z97" s="162"/>
      <c r="AA97" s="162"/>
      <c r="AB97" s="162"/>
      <c r="AC97" s="162"/>
      <c r="AD97" s="162"/>
      <c r="AE97" s="162"/>
      <c r="AF97" s="162"/>
      <c r="AG97" s="162"/>
      <c r="AH97" s="162"/>
      <c r="AI97" s="162"/>
      <c r="AJ97" s="162"/>
      <c r="AK97" s="162"/>
      <c r="AL97" s="162"/>
      <c r="AM97" s="162"/>
      <c r="AN97" s="162"/>
      <c r="AO97" s="162"/>
      <c r="AP97" s="162"/>
      <c r="AQ97" s="162"/>
      <c r="AR97" s="162"/>
      <c r="AS97" s="162"/>
      <c r="AT97" s="162"/>
      <c r="AU97" s="162"/>
      <c r="AV97" s="162"/>
      <c r="AW97" s="162"/>
      <c r="AX97" s="162"/>
      <c r="AY97" s="162"/>
      <c r="AZ97" s="162"/>
      <c r="BA97" s="162"/>
      <c r="BB97" s="162"/>
      <c r="BC97" s="162"/>
      <c r="BD97" s="162"/>
      <c r="BE97" s="162"/>
      <c r="BF97" s="162"/>
      <c r="BG97" s="162"/>
      <c r="BH97" s="162"/>
      <c r="BI97" s="162"/>
      <c r="BJ97" s="162"/>
      <c r="BK97" s="162"/>
      <c r="BL97" s="162"/>
    </row>
    <row r="98" spans="1:64" x14ac:dyDescent="0.35">
      <c r="A98" s="1"/>
      <c r="C98" s="10" t="s">
        <v>497</v>
      </c>
      <c r="D98" s="46"/>
      <c r="E98" s="162"/>
      <c r="F98" s="162"/>
      <c r="G98" s="162"/>
      <c r="H98" s="162"/>
      <c r="I98" s="162"/>
      <c r="J98" s="162"/>
      <c r="K98" s="162"/>
      <c r="L98" s="162"/>
      <c r="M98" s="162"/>
      <c r="N98" s="162"/>
      <c r="O98" s="162"/>
      <c r="P98" s="162"/>
      <c r="Q98" s="162"/>
      <c r="R98" s="162"/>
      <c r="S98" s="162"/>
      <c r="T98" s="162"/>
      <c r="U98" s="162"/>
      <c r="V98" s="162"/>
      <c r="W98" s="162"/>
      <c r="X98" s="162"/>
      <c r="Y98" s="162"/>
      <c r="Z98" s="162"/>
      <c r="AA98" s="162"/>
      <c r="AB98" s="162"/>
      <c r="AC98" s="162"/>
      <c r="AD98" s="162"/>
      <c r="AE98" s="162"/>
      <c r="AF98" s="162"/>
      <c r="AG98" s="162"/>
      <c r="AH98" s="162"/>
      <c r="AI98" s="162"/>
      <c r="AJ98" s="162"/>
      <c r="AK98" s="162"/>
      <c r="AL98" s="162"/>
      <c r="AM98" s="162"/>
      <c r="AN98" s="162"/>
      <c r="AO98" s="162"/>
      <c r="AP98" s="162"/>
      <c r="AQ98" s="162"/>
      <c r="AR98" s="162"/>
      <c r="AS98" s="162"/>
      <c r="AT98" s="162"/>
      <c r="AU98" s="162"/>
      <c r="AV98" s="162"/>
      <c r="AW98" s="162"/>
      <c r="AX98" s="162"/>
      <c r="AY98" s="162"/>
      <c r="AZ98" s="162"/>
      <c r="BA98" s="162"/>
      <c r="BB98" s="162"/>
      <c r="BC98" s="162"/>
      <c r="BD98" s="162"/>
      <c r="BE98" s="162"/>
      <c r="BF98" s="162"/>
      <c r="BG98" s="162"/>
      <c r="BH98" s="162"/>
      <c r="BI98" s="162"/>
      <c r="BJ98" s="162"/>
      <c r="BK98" s="162"/>
      <c r="BL98" s="162"/>
    </row>
    <row r="99" spans="1:64" x14ac:dyDescent="0.35">
      <c r="A99" s="1"/>
      <c r="C99" s="10" t="s">
        <v>498</v>
      </c>
      <c r="D99" s="46"/>
      <c r="E99" s="162"/>
      <c r="F99" s="162"/>
      <c r="G99" s="162"/>
      <c r="H99" s="162"/>
      <c r="I99" s="162"/>
      <c r="J99" s="162"/>
      <c r="K99" s="162"/>
      <c r="L99" s="162"/>
      <c r="M99" s="162"/>
      <c r="N99" s="162"/>
      <c r="O99" s="162"/>
      <c r="P99" s="162"/>
      <c r="Q99" s="162"/>
      <c r="R99" s="162"/>
      <c r="S99" s="162"/>
      <c r="T99" s="162"/>
      <c r="U99" s="162"/>
      <c r="V99" s="162"/>
      <c r="W99" s="162"/>
      <c r="X99" s="162"/>
      <c r="Y99" s="162"/>
      <c r="Z99" s="162"/>
      <c r="AA99" s="162"/>
      <c r="AB99" s="162"/>
      <c r="AC99" s="162"/>
      <c r="AD99" s="162"/>
      <c r="AE99" s="162"/>
      <c r="AF99" s="162"/>
      <c r="AG99" s="162"/>
      <c r="AH99" s="162"/>
      <c r="AI99" s="162"/>
      <c r="AJ99" s="162"/>
      <c r="AK99" s="162"/>
      <c r="AL99" s="162"/>
      <c r="AM99" s="162"/>
      <c r="AN99" s="162"/>
      <c r="AO99" s="162"/>
      <c r="AP99" s="162"/>
      <c r="AQ99" s="162"/>
      <c r="AR99" s="162"/>
      <c r="AS99" s="162"/>
      <c r="AT99" s="162"/>
      <c r="AU99" s="162"/>
      <c r="AV99" s="162"/>
      <c r="AW99" s="162"/>
      <c r="AX99" s="162"/>
      <c r="AY99" s="162"/>
      <c r="AZ99" s="162"/>
      <c r="BA99" s="162"/>
      <c r="BB99" s="162"/>
      <c r="BC99" s="162"/>
      <c r="BD99" s="162"/>
      <c r="BE99" s="162"/>
      <c r="BF99" s="162"/>
      <c r="BG99" s="162"/>
      <c r="BH99" s="162"/>
      <c r="BI99" s="162"/>
      <c r="BJ99" s="162"/>
      <c r="BK99" s="162"/>
      <c r="BL99" s="162"/>
    </row>
    <row r="100" spans="1:64" x14ac:dyDescent="0.35">
      <c r="A100" s="1"/>
      <c r="C100" s="10" t="s">
        <v>499</v>
      </c>
      <c r="E100" s="46">
        <f>E94+E99</f>
        <v>-3.25</v>
      </c>
      <c r="F100" s="46">
        <f t="shared" ref="F100:BL100" ca="1" si="31">F94+F99</f>
        <v>1.1424951734673527</v>
      </c>
      <c r="G100" s="46">
        <f t="shared" ca="1" si="31"/>
        <v>5.6744089038733705</v>
      </c>
      <c r="H100" s="46">
        <f t="shared" ca="1" si="31"/>
        <v>10.349670747805561</v>
      </c>
      <c r="I100" s="46">
        <f t="shared" ca="1" si="31"/>
        <v>15.17231516215611</v>
      </c>
      <c r="J100" s="46">
        <f t="shared" ca="1" si="31"/>
        <v>20.146484226550257</v>
      </c>
      <c r="K100" s="46">
        <f t="shared" ca="1" si="31"/>
        <v>25.276430435334348</v>
      </c>
      <c r="L100" s="46">
        <f t="shared" ca="1" si="31"/>
        <v>30.566519560884842</v>
      </c>
      <c r="M100" s="46">
        <f t="shared" ca="1" si="31"/>
        <v>27.469864939693139</v>
      </c>
      <c r="N100" s="46">
        <f t="shared" ca="1" si="31"/>
        <v>33.100940135166752</v>
      </c>
      <c r="O100" s="46">
        <f t="shared" ca="1" si="31"/>
        <v>36.995441144242307</v>
      </c>
      <c r="P100" s="46">
        <f t="shared" ca="1" si="31"/>
        <v>40.981574439327346</v>
      </c>
      <c r="Q100" s="46">
        <f t="shared" ca="1" si="31"/>
        <v>45.061295763202281</v>
      </c>
      <c r="R100" s="46">
        <f t="shared" ca="1" si="31"/>
        <v>49.236600366812837</v>
      </c>
      <c r="S100" s="46">
        <f t="shared" ca="1" si="31"/>
        <v>53.509523779902906</v>
      </c>
      <c r="T100" s="46">
        <f t="shared" ca="1" si="31"/>
        <v>57.882142596322097</v>
      </c>
      <c r="U100" s="46">
        <f t="shared" ca="1" si="31"/>
        <v>62.356575274282704</v>
      </c>
      <c r="V100" s="46">
        <f t="shared" ca="1" si="31"/>
        <v>66.934982951845456</v>
      </c>
      <c r="W100" s="46">
        <f t="shared" ca="1" si="31"/>
        <v>64.773026699953448</v>
      </c>
      <c r="X100" s="46">
        <f t="shared" ca="1" si="31"/>
        <v>69.643374002582391</v>
      </c>
      <c r="Y100" s="46">
        <f t="shared" ca="1" si="31"/>
        <v>74.634751552793318</v>
      </c>
      <c r="Z100" s="46">
        <f t="shared" ca="1" si="31"/>
        <v>79.74993430506089</v>
      </c>
      <c r="AA100" s="46">
        <f t="shared" ca="1" si="31"/>
        <v>84.991758028191981</v>
      </c>
      <c r="AB100" s="46">
        <f t="shared" ca="1" si="31"/>
        <v>90.363120601341137</v>
      </c>
      <c r="AC100" s="46">
        <f t="shared" ca="1" si="31"/>
        <v>95.866983337142045</v>
      </c>
      <c r="AD100" s="46">
        <f t="shared" ca="1" si="31"/>
        <v>101.50637233251561</v>
      </c>
      <c r="AE100" s="46">
        <f t="shared" ca="1" si="31"/>
        <v>107.28437984772609</v>
      </c>
      <c r="AF100" s="46">
        <f t="shared" ca="1" si="31"/>
        <v>113.20416571426915</v>
      </c>
      <c r="AG100" s="46">
        <f t="shared" ca="1" si="31"/>
        <v>119.26895877218692</v>
      </c>
      <c r="AH100" s="46">
        <f t="shared" ca="1" si="31"/>
        <v>125.48205833741753</v>
      </c>
      <c r="AI100" s="46">
        <f t="shared" ca="1" si="31"/>
        <v>131.84683569979958</v>
      </c>
      <c r="AJ100" s="46">
        <f t="shared" ca="1" si="31"/>
        <v>138.36673565236376</v>
      </c>
      <c r="AK100" s="46">
        <f t="shared" ca="1" si="31"/>
        <v>145.04527805255776</v>
      </c>
      <c r="AL100" s="46">
        <f t="shared" ca="1" si="31"/>
        <v>151.88605941606284</v>
      </c>
      <c r="AM100" s="46">
        <f t="shared" ca="1" si="31"/>
        <v>158.89275454387484</v>
      </c>
      <c r="AN100" s="46">
        <f t="shared" ca="1" si="31"/>
        <v>166.06911818333543</v>
      </c>
      <c r="AO100" s="46">
        <f t="shared" ca="1" si="31"/>
        <v>173.41898672381399</v>
      </c>
      <c r="AP100" s="46">
        <f t="shared" ca="1" si="31"/>
        <v>180.94627992775429</v>
      </c>
      <c r="AQ100" s="46">
        <f t="shared" ca="1" si="31"/>
        <v>188.65500269781529</v>
      </c>
      <c r="AR100" s="46">
        <f t="shared" ca="1" si="31"/>
        <v>196.54924688085015</v>
      </c>
      <c r="AS100" s="46">
        <f t="shared" ca="1" si="31"/>
        <v>204.63319310948185</v>
      </c>
      <c r="AT100" s="46">
        <f t="shared" ca="1" si="31"/>
        <v>209.20269100612404</v>
      </c>
      <c r="AU100" s="46">
        <f t="shared" ca="1" si="31"/>
        <v>213.8407313712159</v>
      </c>
      <c r="AV100" s="46">
        <f t="shared" ca="1" si="31"/>
        <v>218.54834234178412</v>
      </c>
      <c r="AW100" s="46">
        <f t="shared" ca="1" si="31"/>
        <v>223.32656747691084</v>
      </c>
      <c r="AX100" s="46">
        <f t="shared" ca="1" si="31"/>
        <v>228.17646598906447</v>
      </c>
      <c r="AY100" s="46">
        <f t="shared" ca="1" si="31"/>
        <v>233.09911297890039</v>
      </c>
      <c r="AZ100" s="46">
        <f t="shared" ca="1" si="31"/>
        <v>238.09559967358388</v>
      </c>
      <c r="BA100" s="46">
        <f t="shared" ca="1" si="31"/>
        <v>243.16703366868762</v>
      </c>
      <c r="BB100" s="46">
        <f t="shared" ca="1" si="31"/>
        <v>248.31453917371789</v>
      </c>
      <c r="BC100" s="46">
        <f t="shared" ca="1" si="31"/>
        <v>253.5392572613236</v>
      </c>
      <c r="BD100" s="46">
        <f t="shared" ca="1" si="31"/>
        <v>258.84234612024341</v>
      </c>
      <c r="BE100" s="46">
        <f t="shared" ca="1" si="31"/>
        <v>264.22498131204702</v>
      </c>
      <c r="BF100" s="46">
        <f t="shared" ca="1" si="31"/>
        <v>269.68835603172766</v>
      </c>
      <c r="BG100" s="46">
        <f t="shared" ca="1" si="31"/>
        <v>275.23368137220353</v>
      </c>
      <c r="BH100" s="46">
        <f t="shared" ca="1" si="31"/>
        <v>280.86218659278654</v>
      </c>
      <c r="BI100" s="46">
        <f t="shared" ca="1" si="31"/>
        <v>286.5751193916783</v>
      </c>
      <c r="BJ100" s="46">
        <f t="shared" ca="1" si="31"/>
        <v>292.37374618255342</v>
      </c>
      <c r="BK100" s="46">
        <f t="shared" ca="1" si="31"/>
        <v>298.25935237529166</v>
      </c>
      <c r="BL100" s="46">
        <f t="shared" ca="1" si="31"/>
        <v>304.23324266092101</v>
      </c>
    </row>
    <row r="101" spans="1:64" x14ac:dyDescent="0.35">
      <c r="A101" s="1"/>
      <c r="C101" s="2" t="s">
        <v>413</v>
      </c>
      <c r="D101" s="12">
        <f>D36</f>
        <v>0.3</v>
      </c>
      <c r="E101" s="4">
        <f>$D$101*E100</f>
        <v>-0.97499999999999998</v>
      </c>
      <c r="F101" s="4">
        <f t="shared" ref="F101:BL101" ca="1" si="32">$D$101*F100</f>
        <v>0.34274855204020582</v>
      </c>
      <c r="G101" s="4">
        <f t="shared" ca="1" si="32"/>
        <v>1.7023226711620112</v>
      </c>
      <c r="H101" s="4">
        <f t="shared" ca="1" si="32"/>
        <v>3.1049012243416683</v>
      </c>
      <c r="I101" s="4">
        <f t="shared" ca="1" si="32"/>
        <v>4.5516945486468332</v>
      </c>
      <c r="J101" s="4">
        <f t="shared" ca="1" si="32"/>
        <v>6.0439452679650767</v>
      </c>
      <c r="K101" s="4">
        <f t="shared" ca="1" si="32"/>
        <v>7.5829291306003039</v>
      </c>
      <c r="L101" s="4">
        <f t="shared" ca="1" si="32"/>
        <v>9.1699558682654523</v>
      </c>
      <c r="M101" s="4">
        <f t="shared" ca="1" si="32"/>
        <v>8.2409594819079413</v>
      </c>
      <c r="N101" s="4">
        <f t="shared" ca="1" si="32"/>
        <v>9.9302820405500256</v>
      </c>
      <c r="O101" s="4">
        <f t="shared" ca="1" si="32"/>
        <v>11.098632343272692</v>
      </c>
      <c r="P101" s="4">
        <f t="shared" ca="1" si="32"/>
        <v>12.294472331798204</v>
      </c>
      <c r="Q101" s="4">
        <f t="shared" ca="1" si="32"/>
        <v>13.518388728960684</v>
      </c>
      <c r="R101" s="4">
        <f t="shared" ca="1" si="32"/>
        <v>14.770980110043851</v>
      </c>
      <c r="S101" s="4">
        <f t="shared" ca="1" si="32"/>
        <v>16.052857133970871</v>
      </c>
      <c r="T101" s="4">
        <f t="shared" ca="1" si="32"/>
        <v>17.364642778896627</v>
      </c>
      <c r="U101" s="4">
        <f t="shared" ca="1" si="32"/>
        <v>18.706972582284809</v>
      </c>
      <c r="V101" s="4">
        <f t="shared" ca="1" si="32"/>
        <v>20.080494885553637</v>
      </c>
      <c r="W101" s="4">
        <f t="shared" ca="1" si="32"/>
        <v>19.431908009986035</v>
      </c>
      <c r="X101" s="4">
        <f t="shared" ca="1" si="32"/>
        <v>20.893012200774717</v>
      </c>
      <c r="Y101" s="4">
        <f t="shared" ca="1" si="32"/>
        <v>22.390425465837996</v>
      </c>
      <c r="Z101" s="4">
        <f t="shared" ca="1" si="32"/>
        <v>23.924980291518267</v>
      </c>
      <c r="AA101" s="4">
        <f t="shared" ca="1" si="32"/>
        <v>25.497527408457593</v>
      </c>
      <c r="AB101" s="4">
        <f t="shared" ca="1" si="32"/>
        <v>27.108936180402342</v>
      </c>
      <c r="AC101" s="4">
        <f t="shared" ca="1" si="32"/>
        <v>28.760095001142613</v>
      </c>
      <c r="AD101" s="4">
        <f t="shared" ca="1" si="32"/>
        <v>30.451911699754682</v>
      </c>
      <c r="AE101" s="4">
        <f t="shared" ca="1" si="32"/>
        <v>32.185313954317827</v>
      </c>
      <c r="AF101" s="4">
        <f t="shared" ca="1" si="32"/>
        <v>33.961249714280747</v>
      </c>
      <c r="AG101" s="4">
        <f t="shared" ca="1" si="32"/>
        <v>35.780687631656072</v>
      </c>
      <c r="AH101" s="4">
        <f t="shared" ca="1" si="32"/>
        <v>37.644617501225255</v>
      </c>
      <c r="AI101" s="4">
        <f t="shared" ca="1" si="32"/>
        <v>39.554050709939872</v>
      </c>
      <c r="AJ101" s="4">
        <f t="shared" ca="1" si="32"/>
        <v>41.510020695709123</v>
      </c>
      <c r="AK101" s="4">
        <f t="shared" ca="1" si="32"/>
        <v>43.513583415767329</v>
      </c>
      <c r="AL101" s="4">
        <f t="shared" ca="1" si="32"/>
        <v>45.565817824818851</v>
      </c>
      <c r="AM101" s="4">
        <f t="shared" ca="1" si="32"/>
        <v>47.667826363162455</v>
      </c>
      <c r="AN101" s="4">
        <f t="shared" ca="1" si="32"/>
        <v>49.82073545500063</v>
      </c>
      <c r="AO101" s="4">
        <f t="shared" ca="1" si="32"/>
        <v>52.025696017144192</v>
      </c>
      <c r="AP101" s="4">
        <f t="shared" ca="1" si="32"/>
        <v>54.283883978326287</v>
      </c>
      <c r="AQ101" s="4">
        <f t="shared" ca="1" si="32"/>
        <v>56.596500809344583</v>
      </c>
      <c r="AR101" s="4">
        <f t="shared" ca="1" si="32"/>
        <v>58.964774064255039</v>
      </c>
      <c r="AS101" s="4">
        <f t="shared" ca="1" si="32"/>
        <v>61.389957932844553</v>
      </c>
      <c r="AT101" s="4">
        <f t="shared" ca="1" si="32"/>
        <v>62.760807301837211</v>
      </c>
      <c r="AU101" s="4">
        <f t="shared" ca="1" si="32"/>
        <v>64.152219411364769</v>
      </c>
      <c r="AV101" s="4">
        <f t="shared" ca="1" si="32"/>
        <v>65.564502702535236</v>
      </c>
      <c r="AW101" s="4">
        <f t="shared" ca="1" si="32"/>
        <v>66.997970243073254</v>
      </c>
      <c r="AX101" s="4">
        <f t="shared" ca="1" si="32"/>
        <v>68.452939796719335</v>
      </c>
      <c r="AY101" s="4">
        <f t="shared" ca="1" si="32"/>
        <v>69.929733893670118</v>
      </c>
      <c r="AZ101" s="4">
        <f t="shared" ca="1" si="32"/>
        <v>71.42867990207516</v>
      </c>
      <c r="BA101" s="4">
        <f t="shared" ca="1" si="32"/>
        <v>72.950110100606281</v>
      </c>
      <c r="BB101" s="4">
        <f t="shared" ca="1" si="32"/>
        <v>74.494361752115367</v>
      </c>
      <c r="BC101" s="4">
        <f t="shared" ca="1" si="32"/>
        <v>76.06177717839708</v>
      </c>
      <c r="BD101" s="4">
        <f t="shared" ca="1" si="32"/>
        <v>77.652703836073016</v>
      </c>
      <c r="BE101" s="4">
        <f t="shared" ca="1" si="32"/>
        <v>79.267494393614101</v>
      </c>
      <c r="BF101" s="4">
        <f t="shared" ca="1" si="32"/>
        <v>80.906506809518291</v>
      </c>
      <c r="BG101" s="4">
        <f t="shared" ca="1" si="32"/>
        <v>82.570104411661063</v>
      </c>
      <c r="BH101" s="4">
        <f t="shared" ca="1" si="32"/>
        <v>84.258655977835957</v>
      </c>
      <c r="BI101" s="4">
        <f t="shared" ca="1" si="32"/>
        <v>85.972535817503484</v>
      </c>
      <c r="BJ101" s="4">
        <f t="shared" ca="1" si="32"/>
        <v>87.71212385476602</v>
      </c>
      <c r="BK101" s="4">
        <f t="shared" ca="1" si="32"/>
        <v>89.477805712587497</v>
      </c>
      <c r="BL101" s="4">
        <f t="shared" ca="1" si="32"/>
        <v>91.269972798276299</v>
      </c>
    </row>
    <row r="102" spans="1:64" x14ac:dyDescent="0.35">
      <c r="A102" s="1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/>
      <c r="BF102" s="4"/>
      <c r="BG102" s="4"/>
      <c r="BH102" s="4"/>
      <c r="BI102" s="4"/>
      <c r="BJ102" s="4"/>
      <c r="BK102" s="4"/>
      <c r="BL102" s="4"/>
    </row>
    <row r="103" spans="1:64" x14ac:dyDescent="0.35">
      <c r="A103" s="1"/>
      <c r="B103" s="2" t="s">
        <v>209</v>
      </c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/>
      <c r="BF103" s="4"/>
      <c r="BG103" s="4"/>
      <c r="BH103" s="4"/>
      <c r="BI103" s="4"/>
      <c r="BJ103" s="4"/>
      <c r="BK103" s="4"/>
      <c r="BL103" s="4"/>
    </row>
    <row r="104" spans="1:64" x14ac:dyDescent="0.35">
      <c r="A104" s="1"/>
      <c r="C104" s="2" t="s">
        <v>83</v>
      </c>
      <c r="E104" s="61"/>
      <c r="F104" s="61"/>
      <c r="G104" s="61"/>
      <c r="H104" s="61"/>
      <c r="I104" s="61"/>
      <c r="J104" s="61"/>
      <c r="K104" s="61"/>
      <c r="L104" s="61"/>
      <c r="M104" s="61"/>
      <c r="N104" s="61"/>
      <c r="O104" s="61"/>
      <c r="P104" s="61"/>
      <c r="Q104" s="61"/>
      <c r="R104" s="61"/>
      <c r="S104" s="61"/>
      <c r="T104" s="61"/>
      <c r="U104" s="61"/>
      <c r="V104" s="61"/>
      <c r="W104" s="61"/>
      <c r="X104" s="61"/>
      <c r="Y104" s="61"/>
      <c r="Z104" s="61"/>
      <c r="AA104" s="61"/>
      <c r="AB104" s="61"/>
      <c r="AC104" s="61"/>
      <c r="AD104" s="61"/>
      <c r="AE104" s="61"/>
      <c r="AF104" s="61"/>
      <c r="AG104" s="61"/>
      <c r="AH104" s="61"/>
      <c r="AI104" s="61"/>
      <c r="AJ104" s="61"/>
      <c r="AK104" s="61"/>
      <c r="AL104" s="61"/>
      <c r="AM104" s="61"/>
      <c r="AN104" s="61"/>
      <c r="AO104" s="61"/>
      <c r="AP104" s="61"/>
      <c r="AQ104" s="61"/>
      <c r="AR104" s="61"/>
      <c r="AS104" s="61"/>
      <c r="AT104" s="61"/>
      <c r="AU104" s="61"/>
      <c r="AV104" s="61"/>
      <c r="AW104" s="61"/>
      <c r="AX104" s="61"/>
      <c r="AY104" s="61"/>
      <c r="AZ104" s="61"/>
      <c r="BA104" s="61"/>
      <c r="BB104" s="61"/>
      <c r="BC104" s="61"/>
      <c r="BD104" s="61"/>
      <c r="BE104" s="61"/>
      <c r="BF104" s="61"/>
      <c r="BG104" s="61"/>
      <c r="BH104" s="61"/>
      <c r="BI104" s="61"/>
      <c r="BJ104" s="61"/>
      <c r="BK104" s="61"/>
      <c r="BL104" s="61"/>
    </row>
    <row r="105" spans="1:64" x14ac:dyDescent="0.35">
      <c r="A105" s="1"/>
      <c r="C105" s="2" t="s">
        <v>148</v>
      </c>
      <c r="E105" s="61"/>
      <c r="F105" s="61"/>
      <c r="G105" s="61"/>
      <c r="H105" s="61"/>
      <c r="I105" s="61"/>
      <c r="J105" s="61"/>
      <c r="K105" s="61"/>
      <c r="L105" s="61"/>
      <c r="M105" s="61"/>
      <c r="N105" s="61"/>
      <c r="O105" s="61"/>
      <c r="P105" s="61"/>
      <c r="Q105" s="61"/>
      <c r="R105" s="61"/>
      <c r="S105" s="61"/>
      <c r="T105" s="61"/>
      <c r="U105" s="61"/>
      <c r="V105" s="61"/>
      <c r="W105" s="61"/>
      <c r="X105" s="61"/>
      <c r="Y105" s="61"/>
      <c r="Z105" s="61"/>
      <c r="AA105" s="61"/>
      <c r="AB105" s="61"/>
      <c r="AC105" s="61"/>
      <c r="AD105" s="61"/>
      <c r="AE105" s="61"/>
      <c r="AF105" s="61"/>
      <c r="AG105" s="61"/>
      <c r="AH105" s="61"/>
      <c r="AI105" s="61"/>
      <c r="AJ105" s="61"/>
      <c r="AK105" s="61"/>
      <c r="AL105" s="61"/>
      <c r="AM105" s="61"/>
      <c r="AN105" s="61"/>
      <c r="AO105" s="61"/>
      <c r="AP105" s="61"/>
      <c r="AQ105" s="61"/>
      <c r="AR105" s="61"/>
      <c r="AS105" s="61"/>
      <c r="AT105" s="61"/>
      <c r="AU105" s="61"/>
      <c r="AV105" s="61"/>
      <c r="AW105" s="61"/>
      <c r="AX105" s="61"/>
      <c r="AY105" s="61"/>
      <c r="AZ105" s="61"/>
      <c r="BA105" s="61"/>
      <c r="BB105" s="61"/>
      <c r="BC105" s="61"/>
      <c r="BD105" s="61"/>
      <c r="BE105" s="61"/>
      <c r="BF105" s="61"/>
      <c r="BG105" s="61"/>
      <c r="BH105" s="61"/>
      <c r="BI105" s="61"/>
      <c r="BJ105" s="61"/>
      <c r="BK105" s="61"/>
      <c r="BL105" s="61"/>
    </row>
    <row r="106" spans="1:64" x14ac:dyDescent="0.35">
      <c r="C106" s="2" t="s">
        <v>3</v>
      </c>
      <c r="E106" s="61"/>
      <c r="F106" s="61"/>
      <c r="G106" s="61"/>
      <c r="H106" s="61"/>
      <c r="I106" s="61"/>
      <c r="J106" s="61"/>
      <c r="K106" s="61"/>
      <c r="L106" s="61"/>
      <c r="M106" s="61"/>
      <c r="N106" s="61"/>
      <c r="O106" s="61"/>
      <c r="P106" s="61"/>
      <c r="Q106" s="61"/>
      <c r="R106" s="61"/>
      <c r="S106" s="61"/>
      <c r="T106" s="61"/>
      <c r="U106" s="61"/>
      <c r="V106" s="61"/>
      <c r="W106" s="61"/>
      <c r="X106" s="61"/>
      <c r="Y106" s="61"/>
      <c r="Z106" s="61"/>
      <c r="AA106" s="61"/>
      <c r="AB106" s="61"/>
      <c r="AC106" s="61"/>
      <c r="AD106" s="61"/>
      <c r="AE106" s="61"/>
      <c r="AF106" s="61"/>
      <c r="AG106" s="61"/>
      <c r="AH106" s="61"/>
      <c r="AI106" s="61"/>
      <c r="AJ106" s="61"/>
      <c r="AK106" s="61"/>
      <c r="AL106" s="61"/>
      <c r="AM106" s="61"/>
      <c r="AN106" s="61"/>
      <c r="AO106" s="61"/>
      <c r="AP106" s="61"/>
      <c r="AQ106" s="61"/>
      <c r="AR106" s="61"/>
      <c r="AS106" s="61"/>
      <c r="AT106" s="61"/>
      <c r="AU106" s="61"/>
      <c r="AV106" s="61"/>
      <c r="AW106" s="61"/>
      <c r="AX106" s="61"/>
      <c r="AY106" s="61"/>
      <c r="AZ106" s="61"/>
      <c r="BA106" s="61"/>
      <c r="BB106" s="61"/>
      <c r="BC106" s="61"/>
      <c r="BD106" s="61"/>
      <c r="BE106" s="61"/>
      <c r="BF106" s="61"/>
      <c r="BG106" s="61"/>
      <c r="BH106" s="61"/>
      <c r="BI106" s="61"/>
      <c r="BJ106" s="61"/>
      <c r="BK106" s="61"/>
      <c r="BL106" s="61"/>
    </row>
    <row r="107" spans="1:64" x14ac:dyDescent="0.35">
      <c r="C107" s="2" t="s">
        <v>171</v>
      </c>
      <c r="D107" s="4"/>
      <c r="E107" s="61"/>
      <c r="F107" s="61"/>
      <c r="G107" s="61"/>
      <c r="H107" s="61"/>
      <c r="I107" s="61"/>
      <c r="J107" s="61"/>
      <c r="K107" s="61"/>
      <c r="L107" s="61"/>
      <c r="M107" s="61"/>
      <c r="N107" s="61"/>
      <c r="O107" s="61"/>
      <c r="P107" s="61"/>
      <c r="Q107" s="61"/>
      <c r="R107" s="61"/>
      <c r="S107" s="61"/>
      <c r="T107" s="61"/>
      <c r="U107" s="61"/>
      <c r="V107" s="61"/>
      <c r="W107" s="61"/>
      <c r="X107" s="61"/>
      <c r="Y107" s="61"/>
      <c r="Z107" s="61"/>
      <c r="AA107" s="61"/>
      <c r="AB107" s="61"/>
      <c r="AC107" s="61"/>
      <c r="AD107" s="61"/>
      <c r="AE107" s="61"/>
      <c r="AF107" s="61"/>
      <c r="AG107" s="61"/>
      <c r="AH107" s="61"/>
      <c r="AI107" s="61"/>
      <c r="AJ107" s="61"/>
      <c r="AK107" s="61"/>
      <c r="AL107" s="61"/>
      <c r="AM107" s="61"/>
      <c r="AN107" s="61"/>
      <c r="AO107" s="61"/>
      <c r="AP107" s="61"/>
      <c r="AQ107" s="61"/>
      <c r="AR107" s="61"/>
      <c r="AS107" s="61"/>
      <c r="AT107" s="61"/>
      <c r="AU107" s="61"/>
      <c r="AV107" s="61"/>
      <c r="AW107" s="61"/>
      <c r="AX107" s="61"/>
      <c r="AY107" s="61"/>
      <c r="AZ107" s="61"/>
      <c r="BA107" s="61"/>
      <c r="BB107" s="61"/>
      <c r="BC107" s="61"/>
      <c r="BD107" s="61"/>
      <c r="BE107" s="61"/>
      <c r="BF107" s="61"/>
      <c r="BG107" s="61"/>
      <c r="BH107" s="61"/>
      <c r="BI107" s="61"/>
      <c r="BJ107" s="61"/>
      <c r="BK107" s="61"/>
      <c r="BL107" s="61"/>
    </row>
    <row r="108" spans="1:64" x14ac:dyDescent="0.35">
      <c r="C108" s="2" t="s">
        <v>350</v>
      </c>
      <c r="D108" s="4"/>
      <c r="E108" s="61"/>
      <c r="F108" s="61"/>
      <c r="G108" s="61"/>
      <c r="H108" s="61"/>
      <c r="I108" s="61"/>
      <c r="J108" s="61"/>
      <c r="K108" s="61"/>
      <c r="L108" s="61"/>
      <c r="M108" s="61"/>
      <c r="N108" s="61"/>
      <c r="O108" s="61"/>
      <c r="P108" s="61"/>
      <c r="Q108" s="61"/>
      <c r="R108" s="61"/>
      <c r="S108" s="61"/>
      <c r="T108" s="61"/>
      <c r="U108" s="61"/>
      <c r="V108" s="61"/>
      <c r="W108" s="61"/>
      <c r="X108" s="61"/>
      <c r="Y108" s="61"/>
      <c r="Z108" s="61"/>
      <c r="AA108" s="61"/>
      <c r="AB108" s="61"/>
      <c r="AC108" s="61"/>
      <c r="AD108" s="61"/>
      <c r="AE108" s="61"/>
      <c r="AF108" s="61"/>
      <c r="AG108" s="61"/>
      <c r="AH108" s="61"/>
      <c r="AI108" s="61"/>
      <c r="AJ108" s="61"/>
      <c r="AK108" s="61"/>
      <c r="AL108" s="61"/>
      <c r="AM108" s="61"/>
      <c r="AN108" s="61"/>
      <c r="AO108" s="61"/>
      <c r="AP108" s="61"/>
      <c r="AQ108" s="61"/>
      <c r="AR108" s="61"/>
      <c r="AS108" s="61"/>
      <c r="AT108" s="61"/>
      <c r="AU108" s="61"/>
      <c r="AV108" s="61"/>
      <c r="AW108" s="61"/>
      <c r="AX108" s="61"/>
      <c r="AY108" s="61"/>
      <c r="AZ108" s="61"/>
      <c r="BA108" s="61"/>
      <c r="BB108" s="61"/>
      <c r="BC108" s="61"/>
      <c r="BD108" s="61"/>
      <c r="BE108" s="61"/>
      <c r="BF108" s="61"/>
      <c r="BG108" s="61"/>
      <c r="BH108" s="61"/>
      <c r="BI108" s="61"/>
      <c r="BJ108" s="61"/>
      <c r="BK108" s="61"/>
      <c r="BL108" s="61"/>
    </row>
    <row r="109" spans="1:64" x14ac:dyDescent="0.35">
      <c r="C109" s="2" t="s">
        <v>450</v>
      </c>
      <c r="D109" s="4"/>
      <c r="E109" s="61"/>
      <c r="F109" s="61"/>
      <c r="G109" s="61"/>
      <c r="H109" s="61"/>
      <c r="I109" s="61"/>
      <c r="J109" s="61"/>
      <c r="K109" s="61"/>
      <c r="L109" s="61"/>
      <c r="M109" s="61"/>
      <c r="N109" s="61"/>
      <c r="O109" s="61"/>
      <c r="P109" s="61"/>
      <c r="Q109" s="61"/>
      <c r="R109" s="61"/>
      <c r="S109" s="61"/>
      <c r="T109" s="61"/>
      <c r="U109" s="61"/>
      <c r="V109" s="61"/>
      <c r="W109" s="61"/>
      <c r="X109" s="61"/>
      <c r="Y109" s="61"/>
      <c r="Z109" s="61"/>
      <c r="AA109" s="61"/>
      <c r="AB109" s="61"/>
      <c r="AC109" s="61"/>
      <c r="AD109" s="61"/>
      <c r="AE109" s="61"/>
      <c r="AF109" s="61"/>
      <c r="AG109" s="61"/>
      <c r="AH109" s="61"/>
      <c r="AI109" s="61"/>
      <c r="AJ109" s="61"/>
      <c r="AK109" s="61"/>
      <c r="AL109" s="61"/>
      <c r="AM109" s="61"/>
      <c r="AN109" s="61"/>
      <c r="AO109" s="61"/>
      <c r="AP109" s="61"/>
      <c r="AQ109" s="61"/>
      <c r="AR109" s="61"/>
      <c r="AS109" s="61"/>
      <c r="AT109" s="61"/>
      <c r="AU109" s="61"/>
      <c r="AV109" s="61"/>
      <c r="AW109" s="61"/>
      <c r="AX109" s="61"/>
      <c r="AY109" s="61"/>
      <c r="AZ109" s="61"/>
      <c r="BA109" s="61"/>
      <c r="BB109" s="61"/>
      <c r="BC109" s="61"/>
      <c r="BD109" s="61"/>
      <c r="BE109" s="61"/>
      <c r="BF109" s="61"/>
      <c r="BG109" s="61"/>
      <c r="BH109" s="61"/>
      <c r="BI109" s="61"/>
      <c r="BJ109" s="61"/>
      <c r="BK109" s="61"/>
      <c r="BL109" s="61"/>
    </row>
    <row r="110" spans="1:64" x14ac:dyDescent="0.35">
      <c r="C110" s="2" t="s">
        <v>201</v>
      </c>
      <c r="D110" s="4"/>
      <c r="E110" s="61"/>
      <c r="F110" s="61"/>
      <c r="G110" s="61"/>
      <c r="H110" s="61"/>
      <c r="I110" s="61"/>
      <c r="J110" s="61"/>
      <c r="K110" s="61"/>
      <c r="L110" s="61"/>
      <c r="M110" s="61"/>
      <c r="N110" s="61"/>
      <c r="O110" s="61"/>
      <c r="P110" s="61"/>
      <c r="Q110" s="61"/>
      <c r="R110" s="61"/>
      <c r="S110" s="61"/>
      <c r="T110" s="61"/>
      <c r="U110" s="61"/>
      <c r="V110" s="61"/>
      <c r="W110" s="61"/>
      <c r="X110" s="61"/>
      <c r="Y110" s="61"/>
      <c r="Z110" s="61"/>
      <c r="AA110" s="61"/>
      <c r="AB110" s="61"/>
      <c r="AC110" s="61"/>
      <c r="AD110" s="61"/>
      <c r="AE110" s="61"/>
      <c r="AF110" s="61"/>
      <c r="AG110" s="61"/>
      <c r="AH110" s="61"/>
      <c r="AI110" s="61"/>
      <c r="AJ110" s="61"/>
      <c r="AK110" s="61"/>
      <c r="AL110" s="61"/>
      <c r="AM110" s="61"/>
      <c r="AN110" s="61"/>
      <c r="AO110" s="61"/>
      <c r="AP110" s="61"/>
      <c r="AQ110" s="61"/>
      <c r="AR110" s="61"/>
      <c r="AS110" s="61"/>
      <c r="AT110" s="61"/>
      <c r="AU110" s="61"/>
      <c r="AV110" s="61"/>
      <c r="AW110" s="61"/>
      <c r="AX110" s="61"/>
      <c r="AY110" s="61"/>
      <c r="AZ110" s="61"/>
      <c r="BA110" s="61"/>
      <c r="BB110" s="61"/>
      <c r="BC110" s="61"/>
      <c r="BD110" s="61"/>
      <c r="BE110" s="61"/>
      <c r="BF110" s="61"/>
      <c r="BG110" s="61"/>
      <c r="BH110" s="61"/>
      <c r="BI110" s="61"/>
      <c r="BJ110" s="61"/>
      <c r="BK110" s="61"/>
      <c r="BL110" s="60"/>
    </row>
    <row r="111" spans="1:64" x14ac:dyDescent="0.35">
      <c r="A111" s="1"/>
      <c r="C111" s="2" t="s">
        <v>451</v>
      </c>
      <c r="E111" s="61"/>
      <c r="F111" s="61"/>
      <c r="G111" s="61"/>
      <c r="H111" s="61"/>
      <c r="I111" s="61"/>
      <c r="J111" s="61"/>
      <c r="K111" s="61"/>
      <c r="L111" s="61"/>
      <c r="M111" s="61"/>
      <c r="N111" s="61"/>
      <c r="O111" s="61"/>
      <c r="P111" s="61"/>
      <c r="Q111" s="61"/>
      <c r="R111" s="61"/>
      <c r="S111" s="61"/>
      <c r="T111" s="61"/>
      <c r="U111" s="61"/>
      <c r="V111" s="61"/>
      <c r="W111" s="61"/>
      <c r="X111" s="61"/>
      <c r="Y111" s="61"/>
      <c r="Z111" s="61"/>
      <c r="AA111" s="61"/>
      <c r="AB111" s="61"/>
      <c r="AC111" s="61"/>
      <c r="AD111" s="61"/>
      <c r="AE111" s="61"/>
      <c r="AF111" s="61"/>
      <c r="AG111" s="61"/>
      <c r="AH111" s="61"/>
      <c r="AI111" s="61"/>
      <c r="AJ111" s="61"/>
      <c r="AK111" s="61"/>
      <c r="AL111" s="61"/>
      <c r="AM111" s="61"/>
      <c r="AN111" s="61"/>
      <c r="AO111" s="61"/>
      <c r="AP111" s="61"/>
      <c r="AQ111" s="61"/>
      <c r="AR111" s="61"/>
      <c r="AS111" s="61"/>
      <c r="AT111" s="61"/>
      <c r="AU111" s="61"/>
      <c r="AV111" s="61"/>
      <c r="AW111" s="61"/>
      <c r="AX111" s="61"/>
      <c r="AY111" s="61"/>
      <c r="AZ111" s="61"/>
      <c r="BA111" s="61"/>
      <c r="BB111" s="61"/>
      <c r="BC111" s="61"/>
      <c r="BD111" s="61"/>
      <c r="BE111" s="61"/>
      <c r="BF111" s="61"/>
      <c r="BG111" s="61"/>
      <c r="BH111" s="61"/>
      <c r="BI111" s="61"/>
      <c r="BJ111" s="61"/>
      <c r="BK111" s="61"/>
      <c r="BL111" s="61"/>
    </row>
    <row r="112" spans="1:64" x14ac:dyDescent="0.35">
      <c r="A112" s="1"/>
      <c r="C112" s="2" t="s">
        <v>452</v>
      </c>
      <c r="E112" s="61"/>
      <c r="F112" s="61"/>
      <c r="G112" s="61"/>
      <c r="H112" s="61"/>
      <c r="I112" s="61"/>
      <c r="J112" s="61"/>
      <c r="K112" s="61"/>
      <c r="L112" s="61"/>
      <c r="M112" s="61"/>
      <c r="N112" s="61"/>
      <c r="O112" s="61"/>
      <c r="P112" s="61"/>
      <c r="Q112" s="61"/>
      <c r="R112" s="61"/>
      <c r="S112" s="61"/>
      <c r="T112" s="61"/>
      <c r="U112" s="61"/>
      <c r="V112" s="61"/>
      <c r="W112" s="61"/>
      <c r="X112" s="61"/>
      <c r="Y112" s="61"/>
      <c r="Z112" s="61"/>
      <c r="AA112" s="61"/>
      <c r="AB112" s="61"/>
      <c r="AC112" s="61"/>
      <c r="AD112" s="61"/>
      <c r="AE112" s="61"/>
      <c r="AF112" s="61"/>
      <c r="AG112" s="61"/>
      <c r="AH112" s="61"/>
      <c r="AI112" s="61"/>
      <c r="AJ112" s="61"/>
      <c r="AK112" s="61"/>
      <c r="AL112" s="61"/>
      <c r="AM112" s="61"/>
      <c r="AN112" s="61"/>
      <c r="AO112" s="61"/>
      <c r="AP112" s="61"/>
      <c r="AQ112" s="61"/>
      <c r="AR112" s="61"/>
      <c r="AS112" s="61"/>
      <c r="AT112" s="61"/>
      <c r="AU112" s="61"/>
      <c r="AV112" s="61"/>
      <c r="AW112" s="61"/>
      <c r="AX112" s="61"/>
      <c r="AY112" s="61"/>
      <c r="AZ112" s="61"/>
      <c r="BA112" s="61"/>
      <c r="BB112" s="61"/>
      <c r="BC112" s="61"/>
      <c r="BD112" s="61"/>
      <c r="BE112" s="61"/>
      <c r="BF112" s="61"/>
      <c r="BG112" s="61"/>
      <c r="BH112" s="61"/>
      <c r="BI112" s="61"/>
      <c r="BJ112" s="61"/>
      <c r="BK112" s="61"/>
      <c r="BL112" s="61"/>
    </row>
    <row r="113" spans="1:64" x14ac:dyDescent="0.35">
      <c r="A113" s="1"/>
      <c r="C113" s="2" t="s">
        <v>502</v>
      </c>
      <c r="E113" s="61"/>
      <c r="F113" s="61"/>
      <c r="G113" s="61"/>
      <c r="H113" s="61"/>
      <c r="I113" s="61"/>
      <c r="J113" s="61"/>
      <c r="K113" s="61"/>
      <c r="L113" s="61"/>
      <c r="M113" s="61"/>
      <c r="N113" s="61"/>
      <c r="O113" s="61"/>
      <c r="P113" s="61"/>
      <c r="Q113" s="61"/>
      <c r="R113" s="61"/>
      <c r="S113" s="61"/>
      <c r="T113" s="61"/>
      <c r="U113" s="61"/>
      <c r="V113" s="61"/>
      <c r="W113" s="61"/>
      <c r="X113" s="61"/>
      <c r="Y113" s="61"/>
      <c r="Z113" s="61"/>
      <c r="AA113" s="61"/>
      <c r="AB113" s="61"/>
      <c r="AC113" s="61"/>
      <c r="AD113" s="61"/>
      <c r="AE113" s="61"/>
      <c r="AF113" s="61"/>
      <c r="AG113" s="61"/>
      <c r="AH113" s="61"/>
      <c r="AI113" s="61"/>
      <c r="AJ113" s="61"/>
      <c r="AK113" s="61"/>
      <c r="AL113" s="61"/>
      <c r="AM113" s="61"/>
      <c r="AN113" s="61"/>
      <c r="AO113" s="61"/>
      <c r="AP113" s="61"/>
      <c r="AQ113" s="61"/>
      <c r="AR113" s="61"/>
      <c r="AS113" s="61"/>
      <c r="AT113" s="61"/>
      <c r="AU113" s="61"/>
      <c r="AV113" s="61"/>
      <c r="AW113" s="61"/>
      <c r="AX113" s="61"/>
      <c r="AY113" s="61"/>
      <c r="AZ113" s="61"/>
      <c r="BA113" s="61"/>
      <c r="BB113" s="61"/>
      <c r="BC113" s="61"/>
      <c r="BD113" s="61"/>
      <c r="BE113" s="61"/>
      <c r="BF113" s="61"/>
      <c r="BG113" s="61"/>
      <c r="BH113" s="61"/>
      <c r="BI113" s="61"/>
      <c r="BJ113" s="61"/>
      <c r="BK113" s="61"/>
      <c r="BL113" s="61"/>
    </row>
    <row r="114" spans="1:64" x14ac:dyDescent="0.35">
      <c r="A114" s="1"/>
    </row>
    <row r="115" spans="1:64" x14ac:dyDescent="0.35">
      <c r="A115" s="1"/>
      <c r="B115" s="2" t="s">
        <v>434</v>
      </c>
    </row>
    <row r="116" spans="1:64" x14ac:dyDescent="0.35">
      <c r="A116" s="1"/>
      <c r="C116" s="2" t="s">
        <v>416</v>
      </c>
      <c r="E116" s="4">
        <f ca="1">E105-E86</f>
        <v>-0.94752799209045113</v>
      </c>
      <c r="F116" s="4">
        <f t="shared" ref="F116:BL116" ca="1" si="33">F105-F86</f>
        <v>-0.97121619189271235</v>
      </c>
      <c r="G116" s="4">
        <f t="shared" ca="1" si="33"/>
        <v>-0.9954965966900301</v>
      </c>
      <c r="H116" s="4">
        <f t="shared" ca="1" si="33"/>
        <v>-1.0203840116072809</v>
      </c>
      <c r="I116" s="4">
        <f t="shared" ca="1" si="33"/>
        <v>-1.0458936118974627</v>
      </c>
      <c r="J116" s="4">
        <f t="shared" ca="1" si="33"/>
        <v>-1.0720409521948993</v>
      </c>
      <c r="K116" s="4">
        <f t="shared" ca="1" si="33"/>
        <v>-1.0988419759997716</v>
      </c>
      <c r="L116" s="4">
        <f t="shared" ca="1" si="33"/>
        <v>-1.126313025399766</v>
      </c>
      <c r="M116" s="4">
        <f t="shared" ca="1" si="33"/>
        <v>-1.1544708510347599</v>
      </c>
      <c r="N116" s="4">
        <f t="shared" ca="1" si="33"/>
        <v>-1.1774890044226749</v>
      </c>
      <c r="O116" s="4">
        <f t="shared" ca="1" si="33"/>
        <v>-1.1951513394890152</v>
      </c>
      <c r="P116" s="4">
        <f t="shared" ca="1" si="33"/>
        <v>-1.2130786095813502</v>
      </c>
      <c r="Q116" s="4">
        <f t="shared" ca="1" si="33"/>
        <v>-1.2312747887250703</v>
      </c>
      <c r="R116" s="4">
        <f t="shared" ca="1" si="33"/>
        <v>-1.2497439105559462</v>
      </c>
      <c r="S116" s="4">
        <f t="shared" ca="1" si="33"/>
        <v>-1.2684900692142853</v>
      </c>
      <c r="T116" s="4">
        <f t="shared" ca="1" si="33"/>
        <v>-1.2875174202524995</v>
      </c>
      <c r="U116" s="4">
        <f t="shared" ca="1" si="33"/>
        <v>-1.3068301815562868</v>
      </c>
      <c r="V116" s="4">
        <f t="shared" ca="1" si="33"/>
        <v>-1.3264326342796307</v>
      </c>
      <c r="W116" s="4">
        <f t="shared" ca="1" si="33"/>
        <v>-1.3463291237938251</v>
      </c>
      <c r="X116" s="4">
        <f t="shared" ca="1" si="33"/>
        <v>-1.3665240606507325</v>
      </c>
      <c r="Y116" s="4">
        <f t="shared" ca="1" si="33"/>
        <v>-1.3870219215604931</v>
      </c>
      <c r="Z116" s="4">
        <f t="shared" ca="1" si="33"/>
        <v>-1.4078272503839007</v>
      </c>
      <c r="AA116" s="4">
        <f t="shared" ca="1" si="33"/>
        <v>-1.4289446591396588</v>
      </c>
      <c r="AB116" s="4">
        <f t="shared" ca="1" si="33"/>
        <v>-1.4503788290267536</v>
      </c>
      <c r="AC116" s="4">
        <f t="shared" ca="1" si="33"/>
        <v>-1.4721345114621547</v>
      </c>
      <c r="AD116" s="4">
        <f t="shared" ca="1" si="33"/>
        <v>-1.4942165291340872</v>
      </c>
      <c r="AE116" s="4">
        <f t="shared" ca="1" si="33"/>
        <v>-1.5166297770710981</v>
      </c>
      <c r="AF116" s="4">
        <f t="shared" ca="1" si="33"/>
        <v>-1.5393792237271644</v>
      </c>
      <c r="AG116" s="4">
        <f t="shared" ca="1" si="33"/>
        <v>-1.5624699120830716</v>
      </c>
      <c r="AH116" s="4">
        <f t="shared" ca="1" si="33"/>
        <v>-1.5859069607643175</v>
      </c>
      <c r="AI116" s="4">
        <f t="shared" ca="1" si="33"/>
        <v>-1.6096955651757821</v>
      </c>
      <c r="AJ116" s="4">
        <f t="shared" ca="1" si="33"/>
        <v>-1.6338409986534186</v>
      </c>
      <c r="AK116" s="4">
        <f t="shared" ca="1" si="33"/>
        <v>-1.6583486136332197</v>
      </c>
      <c r="AL116" s="4">
        <f t="shared" ca="1" si="33"/>
        <v>-1.6832238428377178</v>
      </c>
      <c r="AM116" s="4">
        <f t="shared" ca="1" si="33"/>
        <v>-1.7084722004802837</v>
      </c>
      <c r="AN116" s="4">
        <f t="shared" ca="1" si="33"/>
        <v>-1.734099283487488</v>
      </c>
      <c r="AO116" s="4">
        <f t="shared" ca="1" si="33"/>
        <v>-1.7601107727398</v>
      </c>
      <c r="AP116" s="4">
        <f t="shared" ca="1" si="33"/>
        <v>-1.7865124343308969</v>
      </c>
      <c r="AQ116" s="4">
        <f t="shared" ca="1" si="33"/>
        <v>-1.8133101208458602</v>
      </c>
      <c r="AR116" s="4">
        <f t="shared" ca="1" si="33"/>
        <v>-0.9134043536766987</v>
      </c>
      <c r="AS116" s="4">
        <f t="shared" ca="1" si="33"/>
        <v>0</v>
      </c>
      <c r="AT116" s="4">
        <f t="shared" ca="1" si="33"/>
        <v>0</v>
      </c>
      <c r="AU116" s="4">
        <f t="shared" ca="1" si="33"/>
        <v>0</v>
      </c>
      <c r="AV116" s="4">
        <f t="shared" ca="1" si="33"/>
        <v>0</v>
      </c>
      <c r="AW116" s="4">
        <f t="shared" ca="1" si="33"/>
        <v>0</v>
      </c>
      <c r="AX116" s="4">
        <f t="shared" ca="1" si="33"/>
        <v>0</v>
      </c>
      <c r="AY116" s="4">
        <f t="shared" ca="1" si="33"/>
        <v>0</v>
      </c>
      <c r="AZ116" s="4">
        <f t="shared" ca="1" si="33"/>
        <v>0</v>
      </c>
      <c r="BA116" s="4">
        <f t="shared" ca="1" si="33"/>
        <v>0</v>
      </c>
      <c r="BB116" s="4">
        <f t="shared" ca="1" si="33"/>
        <v>0</v>
      </c>
      <c r="BC116" s="4">
        <f t="shared" ca="1" si="33"/>
        <v>0</v>
      </c>
      <c r="BD116" s="4">
        <f t="shared" ca="1" si="33"/>
        <v>0</v>
      </c>
      <c r="BE116" s="4">
        <f t="shared" ca="1" si="33"/>
        <v>0</v>
      </c>
      <c r="BF116" s="4">
        <f t="shared" ca="1" si="33"/>
        <v>0</v>
      </c>
      <c r="BG116" s="4">
        <f t="shared" ca="1" si="33"/>
        <v>0</v>
      </c>
      <c r="BH116" s="4">
        <f t="shared" ca="1" si="33"/>
        <v>0</v>
      </c>
      <c r="BI116" s="4">
        <f t="shared" ca="1" si="33"/>
        <v>0</v>
      </c>
      <c r="BJ116" s="4">
        <f t="shared" ca="1" si="33"/>
        <v>0</v>
      </c>
      <c r="BK116" s="4">
        <f t="shared" ca="1" si="33"/>
        <v>0</v>
      </c>
      <c r="BL116" s="4">
        <f t="shared" ca="1" si="33"/>
        <v>0</v>
      </c>
    </row>
    <row r="117" spans="1:64" x14ac:dyDescent="0.35">
      <c r="A117" s="1"/>
      <c r="C117" s="2" t="s">
        <v>417</v>
      </c>
      <c r="E117" s="4">
        <f>E106-E65</f>
        <v>-93.583011564488999</v>
      </c>
      <c r="F117" s="4">
        <f t="shared" ref="F117:BL117" si="34">F106-F65</f>
        <v>-95.922586853601217</v>
      </c>
      <c r="G117" s="4">
        <f t="shared" si="34"/>
        <v>-98.320651524941255</v>
      </c>
      <c r="H117" s="4">
        <f t="shared" si="34"/>
        <v>-100.77866781306477</v>
      </c>
      <c r="I117" s="4">
        <f t="shared" si="34"/>
        <v>-103.29813450839139</v>
      </c>
      <c r="J117" s="4">
        <f t="shared" si="34"/>
        <v>-105.88058787110116</v>
      </c>
      <c r="K117" s="4">
        <f t="shared" si="34"/>
        <v>-108.52760256787869</v>
      </c>
      <c r="L117" s="4">
        <f t="shared" si="34"/>
        <v>-111.24079263207564</v>
      </c>
      <c r="M117" s="4">
        <f t="shared" si="34"/>
        <v>-114.02181244787752</v>
      </c>
      <c r="N117" s="4">
        <f t="shared" si="34"/>
        <v>-116.87235775907445</v>
      </c>
      <c r="O117" s="4">
        <f t="shared" si="34"/>
        <v>-118.62544312546055</v>
      </c>
      <c r="P117" s="4">
        <f t="shared" si="34"/>
        <v>-120.40482477234245</v>
      </c>
      <c r="Q117" s="4">
        <f t="shared" si="34"/>
        <v>-122.21089714392758</v>
      </c>
      <c r="R117" s="4">
        <f t="shared" si="34"/>
        <v>-124.04406060108647</v>
      </c>
      <c r="S117" s="4">
        <f t="shared" si="34"/>
        <v>-125.90472151010276</v>
      </c>
      <c r="T117" s="4">
        <f t="shared" si="34"/>
        <v>-127.79329233275429</v>
      </c>
      <c r="U117" s="4">
        <f t="shared" si="34"/>
        <v>-129.7101917177456</v>
      </c>
      <c r="V117" s="4">
        <f t="shared" si="34"/>
        <v>-131.65584459351174</v>
      </c>
      <c r="W117" s="4">
        <f t="shared" si="34"/>
        <v>-133.63068226241441</v>
      </c>
      <c r="X117" s="4">
        <f t="shared" si="34"/>
        <v>-135.63514249635062</v>
      </c>
      <c r="Y117" s="4">
        <f t="shared" si="34"/>
        <v>-137.66966963379585</v>
      </c>
      <c r="Z117" s="4">
        <f t="shared" si="34"/>
        <v>-139.73471467830279</v>
      </c>
      <c r="AA117" s="4">
        <f t="shared" si="34"/>
        <v>-141.83073539847732</v>
      </c>
      <c r="AB117" s="4">
        <f t="shared" si="34"/>
        <v>-143.95819642945446</v>
      </c>
      <c r="AC117" s="4">
        <f t="shared" si="34"/>
        <v>-146.11756937589627</v>
      </c>
      <c r="AD117" s="4">
        <f t="shared" si="34"/>
        <v>-148.30933291653469</v>
      </c>
      <c r="AE117" s="4">
        <f t="shared" si="34"/>
        <v>-150.5339729102827</v>
      </c>
      <c r="AF117" s="4">
        <f t="shared" si="34"/>
        <v>-152.79198250393691</v>
      </c>
      <c r="AG117" s="4">
        <f t="shared" si="34"/>
        <v>-155.08386224149595</v>
      </c>
      <c r="AH117" s="4">
        <f t="shared" si="34"/>
        <v>-157.41012017511835</v>
      </c>
      <c r="AI117" s="4">
        <f t="shared" si="34"/>
        <v>-159.77127197774513</v>
      </c>
      <c r="AJ117" s="4">
        <f t="shared" si="34"/>
        <v>-162.16784105741129</v>
      </c>
      <c r="AK117" s="4">
        <f t="shared" si="34"/>
        <v>-164.60035867327244</v>
      </c>
      <c r="AL117" s="4">
        <f t="shared" si="34"/>
        <v>-167.06936405337152</v>
      </c>
      <c r="AM117" s="4">
        <f t="shared" si="34"/>
        <v>-169.57540451417208</v>
      </c>
      <c r="AN117" s="4">
        <f t="shared" si="34"/>
        <v>-172.11903558188465</v>
      </c>
      <c r="AO117" s="4">
        <f t="shared" si="34"/>
        <v>-174.70082111561291</v>
      </c>
      <c r="AP117" s="4">
        <f t="shared" si="34"/>
        <v>-177.3213334323471</v>
      </c>
      <c r="AQ117" s="4">
        <f t="shared" si="34"/>
        <v>-179.98115343383228</v>
      </c>
      <c r="AR117" s="4">
        <f t="shared" si="34"/>
        <v>-182.68087073533974</v>
      </c>
      <c r="AS117" s="4">
        <f t="shared" si="34"/>
        <v>0</v>
      </c>
      <c r="AT117" s="4">
        <f t="shared" si="34"/>
        <v>0</v>
      </c>
      <c r="AU117" s="4">
        <f t="shared" si="34"/>
        <v>0</v>
      </c>
      <c r="AV117" s="4">
        <f t="shared" si="34"/>
        <v>0</v>
      </c>
      <c r="AW117" s="4">
        <f t="shared" si="34"/>
        <v>0</v>
      </c>
      <c r="AX117" s="4">
        <f t="shared" si="34"/>
        <v>0</v>
      </c>
      <c r="AY117" s="4">
        <f t="shared" si="34"/>
        <v>0</v>
      </c>
      <c r="AZ117" s="4">
        <f t="shared" si="34"/>
        <v>0</v>
      </c>
      <c r="BA117" s="4">
        <f t="shared" si="34"/>
        <v>0</v>
      </c>
      <c r="BB117" s="4">
        <f t="shared" si="34"/>
        <v>0</v>
      </c>
      <c r="BC117" s="4">
        <f t="shared" si="34"/>
        <v>0</v>
      </c>
      <c r="BD117" s="4">
        <f t="shared" si="34"/>
        <v>0</v>
      </c>
      <c r="BE117" s="4">
        <f t="shared" si="34"/>
        <v>0</v>
      </c>
      <c r="BF117" s="4">
        <f t="shared" si="34"/>
        <v>0</v>
      </c>
      <c r="BG117" s="4">
        <f t="shared" si="34"/>
        <v>0</v>
      </c>
      <c r="BH117" s="4">
        <f t="shared" si="34"/>
        <v>0</v>
      </c>
      <c r="BI117" s="4">
        <f t="shared" si="34"/>
        <v>0</v>
      </c>
      <c r="BJ117" s="4">
        <f t="shared" si="34"/>
        <v>0</v>
      </c>
      <c r="BK117" s="4">
        <f t="shared" si="34"/>
        <v>0</v>
      </c>
      <c r="BL117" s="4">
        <f t="shared" si="34"/>
        <v>0</v>
      </c>
    </row>
    <row r="118" spans="1:64" x14ac:dyDescent="0.35">
      <c r="A118" s="1"/>
      <c r="C118" s="2" t="s">
        <v>418</v>
      </c>
      <c r="E118" s="4">
        <f ca="1">E107-E83</f>
        <v>0</v>
      </c>
      <c r="F118" s="4">
        <f t="shared" ref="F118:BL118" ca="1" si="35">F107-F83</f>
        <v>0</v>
      </c>
      <c r="G118" s="4">
        <f t="shared" ca="1" si="35"/>
        <v>0</v>
      </c>
      <c r="H118" s="4">
        <f t="shared" ca="1" si="35"/>
        <v>0</v>
      </c>
      <c r="I118" s="4">
        <f t="shared" ca="1" si="35"/>
        <v>0</v>
      </c>
      <c r="J118" s="4">
        <f t="shared" ca="1" si="35"/>
        <v>0</v>
      </c>
      <c r="K118" s="4">
        <f t="shared" ca="1" si="35"/>
        <v>0</v>
      </c>
      <c r="L118" s="4">
        <f t="shared" ca="1" si="35"/>
        <v>0</v>
      </c>
      <c r="M118" s="4">
        <f t="shared" ca="1" si="35"/>
        <v>0</v>
      </c>
      <c r="N118" s="4">
        <f t="shared" ca="1" si="35"/>
        <v>0</v>
      </c>
      <c r="O118" s="4">
        <f t="shared" ca="1" si="35"/>
        <v>0</v>
      </c>
      <c r="P118" s="4">
        <f t="shared" ca="1" si="35"/>
        <v>0</v>
      </c>
      <c r="Q118" s="4">
        <f t="shared" ca="1" si="35"/>
        <v>0</v>
      </c>
      <c r="R118" s="4">
        <f t="shared" ca="1" si="35"/>
        <v>0</v>
      </c>
      <c r="S118" s="4">
        <f t="shared" ca="1" si="35"/>
        <v>0</v>
      </c>
      <c r="T118" s="4">
        <f t="shared" ca="1" si="35"/>
        <v>0</v>
      </c>
      <c r="U118" s="4">
        <f t="shared" ca="1" si="35"/>
        <v>0</v>
      </c>
      <c r="V118" s="4">
        <f t="shared" ca="1" si="35"/>
        <v>0</v>
      </c>
      <c r="W118" s="4">
        <f t="shared" ca="1" si="35"/>
        <v>0</v>
      </c>
      <c r="X118" s="4">
        <f t="shared" ca="1" si="35"/>
        <v>0</v>
      </c>
      <c r="Y118" s="4">
        <f t="shared" ca="1" si="35"/>
        <v>0</v>
      </c>
      <c r="Z118" s="4">
        <f t="shared" ca="1" si="35"/>
        <v>0</v>
      </c>
      <c r="AA118" s="4">
        <f t="shared" ca="1" si="35"/>
        <v>0</v>
      </c>
      <c r="AB118" s="4">
        <f t="shared" ca="1" si="35"/>
        <v>0</v>
      </c>
      <c r="AC118" s="4">
        <f t="shared" ca="1" si="35"/>
        <v>0</v>
      </c>
      <c r="AD118" s="4">
        <f t="shared" ca="1" si="35"/>
        <v>0</v>
      </c>
      <c r="AE118" s="4">
        <f t="shared" ca="1" si="35"/>
        <v>0</v>
      </c>
      <c r="AF118" s="4">
        <f t="shared" ca="1" si="35"/>
        <v>0</v>
      </c>
      <c r="AG118" s="4">
        <f t="shared" ca="1" si="35"/>
        <v>0</v>
      </c>
      <c r="AH118" s="4">
        <f t="shared" ca="1" si="35"/>
        <v>0</v>
      </c>
      <c r="AI118" s="4">
        <f t="shared" ca="1" si="35"/>
        <v>0</v>
      </c>
      <c r="AJ118" s="4">
        <f t="shared" ca="1" si="35"/>
        <v>0</v>
      </c>
      <c r="AK118" s="4">
        <f t="shared" ca="1" si="35"/>
        <v>0</v>
      </c>
      <c r="AL118" s="4">
        <f t="shared" ca="1" si="35"/>
        <v>0</v>
      </c>
      <c r="AM118" s="4">
        <f t="shared" ca="1" si="35"/>
        <v>0</v>
      </c>
      <c r="AN118" s="4">
        <f t="shared" ca="1" si="35"/>
        <v>0</v>
      </c>
      <c r="AO118" s="4">
        <f t="shared" ca="1" si="35"/>
        <v>0</v>
      </c>
      <c r="AP118" s="4">
        <f t="shared" ca="1" si="35"/>
        <v>0</v>
      </c>
      <c r="AQ118" s="4">
        <f t="shared" ca="1" si="35"/>
        <v>0</v>
      </c>
      <c r="AR118" s="4">
        <f t="shared" ca="1" si="35"/>
        <v>0</v>
      </c>
      <c r="AS118" s="4">
        <f t="shared" ca="1" si="35"/>
        <v>0</v>
      </c>
      <c r="AT118" s="4">
        <f t="shared" ca="1" si="35"/>
        <v>0</v>
      </c>
      <c r="AU118" s="4">
        <f t="shared" ca="1" si="35"/>
        <v>0</v>
      </c>
      <c r="AV118" s="4">
        <f t="shared" ca="1" si="35"/>
        <v>0</v>
      </c>
      <c r="AW118" s="4">
        <f t="shared" ca="1" si="35"/>
        <v>0</v>
      </c>
      <c r="AX118" s="4">
        <f t="shared" ca="1" si="35"/>
        <v>0</v>
      </c>
      <c r="AY118" s="4">
        <f t="shared" ca="1" si="35"/>
        <v>0</v>
      </c>
      <c r="AZ118" s="4">
        <f t="shared" ca="1" si="35"/>
        <v>0</v>
      </c>
      <c r="BA118" s="4">
        <f t="shared" ca="1" si="35"/>
        <v>0</v>
      </c>
      <c r="BB118" s="4">
        <f t="shared" ca="1" si="35"/>
        <v>0</v>
      </c>
      <c r="BC118" s="4">
        <f t="shared" ca="1" si="35"/>
        <v>0</v>
      </c>
      <c r="BD118" s="4">
        <f t="shared" ca="1" si="35"/>
        <v>0</v>
      </c>
      <c r="BE118" s="4">
        <f t="shared" ca="1" si="35"/>
        <v>0</v>
      </c>
      <c r="BF118" s="4">
        <f t="shared" ca="1" si="35"/>
        <v>0</v>
      </c>
      <c r="BG118" s="4">
        <f t="shared" ca="1" si="35"/>
        <v>0</v>
      </c>
      <c r="BH118" s="4">
        <f t="shared" ca="1" si="35"/>
        <v>0</v>
      </c>
      <c r="BI118" s="4">
        <f t="shared" ca="1" si="35"/>
        <v>0</v>
      </c>
      <c r="BJ118" s="4">
        <f t="shared" ca="1" si="35"/>
        <v>0</v>
      </c>
      <c r="BK118" s="4">
        <f t="shared" ca="1" si="35"/>
        <v>0</v>
      </c>
      <c r="BL118" s="4">
        <f t="shared" ca="1" si="35"/>
        <v>0</v>
      </c>
    </row>
    <row r="119" spans="1:64" x14ac:dyDescent="0.35">
      <c r="A119" s="1"/>
      <c r="C119" s="2" t="s">
        <v>419</v>
      </c>
      <c r="E119" s="4">
        <f>E101-E110</f>
        <v>-0.97499999999999998</v>
      </c>
      <c r="F119" s="4">
        <f t="shared" ref="F119:BL119" ca="1" si="36">F101-F110</f>
        <v>0.34274855204020582</v>
      </c>
      <c r="G119" s="4">
        <f t="shared" ca="1" si="36"/>
        <v>1.7023226711620112</v>
      </c>
      <c r="H119" s="4">
        <f t="shared" ca="1" si="36"/>
        <v>3.1049012243416683</v>
      </c>
      <c r="I119" s="4">
        <f t="shared" ca="1" si="36"/>
        <v>4.5516945486468332</v>
      </c>
      <c r="J119" s="4">
        <f t="shared" ca="1" si="36"/>
        <v>6.0439452679650767</v>
      </c>
      <c r="K119" s="4">
        <f t="shared" ca="1" si="36"/>
        <v>7.5829291306003039</v>
      </c>
      <c r="L119" s="4">
        <f t="shared" ca="1" si="36"/>
        <v>9.1699558682654523</v>
      </c>
      <c r="M119" s="4">
        <f t="shared" ca="1" si="36"/>
        <v>8.2409594819079413</v>
      </c>
      <c r="N119" s="4">
        <f t="shared" ca="1" si="36"/>
        <v>9.9302820405500256</v>
      </c>
      <c r="O119" s="4">
        <f t="shared" ca="1" si="36"/>
        <v>11.098632343272692</v>
      </c>
      <c r="P119" s="4">
        <f t="shared" ca="1" si="36"/>
        <v>12.294472331798204</v>
      </c>
      <c r="Q119" s="4">
        <f t="shared" ca="1" si="36"/>
        <v>13.518388728960684</v>
      </c>
      <c r="R119" s="4">
        <f t="shared" ca="1" si="36"/>
        <v>14.770980110043851</v>
      </c>
      <c r="S119" s="4">
        <f t="shared" ca="1" si="36"/>
        <v>16.052857133970871</v>
      </c>
      <c r="T119" s="4">
        <f t="shared" ca="1" si="36"/>
        <v>17.364642778896627</v>
      </c>
      <c r="U119" s="4">
        <f t="shared" ca="1" si="36"/>
        <v>18.706972582284809</v>
      </c>
      <c r="V119" s="4">
        <f t="shared" ca="1" si="36"/>
        <v>20.080494885553637</v>
      </c>
      <c r="W119" s="4">
        <f t="shared" ca="1" si="36"/>
        <v>19.431908009986035</v>
      </c>
      <c r="X119" s="4">
        <f t="shared" ca="1" si="36"/>
        <v>20.893012200774717</v>
      </c>
      <c r="Y119" s="4">
        <f t="shared" ca="1" si="36"/>
        <v>22.390425465837996</v>
      </c>
      <c r="Z119" s="4">
        <f t="shared" ca="1" si="36"/>
        <v>23.924980291518267</v>
      </c>
      <c r="AA119" s="4">
        <f t="shared" ca="1" si="36"/>
        <v>25.497527408457593</v>
      </c>
      <c r="AB119" s="4">
        <f t="shared" ca="1" si="36"/>
        <v>27.108936180402342</v>
      </c>
      <c r="AC119" s="4">
        <f t="shared" ca="1" si="36"/>
        <v>28.760095001142613</v>
      </c>
      <c r="AD119" s="4">
        <f t="shared" ca="1" si="36"/>
        <v>30.451911699754682</v>
      </c>
      <c r="AE119" s="4">
        <f t="shared" ca="1" si="36"/>
        <v>32.185313954317827</v>
      </c>
      <c r="AF119" s="4">
        <f t="shared" ca="1" si="36"/>
        <v>33.961249714280747</v>
      </c>
      <c r="AG119" s="4">
        <f t="shared" ca="1" si="36"/>
        <v>35.780687631656072</v>
      </c>
      <c r="AH119" s="4">
        <f t="shared" ca="1" si="36"/>
        <v>37.644617501225255</v>
      </c>
      <c r="AI119" s="4">
        <f t="shared" ca="1" si="36"/>
        <v>39.554050709939872</v>
      </c>
      <c r="AJ119" s="4">
        <f t="shared" ca="1" si="36"/>
        <v>41.510020695709123</v>
      </c>
      <c r="AK119" s="4">
        <f t="shared" ca="1" si="36"/>
        <v>43.513583415767329</v>
      </c>
      <c r="AL119" s="4">
        <f t="shared" ca="1" si="36"/>
        <v>45.565817824818851</v>
      </c>
      <c r="AM119" s="4">
        <f t="shared" ca="1" si="36"/>
        <v>47.667826363162455</v>
      </c>
      <c r="AN119" s="4">
        <f t="shared" ca="1" si="36"/>
        <v>49.82073545500063</v>
      </c>
      <c r="AO119" s="4">
        <f t="shared" ca="1" si="36"/>
        <v>52.025696017144192</v>
      </c>
      <c r="AP119" s="4">
        <f t="shared" ca="1" si="36"/>
        <v>54.283883978326287</v>
      </c>
      <c r="AQ119" s="4">
        <f t="shared" ca="1" si="36"/>
        <v>56.596500809344583</v>
      </c>
      <c r="AR119" s="4">
        <f t="shared" ca="1" si="36"/>
        <v>58.964774064255039</v>
      </c>
      <c r="AS119" s="4">
        <f t="shared" ca="1" si="36"/>
        <v>61.389957932844553</v>
      </c>
      <c r="AT119" s="4">
        <f t="shared" ca="1" si="36"/>
        <v>62.760807301837211</v>
      </c>
      <c r="AU119" s="4">
        <f t="shared" ca="1" si="36"/>
        <v>64.152219411364769</v>
      </c>
      <c r="AV119" s="4">
        <f t="shared" ca="1" si="36"/>
        <v>65.564502702535236</v>
      </c>
      <c r="AW119" s="4">
        <f t="shared" ca="1" si="36"/>
        <v>66.997970243073254</v>
      </c>
      <c r="AX119" s="4">
        <f t="shared" ca="1" si="36"/>
        <v>68.452939796719335</v>
      </c>
      <c r="AY119" s="4">
        <f t="shared" ca="1" si="36"/>
        <v>69.929733893670118</v>
      </c>
      <c r="AZ119" s="4">
        <f t="shared" ca="1" si="36"/>
        <v>71.42867990207516</v>
      </c>
      <c r="BA119" s="4">
        <f t="shared" ca="1" si="36"/>
        <v>72.950110100606281</v>
      </c>
      <c r="BB119" s="4">
        <f t="shared" ca="1" si="36"/>
        <v>74.494361752115367</v>
      </c>
      <c r="BC119" s="4">
        <f t="shared" ca="1" si="36"/>
        <v>76.06177717839708</v>
      </c>
      <c r="BD119" s="4">
        <f t="shared" ca="1" si="36"/>
        <v>77.652703836073016</v>
      </c>
      <c r="BE119" s="4">
        <f t="shared" ca="1" si="36"/>
        <v>79.267494393614101</v>
      </c>
      <c r="BF119" s="4">
        <f t="shared" ca="1" si="36"/>
        <v>80.906506809518291</v>
      </c>
      <c r="BG119" s="4">
        <f t="shared" ca="1" si="36"/>
        <v>82.570104411661063</v>
      </c>
      <c r="BH119" s="4">
        <f t="shared" ca="1" si="36"/>
        <v>84.258655977835957</v>
      </c>
      <c r="BI119" s="4">
        <f t="shared" ca="1" si="36"/>
        <v>85.972535817503484</v>
      </c>
      <c r="BJ119" s="4">
        <f t="shared" ca="1" si="36"/>
        <v>87.71212385476602</v>
      </c>
      <c r="BK119" s="4">
        <f t="shared" ca="1" si="36"/>
        <v>89.477805712587497</v>
      </c>
      <c r="BL119" s="4">
        <f t="shared" ca="1" si="36"/>
        <v>91.269972798276299</v>
      </c>
    </row>
    <row r="120" spans="1:64" x14ac:dyDescent="0.35">
      <c r="A120" s="1"/>
    </row>
    <row r="121" spans="1:64" ht="15" thickBot="1" x14ac:dyDescent="0.4">
      <c r="A121" s="1"/>
      <c r="B121" s="2" t="s">
        <v>453</v>
      </c>
    </row>
    <row r="122" spans="1:64" ht="15" thickBot="1" x14ac:dyDescent="0.4">
      <c r="A122" s="1"/>
      <c r="C122" s="2" t="s">
        <v>94</v>
      </c>
      <c r="D122" s="33">
        <f>I29</f>
        <v>0</v>
      </c>
      <c r="E122" s="4">
        <f t="shared" ref="E122:BL122" si="37">E41*E48</f>
        <v>153.75</v>
      </c>
      <c r="F122" s="4">
        <f t="shared" si="37"/>
        <v>157.59375</v>
      </c>
      <c r="G122" s="4">
        <f t="shared" si="37"/>
        <v>161.53359374999999</v>
      </c>
      <c r="H122" s="4">
        <f t="shared" si="37"/>
        <v>165.57193359374997</v>
      </c>
      <c r="I122" s="4">
        <f t="shared" si="37"/>
        <v>169.71123193359372</v>
      </c>
      <c r="J122" s="4">
        <f t="shared" si="37"/>
        <v>173.95401273193355</v>
      </c>
      <c r="K122" s="4">
        <f t="shared" si="37"/>
        <v>178.30286305023188</v>
      </c>
      <c r="L122" s="4">
        <f t="shared" si="37"/>
        <v>182.76043462648767</v>
      </c>
      <c r="M122" s="4">
        <f t="shared" si="37"/>
        <v>187.32944549214983</v>
      </c>
      <c r="N122" s="4">
        <f t="shared" si="37"/>
        <v>192.01268162945357</v>
      </c>
      <c r="O122" s="4">
        <f t="shared" si="37"/>
        <v>194.89287185389534</v>
      </c>
      <c r="P122" s="4">
        <f t="shared" si="37"/>
        <v>197.81626493170376</v>
      </c>
      <c r="Q122" s="4">
        <f t="shared" si="37"/>
        <v>200.7835089056793</v>
      </c>
      <c r="R122" s="4">
        <f t="shared" si="37"/>
        <v>203.79526153926446</v>
      </c>
      <c r="S122" s="4">
        <f t="shared" si="37"/>
        <v>206.85219046235341</v>
      </c>
      <c r="T122" s="4">
        <f t="shared" si="37"/>
        <v>209.95497331928868</v>
      </c>
      <c r="U122" s="4">
        <f t="shared" si="37"/>
        <v>213.10429791907799</v>
      </c>
      <c r="V122" s="4">
        <f t="shared" si="37"/>
        <v>216.30086238786413</v>
      </c>
      <c r="W122" s="4">
        <f t="shared" si="37"/>
        <v>219.54537532368207</v>
      </c>
      <c r="X122" s="4">
        <f t="shared" si="37"/>
        <v>222.83855595353728</v>
      </c>
      <c r="Y122" s="4">
        <f t="shared" si="37"/>
        <v>226.18113429284031</v>
      </c>
      <c r="Z122" s="4">
        <f t="shared" si="37"/>
        <v>229.5738513072329</v>
      </c>
      <c r="AA122" s="4">
        <f t="shared" si="37"/>
        <v>233.01745907684136</v>
      </c>
      <c r="AB122" s="4">
        <f t="shared" si="37"/>
        <v>236.51272096299397</v>
      </c>
      <c r="AC122" s="4">
        <f t="shared" si="37"/>
        <v>240.06041177743884</v>
      </c>
      <c r="AD122" s="4">
        <f t="shared" si="37"/>
        <v>243.66131795410041</v>
      </c>
      <c r="AE122" s="4">
        <f t="shared" si="37"/>
        <v>247.31623772341189</v>
      </c>
      <c r="AF122" s="4">
        <f t="shared" si="37"/>
        <v>251.02598128926303</v>
      </c>
      <c r="AG122" s="4">
        <f t="shared" si="37"/>
        <v>254.79137100860194</v>
      </c>
      <c r="AH122" s="4">
        <f t="shared" si="37"/>
        <v>258.61324157373093</v>
      </c>
      <c r="AI122" s="4">
        <f t="shared" si="37"/>
        <v>262.49244019733686</v>
      </c>
      <c r="AJ122" s="4">
        <f t="shared" si="37"/>
        <v>266.42982680029689</v>
      </c>
      <c r="AK122" s="4">
        <f t="shared" si="37"/>
        <v>270.42627420230133</v>
      </c>
      <c r="AL122" s="4">
        <f t="shared" si="37"/>
        <v>274.48266831533584</v>
      </c>
      <c r="AM122" s="4">
        <f t="shared" si="37"/>
        <v>278.59990834006584</v>
      </c>
      <c r="AN122" s="4">
        <f t="shared" si="37"/>
        <v>282.77890696516681</v>
      </c>
      <c r="AO122" s="4">
        <f t="shared" si="37"/>
        <v>287.0205905696443</v>
      </c>
      <c r="AP122" s="4">
        <f t="shared" si="37"/>
        <v>291.32589942818896</v>
      </c>
      <c r="AQ122" s="4">
        <f t="shared" si="37"/>
        <v>295.69578791961175</v>
      </c>
      <c r="AR122" s="4">
        <f t="shared" si="37"/>
        <v>300.13122473840588</v>
      </c>
      <c r="AS122" s="4">
        <f t="shared" si="37"/>
        <v>0</v>
      </c>
      <c r="AT122" s="4">
        <f t="shared" si="37"/>
        <v>0</v>
      </c>
      <c r="AU122" s="4">
        <f t="shared" si="37"/>
        <v>0</v>
      </c>
      <c r="AV122" s="4">
        <f t="shared" si="37"/>
        <v>0</v>
      </c>
      <c r="AW122" s="4">
        <f t="shared" si="37"/>
        <v>0</v>
      </c>
      <c r="AX122" s="4">
        <f t="shared" si="37"/>
        <v>0</v>
      </c>
      <c r="AY122" s="4">
        <f t="shared" si="37"/>
        <v>0</v>
      </c>
      <c r="AZ122" s="4">
        <f t="shared" si="37"/>
        <v>0</v>
      </c>
      <c r="BA122" s="4">
        <f t="shared" si="37"/>
        <v>0</v>
      </c>
      <c r="BB122" s="4">
        <f t="shared" si="37"/>
        <v>0</v>
      </c>
      <c r="BC122" s="4">
        <f t="shared" si="37"/>
        <v>0</v>
      </c>
      <c r="BD122" s="4">
        <f t="shared" si="37"/>
        <v>0</v>
      </c>
      <c r="BE122" s="4">
        <f t="shared" si="37"/>
        <v>0</v>
      </c>
      <c r="BF122" s="4">
        <f t="shared" si="37"/>
        <v>0</v>
      </c>
      <c r="BG122" s="4">
        <f t="shared" si="37"/>
        <v>0</v>
      </c>
      <c r="BH122" s="4">
        <f t="shared" si="37"/>
        <v>0</v>
      </c>
      <c r="BI122" s="4">
        <f t="shared" si="37"/>
        <v>0</v>
      </c>
      <c r="BJ122" s="4">
        <f t="shared" si="37"/>
        <v>0</v>
      </c>
      <c r="BK122" s="4">
        <f t="shared" si="37"/>
        <v>0</v>
      </c>
      <c r="BL122" s="4">
        <f t="shared" si="37"/>
        <v>0</v>
      </c>
    </row>
    <row r="123" spans="1:64" x14ac:dyDescent="0.35">
      <c r="A123" s="1"/>
      <c r="D123" s="12"/>
    </row>
    <row r="124" spans="1:64" x14ac:dyDescent="0.35">
      <c r="A124" s="1"/>
      <c r="C124" s="2" t="s">
        <v>104</v>
      </c>
      <c r="D124" s="12"/>
      <c r="E124" s="4">
        <f>E122</f>
        <v>153.75</v>
      </c>
      <c r="F124" s="4">
        <f t="shared" ref="F124:BL124" si="38">F122</f>
        <v>157.59375</v>
      </c>
      <c r="G124" s="4">
        <f t="shared" si="38"/>
        <v>161.53359374999999</v>
      </c>
      <c r="H124" s="4">
        <f t="shared" si="38"/>
        <v>165.57193359374997</v>
      </c>
      <c r="I124" s="4">
        <f t="shared" si="38"/>
        <v>169.71123193359372</v>
      </c>
      <c r="J124" s="4">
        <f t="shared" si="38"/>
        <v>173.95401273193355</v>
      </c>
      <c r="K124" s="4">
        <f t="shared" si="38"/>
        <v>178.30286305023188</v>
      </c>
      <c r="L124" s="4">
        <f t="shared" si="38"/>
        <v>182.76043462648767</v>
      </c>
      <c r="M124" s="4">
        <f t="shared" si="38"/>
        <v>187.32944549214983</v>
      </c>
      <c r="N124" s="4">
        <f t="shared" si="38"/>
        <v>192.01268162945357</v>
      </c>
      <c r="O124" s="4">
        <f t="shared" si="38"/>
        <v>194.89287185389534</v>
      </c>
      <c r="P124" s="4">
        <f t="shared" si="38"/>
        <v>197.81626493170376</v>
      </c>
      <c r="Q124" s="4">
        <f t="shared" si="38"/>
        <v>200.7835089056793</v>
      </c>
      <c r="R124" s="4">
        <f t="shared" si="38"/>
        <v>203.79526153926446</v>
      </c>
      <c r="S124" s="4">
        <f t="shared" si="38"/>
        <v>206.85219046235341</v>
      </c>
      <c r="T124" s="4">
        <f t="shared" si="38"/>
        <v>209.95497331928868</v>
      </c>
      <c r="U124" s="4">
        <f t="shared" si="38"/>
        <v>213.10429791907799</v>
      </c>
      <c r="V124" s="4">
        <f t="shared" si="38"/>
        <v>216.30086238786413</v>
      </c>
      <c r="W124" s="4">
        <f t="shared" si="38"/>
        <v>219.54537532368207</v>
      </c>
      <c r="X124" s="4">
        <f t="shared" si="38"/>
        <v>222.83855595353728</v>
      </c>
      <c r="Y124" s="4">
        <f t="shared" si="38"/>
        <v>226.18113429284031</v>
      </c>
      <c r="Z124" s="4">
        <f t="shared" si="38"/>
        <v>229.5738513072329</v>
      </c>
      <c r="AA124" s="4">
        <f t="shared" si="38"/>
        <v>233.01745907684136</v>
      </c>
      <c r="AB124" s="4">
        <f t="shared" si="38"/>
        <v>236.51272096299397</v>
      </c>
      <c r="AC124" s="4">
        <f t="shared" si="38"/>
        <v>240.06041177743884</v>
      </c>
      <c r="AD124" s="4">
        <f t="shared" si="38"/>
        <v>243.66131795410041</v>
      </c>
      <c r="AE124" s="4">
        <f t="shared" si="38"/>
        <v>247.31623772341189</v>
      </c>
      <c r="AF124" s="4">
        <f t="shared" si="38"/>
        <v>251.02598128926303</v>
      </c>
      <c r="AG124" s="4">
        <f t="shared" si="38"/>
        <v>254.79137100860194</v>
      </c>
      <c r="AH124" s="4">
        <f t="shared" si="38"/>
        <v>258.61324157373093</v>
      </c>
      <c r="AI124" s="4">
        <f t="shared" si="38"/>
        <v>262.49244019733686</v>
      </c>
      <c r="AJ124" s="4">
        <f t="shared" si="38"/>
        <v>266.42982680029689</v>
      </c>
      <c r="AK124" s="4">
        <f t="shared" si="38"/>
        <v>270.42627420230133</v>
      </c>
      <c r="AL124" s="4">
        <f t="shared" si="38"/>
        <v>274.48266831533584</v>
      </c>
      <c r="AM124" s="4">
        <f t="shared" si="38"/>
        <v>278.59990834006584</v>
      </c>
      <c r="AN124" s="4">
        <f t="shared" si="38"/>
        <v>282.77890696516681</v>
      </c>
      <c r="AO124" s="4">
        <f t="shared" si="38"/>
        <v>287.0205905696443</v>
      </c>
      <c r="AP124" s="4">
        <f t="shared" si="38"/>
        <v>291.32589942818896</v>
      </c>
      <c r="AQ124" s="4">
        <f t="shared" si="38"/>
        <v>295.69578791961175</v>
      </c>
      <c r="AR124" s="4">
        <f t="shared" si="38"/>
        <v>300.13122473840588</v>
      </c>
      <c r="AS124" s="4">
        <f t="shared" si="38"/>
        <v>0</v>
      </c>
      <c r="AT124" s="4">
        <f t="shared" si="38"/>
        <v>0</v>
      </c>
      <c r="AU124" s="4">
        <f t="shared" si="38"/>
        <v>0</v>
      </c>
      <c r="AV124" s="4">
        <f t="shared" si="38"/>
        <v>0</v>
      </c>
      <c r="AW124" s="4">
        <f t="shared" si="38"/>
        <v>0</v>
      </c>
      <c r="AX124" s="4">
        <f t="shared" si="38"/>
        <v>0</v>
      </c>
      <c r="AY124" s="4">
        <f t="shared" si="38"/>
        <v>0</v>
      </c>
      <c r="AZ124" s="4">
        <f t="shared" si="38"/>
        <v>0</v>
      </c>
      <c r="BA124" s="4">
        <f t="shared" si="38"/>
        <v>0</v>
      </c>
      <c r="BB124" s="4">
        <f t="shared" si="38"/>
        <v>0</v>
      </c>
      <c r="BC124" s="4">
        <f t="shared" si="38"/>
        <v>0</v>
      </c>
      <c r="BD124" s="4">
        <f t="shared" si="38"/>
        <v>0</v>
      </c>
      <c r="BE124" s="4">
        <f t="shared" si="38"/>
        <v>0</v>
      </c>
      <c r="BF124" s="4">
        <f t="shared" si="38"/>
        <v>0</v>
      </c>
      <c r="BG124" s="4">
        <f t="shared" si="38"/>
        <v>0</v>
      </c>
      <c r="BH124" s="4">
        <f t="shared" si="38"/>
        <v>0</v>
      </c>
      <c r="BI124" s="4">
        <f t="shared" si="38"/>
        <v>0</v>
      </c>
      <c r="BJ124" s="4">
        <f t="shared" si="38"/>
        <v>0</v>
      </c>
      <c r="BK124" s="4">
        <f t="shared" si="38"/>
        <v>0</v>
      </c>
      <c r="BL124" s="4">
        <f t="shared" si="38"/>
        <v>0</v>
      </c>
    </row>
    <row r="125" spans="1:64" x14ac:dyDescent="0.35">
      <c r="A125" s="1"/>
      <c r="C125" s="2" t="s">
        <v>28</v>
      </c>
      <c r="D125" s="12"/>
      <c r="E125" s="4">
        <f t="shared" ref="E125:BL125" ca="1" si="39">E73</f>
        <v>36.583011564489006</v>
      </c>
      <c r="F125" s="4">
        <f t="shared" ca="1" si="39"/>
        <v>39.471332027068563</v>
      </c>
      <c r="G125" s="4">
        <f t="shared" ca="1" si="39"/>
        <v>42.461466678814624</v>
      </c>
      <c r="H125" s="4">
        <f t="shared" ca="1" si="39"/>
        <v>45.556404967120365</v>
      </c>
      <c r="I125" s="4">
        <f t="shared" ca="1" si="39"/>
        <v>48.759217736953779</v>
      </c>
      <c r="J125" s="4">
        <f t="shared" ca="1" si="39"/>
        <v>52.07305936571786</v>
      </c>
      <c r="K125" s="4">
        <f t="shared" ca="1" si="39"/>
        <v>55.501169952981158</v>
      </c>
      <c r="L125" s="4">
        <f t="shared" ca="1" si="39"/>
        <v>59.046877566472823</v>
      </c>
      <c r="M125" s="4">
        <f t="shared" ca="1" si="39"/>
        <v>54.162231895420831</v>
      </c>
      <c r="N125" s="4">
        <f t="shared" ca="1" si="39"/>
        <v>57.960616264787625</v>
      </c>
      <c r="O125" s="4">
        <f t="shared" ca="1" si="39"/>
        <v>60.728012415807505</v>
      </c>
      <c r="P125" s="4">
        <f t="shared" ca="1" si="39"/>
        <v>63.570134279966034</v>
      </c>
      <c r="Q125" s="4">
        <f t="shared" ca="1" si="39"/>
        <v>66.488684001450565</v>
      </c>
      <c r="R125" s="4">
        <f t="shared" ca="1" si="39"/>
        <v>69.48539942863485</v>
      </c>
      <c r="S125" s="4">
        <f t="shared" ca="1" si="39"/>
        <v>72.562054827652247</v>
      </c>
      <c r="T125" s="4">
        <f t="shared" ca="1" si="39"/>
        <v>75.720461609787691</v>
      </c>
      <c r="U125" s="4">
        <f t="shared" ca="1" si="39"/>
        <v>78.962469072950299</v>
      </c>
      <c r="V125" s="4">
        <f t="shared" ca="1" si="39"/>
        <v>82.289965157493072</v>
      </c>
      <c r="W125" s="4">
        <f t="shared" ca="1" si="39"/>
        <v>78.858333638685792</v>
      </c>
      <c r="X125" s="4">
        <f t="shared" ca="1" si="39"/>
        <v>82.439960545395721</v>
      </c>
      <c r="Y125" s="4">
        <f t="shared" ca="1" si="39"/>
        <v>86.123286893748855</v>
      </c>
      <c r="Z125" s="4">
        <f t="shared" ca="1" si="39"/>
        <v>89.910797676130784</v>
      </c>
      <c r="AA125" s="4">
        <f t="shared" ca="1" si="39"/>
        <v>93.805034349827935</v>
      </c>
      <c r="AB125" s="4">
        <f t="shared" ca="1" si="39"/>
        <v>97.808596067801631</v>
      </c>
      <c r="AC125" s="4">
        <f t="shared" ca="1" si="39"/>
        <v>101.92414093559947</v>
      </c>
      <c r="AD125" s="4">
        <f t="shared" ca="1" si="39"/>
        <v>106.15438729494988</v>
      </c>
      <c r="AE125" s="4">
        <f t="shared" ca="1" si="39"/>
        <v>110.5021150345969</v>
      </c>
      <c r="AF125" s="4">
        <f t="shared" ca="1" si="39"/>
        <v>114.97016692894303</v>
      </c>
      <c r="AG125" s="4">
        <f t="shared" ca="1" si="39"/>
        <v>119.56145000508094</v>
      </c>
      <c r="AH125" s="4">
        <f t="shared" ca="1" si="39"/>
        <v>124.27893693880496</v>
      </c>
      <c r="AI125" s="4">
        <f t="shared" ca="1" si="39"/>
        <v>129.12566748020785</v>
      </c>
      <c r="AJ125" s="4">
        <f t="shared" ca="1" si="39"/>
        <v>134.10474990947816</v>
      </c>
      <c r="AK125" s="4">
        <f t="shared" ca="1" si="39"/>
        <v>139.21936252352887</v>
      </c>
      <c r="AL125" s="4">
        <f t="shared" ca="1" si="39"/>
        <v>144.47275515409854</v>
      </c>
      <c r="AM125" s="4">
        <f t="shared" ca="1" si="39"/>
        <v>149.86825071798106</v>
      </c>
      <c r="AN125" s="4">
        <f t="shared" ca="1" si="39"/>
        <v>155.40924680005324</v>
      </c>
      <c r="AO125" s="4">
        <f t="shared" ca="1" si="39"/>
        <v>161.09921726978257</v>
      </c>
      <c r="AP125" s="4">
        <f t="shared" ca="1" si="39"/>
        <v>166.94171393191243</v>
      </c>
      <c r="AQ125" s="4">
        <f t="shared" ca="1" si="39"/>
        <v>172.94036821203585</v>
      </c>
      <c r="AR125" s="4">
        <f t="shared" ca="1" si="39"/>
        <v>179.09889287778401</v>
      </c>
      <c r="AS125" s="4">
        <f t="shared" ca="1" si="39"/>
        <v>-3.9221959013957534E-14</v>
      </c>
      <c r="AT125" s="4">
        <f t="shared" ca="1" si="39"/>
        <v>-4.000639819423668E-14</v>
      </c>
      <c r="AU125" s="4">
        <f t="shared" ca="1" si="39"/>
        <v>-4.0806526158121412E-14</v>
      </c>
      <c r="AV125" s="4">
        <f t="shared" ca="1" si="39"/>
        <v>-4.1622656681283841E-14</v>
      </c>
      <c r="AW125" s="4">
        <f t="shared" ca="1" si="39"/>
        <v>-4.2455109814909515E-14</v>
      </c>
      <c r="AX125" s="4">
        <f t="shared" ca="1" si="39"/>
        <v>-4.3304212011207702E-14</v>
      </c>
      <c r="AY125" s="4">
        <f t="shared" ca="1" si="39"/>
        <v>-4.4170296251431856E-14</v>
      </c>
      <c r="AZ125" s="4">
        <f t="shared" ca="1" si="39"/>
        <v>-4.5053702176460495E-14</v>
      </c>
      <c r="BA125" s="4">
        <f t="shared" ca="1" si="39"/>
        <v>-4.5954776219989711E-14</v>
      </c>
      <c r="BB125" s="4">
        <f t="shared" ca="1" si="39"/>
        <v>-4.6873871744389506E-14</v>
      </c>
      <c r="BC125" s="4">
        <f t="shared" ca="1" si="39"/>
        <v>-4.7811349179277296E-14</v>
      </c>
      <c r="BD125" s="4">
        <f t="shared" ca="1" si="39"/>
        <v>-4.8767576162862843E-14</v>
      </c>
      <c r="BE125" s="4">
        <f t="shared" ca="1" si="39"/>
        <v>-4.9742927686120098E-14</v>
      </c>
      <c r="BF125" s="4">
        <f t="shared" ca="1" si="39"/>
        <v>-5.07377862398425E-14</v>
      </c>
      <c r="BG125" s="4">
        <f t="shared" ca="1" si="39"/>
        <v>-5.1752541964639351E-14</v>
      </c>
      <c r="BH125" s="4">
        <f t="shared" ca="1" si="39"/>
        <v>-5.2787592803932143E-14</v>
      </c>
      <c r="BI125" s="4">
        <f t="shared" ca="1" si="39"/>
        <v>-5.3843344660010787E-14</v>
      </c>
      <c r="BJ125" s="4">
        <f t="shared" ca="1" si="39"/>
        <v>-5.4920211553211001E-14</v>
      </c>
      <c r="BK125" s="4">
        <f t="shared" ca="1" si="39"/>
        <v>-5.601861578427522E-14</v>
      </c>
      <c r="BL125" s="4">
        <f t="shared" ca="1" si="39"/>
        <v>-5.7138988099960733E-14</v>
      </c>
    </row>
    <row r="126" spans="1:64" x14ac:dyDescent="0.35">
      <c r="A126" s="1"/>
      <c r="C126" s="2" t="s">
        <v>310</v>
      </c>
      <c r="D126" s="12"/>
      <c r="E126" s="4">
        <f t="shared" ref="E126:BL126" si="40">E75</f>
        <v>56.999999999999993</v>
      </c>
      <c r="F126" s="4">
        <f t="shared" ca="1" si="40"/>
        <v>56.451254826532654</v>
      </c>
      <c r="G126" s="4">
        <f t="shared" ca="1" si="40"/>
        <v>55.859184846126631</v>
      </c>
      <c r="H126" s="4">
        <f t="shared" ca="1" si="40"/>
        <v>55.222262845944407</v>
      </c>
      <c r="I126" s="4">
        <f t="shared" ca="1" si="40"/>
        <v>54.538916771437606</v>
      </c>
      <c r="J126" s="4">
        <f t="shared" ca="1" si="40"/>
        <v>53.807528505383296</v>
      </c>
      <c r="K126" s="4">
        <f t="shared" ca="1" si="40"/>
        <v>53.02643261489753</v>
      </c>
      <c r="L126" s="4">
        <f t="shared" ca="1" si="40"/>
        <v>52.193915065602816</v>
      </c>
      <c r="M126" s="4">
        <f t="shared" ca="1" si="40"/>
        <v>59.859580552456691</v>
      </c>
      <c r="N126" s="4">
        <f t="shared" ca="1" si="40"/>
        <v>58.911741494286822</v>
      </c>
      <c r="O126" s="4">
        <f t="shared" ca="1" si="40"/>
        <v>57.897430709653044</v>
      </c>
      <c r="P126" s="4">
        <f t="shared" ca="1" si="40"/>
        <v>56.834690492376417</v>
      </c>
      <c r="Q126" s="4">
        <f t="shared" ca="1" si="40"/>
        <v>55.72221314247701</v>
      </c>
      <c r="R126" s="4">
        <f t="shared" ca="1" si="40"/>
        <v>54.558661172451622</v>
      </c>
      <c r="S126" s="4">
        <f t="shared" ca="1" si="40"/>
        <v>53.342666682450513</v>
      </c>
      <c r="T126" s="4">
        <f t="shared" ca="1" si="40"/>
        <v>52.072830722966593</v>
      </c>
      <c r="U126" s="4">
        <f t="shared" ca="1" si="40"/>
        <v>50.747722644795303</v>
      </c>
      <c r="V126" s="4">
        <f t="shared" ca="1" si="40"/>
        <v>49.36587943601868</v>
      </c>
      <c r="W126" s="4">
        <f t="shared" ca="1" si="40"/>
        <v>54.772348623728625</v>
      </c>
      <c r="X126" s="4">
        <f t="shared" ca="1" si="40"/>
        <v>53.195181950954904</v>
      </c>
      <c r="Y126" s="4">
        <f t="shared" ca="1" si="40"/>
        <v>51.546382740046987</v>
      </c>
      <c r="Z126" s="4">
        <f t="shared" ca="1" si="40"/>
        <v>49.823917002172003</v>
      </c>
      <c r="AA126" s="4">
        <f t="shared" ca="1" si="40"/>
        <v>48.025701048649388</v>
      </c>
      <c r="AB126" s="4">
        <f t="shared" ca="1" si="40"/>
        <v>46.14960036165283</v>
      </c>
      <c r="AC126" s="4">
        <f t="shared" ca="1" si="40"/>
        <v>44.193428440296792</v>
      </c>
      <c r="AD126" s="4">
        <f t="shared" ca="1" si="40"/>
        <v>42.154945621584801</v>
      </c>
      <c r="AE126" s="4">
        <f t="shared" ca="1" si="40"/>
        <v>40.031857875685809</v>
      </c>
      <c r="AF126" s="4">
        <f t="shared" ca="1" si="40"/>
        <v>37.82181557499387</v>
      </c>
      <c r="AG126" s="4">
        <f t="shared" ca="1" si="40"/>
        <v>35.522412236415008</v>
      </c>
      <c r="AH126" s="4">
        <f t="shared" ca="1" si="40"/>
        <v>33.13118323631339</v>
      </c>
      <c r="AI126" s="4">
        <f t="shared" ca="1" si="40"/>
        <v>30.645604497537288</v>
      </c>
      <c r="AJ126" s="4">
        <f t="shared" ca="1" si="40"/>
        <v>28.063091147933132</v>
      </c>
      <c r="AK126" s="4">
        <f t="shared" ca="1" si="40"/>
        <v>25.38099614974357</v>
      </c>
      <c r="AL126" s="4">
        <f t="shared" ca="1" si="40"/>
        <v>22.596608899272994</v>
      </c>
      <c r="AM126" s="4">
        <f t="shared" ca="1" si="40"/>
        <v>19.707153796191022</v>
      </c>
      <c r="AN126" s="4">
        <f t="shared" ca="1" si="40"/>
        <v>16.709788781831399</v>
      </c>
      <c r="AO126" s="4">
        <f t="shared" ca="1" si="40"/>
        <v>13.601603845830336</v>
      </c>
      <c r="AP126" s="4">
        <f t="shared" ca="1" si="40"/>
        <v>10.379619500434686</v>
      </c>
      <c r="AQ126" s="4">
        <f t="shared" ca="1" si="40"/>
        <v>7.0407852217964368</v>
      </c>
      <c r="AR126" s="4">
        <f t="shared" ca="1" si="40"/>
        <v>3.5819778575557195</v>
      </c>
      <c r="AS126" s="4">
        <f t="shared" ca="1" si="40"/>
        <v>3.9221959013957534E-14</v>
      </c>
      <c r="AT126" s="4">
        <f t="shared" ca="1" si="40"/>
        <v>4.000639819423668E-14</v>
      </c>
      <c r="AU126" s="4">
        <f t="shared" ca="1" si="40"/>
        <v>4.0806526158121412E-14</v>
      </c>
      <c r="AV126" s="4">
        <f t="shared" ca="1" si="40"/>
        <v>4.1622656681283841E-14</v>
      </c>
      <c r="AW126" s="4">
        <f t="shared" ca="1" si="40"/>
        <v>4.2455109814909515E-14</v>
      </c>
      <c r="AX126" s="4">
        <f t="shared" ca="1" si="40"/>
        <v>4.3304212011207702E-14</v>
      </c>
      <c r="AY126" s="4">
        <f t="shared" ca="1" si="40"/>
        <v>4.4170296251431856E-14</v>
      </c>
      <c r="AZ126" s="4">
        <f t="shared" ca="1" si="40"/>
        <v>4.5053702176460495E-14</v>
      </c>
      <c r="BA126" s="4">
        <f t="shared" ca="1" si="40"/>
        <v>4.5954776219989711E-14</v>
      </c>
      <c r="BB126" s="4">
        <f t="shared" ca="1" si="40"/>
        <v>4.6873871744389506E-14</v>
      </c>
      <c r="BC126" s="4">
        <f t="shared" ca="1" si="40"/>
        <v>4.7811349179277296E-14</v>
      </c>
      <c r="BD126" s="4">
        <f t="shared" ca="1" si="40"/>
        <v>4.8767576162862843E-14</v>
      </c>
      <c r="BE126" s="4">
        <f t="shared" ca="1" si="40"/>
        <v>4.9742927686120098E-14</v>
      </c>
      <c r="BF126" s="4">
        <f t="shared" ca="1" si="40"/>
        <v>5.07377862398425E-14</v>
      </c>
      <c r="BG126" s="4">
        <f t="shared" ca="1" si="40"/>
        <v>5.1752541964639351E-14</v>
      </c>
      <c r="BH126" s="4">
        <f t="shared" ca="1" si="40"/>
        <v>5.2787592803932143E-14</v>
      </c>
      <c r="BI126" s="4">
        <f t="shared" ca="1" si="40"/>
        <v>5.3843344660010787E-14</v>
      </c>
      <c r="BJ126" s="4">
        <f t="shared" ca="1" si="40"/>
        <v>5.4920211553211001E-14</v>
      </c>
      <c r="BK126" s="4">
        <f t="shared" ca="1" si="40"/>
        <v>5.601861578427522E-14</v>
      </c>
      <c r="BL126" s="4">
        <f t="shared" ca="1" si="40"/>
        <v>5.7138988099960733E-14</v>
      </c>
    </row>
    <row r="127" spans="1:64" x14ac:dyDescent="0.35">
      <c r="A127" s="1"/>
      <c r="C127" s="2" t="s">
        <v>103</v>
      </c>
      <c r="D127" s="12"/>
      <c r="E127" s="4">
        <f t="shared" ref="E127:AJ127" ca="1" si="41">E77-D77</f>
        <v>4.7376399604522419</v>
      </c>
      <c r="F127" s="4">
        <f t="shared" ca="1" si="41"/>
        <v>4.8560809594635543</v>
      </c>
      <c r="G127" s="4">
        <f t="shared" ca="1" si="41"/>
        <v>4.9774829834501588</v>
      </c>
      <c r="H127" s="4">
        <f t="shared" ca="1" si="41"/>
        <v>5.1019200580363702</v>
      </c>
      <c r="I127" s="4">
        <f t="shared" ca="1" si="41"/>
        <v>5.2294680594872887</v>
      </c>
      <c r="J127" s="4">
        <f t="shared" ca="1" si="41"/>
        <v>5.3602047609745114</v>
      </c>
      <c r="K127" s="4">
        <f t="shared" ca="1" si="41"/>
        <v>5.4942098799988344</v>
      </c>
      <c r="L127" s="4">
        <f t="shared" ca="1" si="41"/>
        <v>5.6315651269987939</v>
      </c>
      <c r="M127" s="4">
        <f t="shared" ca="1" si="41"/>
        <v>4.6036306775830269</v>
      </c>
      <c r="N127" s="4">
        <f t="shared" ca="1" si="41"/>
        <v>3.5324670132680183</v>
      </c>
      <c r="O127" s="4">
        <f t="shared" ca="1" si="41"/>
        <v>3.5854540184670327</v>
      </c>
      <c r="P127" s="4">
        <f t="shared" ca="1" si="41"/>
        <v>3.6392358287440061</v>
      </c>
      <c r="Q127" s="4">
        <f t="shared" ca="1" si="41"/>
        <v>3.6938243661751926</v>
      </c>
      <c r="R127" s="4">
        <f t="shared" ca="1" si="41"/>
        <v>3.7492317316678054</v>
      </c>
      <c r="S127" s="4">
        <f t="shared" ca="1" si="41"/>
        <v>3.8054702076428271</v>
      </c>
      <c r="T127" s="4">
        <f t="shared" ca="1" si="41"/>
        <v>3.862552260757468</v>
      </c>
      <c r="U127" s="4">
        <f t="shared" ca="1" si="41"/>
        <v>3.9204905446687803</v>
      </c>
      <c r="V127" s="4">
        <f t="shared" ca="1" si="41"/>
        <v>3.97929790283888</v>
      </c>
      <c r="W127" s="4">
        <f t="shared" ca="1" si="41"/>
        <v>4.038987371381495</v>
      </c>
      <c r="X127" s="4">
        <f t="shared" ca="1" si="41"/>
        <v>4.0995721819521123</v>
      </c>
      <c r="Y127" s="4">
        <f t="shared" ca="1" si="41"/>
        <v>4.1610657646814957</v>
      </c>
      <c r="Z127" s="4">
        <f t="shared" ca="1" si="41"/>
        <v>4.2234817511516667</v>
      </c>
      <c r="AA127" s="4">
        <f t="shared" ca="1" si="41"/>
        <v>4.2868339774189508</v>
      </c>
      <c r="AB127" s="4">
        <f t="shared" ca="1" si="41"/>
        <v>4.3511364870802254</v>
      </c>
      <c r="AC127" s="4">
        <f t="shared" ca="1" si="41"/>
        <v>4.4164035343864612</v>
      </c>
      <c r="AD127" s="4">
        <f t="shared" ca="1" si="41"/>
        <v>4.482649587402193</v>
      </c>
      <c r="AE127" s="4">
        <f t="shared" ca="1" si="41"/>
        <v>4.5498893312132509</v>
      </c>
      <c r="AF127" s="4">
        <f t="shared" ca="1" si="41"/>
        <v>4.6181376711814437</v>
      </c>
      <c r="AG127" s="4">
        <f t="shared" ca="1" si="41"/>
        <v>4.687409736249208</v>
      </c>
      <c r="AH127" s="4">
        <f t="shared" ca="1" si="41"/>
        <v>4.7577208822929151</v>
      </c>
      <c r="AI127" s="4">
        <f t="shared" ca="1" si="41"/>
        <v>4.8290866955272804</v>
      </c>
      <c r="AJ127" s="4">
        <f t="shared" ca="1" si="41"/>
        <v>4.9015229959602493</v>
      </c>
      <c r="AK127" s="4">
        <f t="shared" ref="AK127:BL127" ca="1" si="42">AK77-AJ77</f>
        <v>4.975045840899611</v>
      </c>
      <c r="AL127" s="4">
        <f t="shared" ca="1" si="42"/>
        <v>5.0496715285131586</v>
      </c>
      <c r="AM127" s="4">
        <f t="shared" ca="1" si="42"/>
        <v>5.1254166014408611</v>
      </c>
      <c r="AN127" s="4">
        <f t="shared" ca="1" si="42"/>
        <v>5.2022978504624007</v>
      </c>
      <c r="AO127" s="4">
        <f t="shared" ca="1" si="42"/>
        <v>5.2803323182193935</v>
      </c>
      <c r="AP127" s="4">
        <f t="shared" ca="1" si="42"/>
        <v>5.359537302992635</v>
      </c>
      <c r="AQ127" s="4">
        <f t="shared" ca="1" si="42"/>
        <v>-179.98115343383228</v>
      </c>
      <c r="AR127" s="4">
        <f t="shared" ca="1" si="42"/>
        <v>-182.68087073533974</v>
      </c>
      <c r="AS127" s="4">
        <f t="shared" ca="1" si="42"/>
        <v>0</v>
      </c>
      <c r="AT127" s="4">
        <f t="shared" ca="1" si="42"/>
        <v>0</v>
      </c>
      <c r="AU127" s="4">
        <f t="shared" ca="1" si="42"/>
        <v>0</v>
      </c>
      <c r="AV127" s="4">
        <f t="shared" ca="1" si="42"/>
        <v>0</v>
      </c>
      <c r="AW127" s="4">
        <f t="shared" ca="1" si="42"/>
        <v>0</v>
      </c>
      <c r="AX127" s="4">
        <f t="shared" ca="1" si="42"/>
        <v>0</v>
      </c>
      <c r="AY127" s="4">
        <f t="shared" ca="1" si="42"/>
        <v>0</v>
      </c>
      <c r="AZ127" s="4">
        <f t="shared" ca="1" si="42"/>
        <v>0</v>
      </c>
      <c r="BA127" s="4">
        <f t="shared" ca="1" si="42"/>
        <v>0</v>
      </c>
      <c r="BB127" s="4">
        <f t="shared" ca="1" si="42"/>
        <v>0</v>
      </c>
      <c r="BC127" s="4">
        <f t="shared" ca="1" si="42"/>
        <v>0</v>
      </c>
      <c r="BD127" s="4">
        <f t="shared" ca="1" si="42"/>
        <v>0</v>
      </c>
      <c r="BE127" s="4">
        <f t="shared" ca="1" si="42"/>
        <v>0</v>
      </c>
      <c r="BF127" s="4">
        <f t="shared" ca="1" si="42"/>
        <v>0</v>
      </c>
      <c r="BG127" s="4">
        <f t="shared" ca="1" si="42"/>
        <v>0</v>
      </c>
      <c r="BH127" s="4">
        <f t="shared" ca="1" si="42"/>
        <v>0</v>
      </c>
      <c r="BI127" s="4">
        <f t="shared" ca="1" si="42"/>
        <v>0</v>
      </c>
      <c r="BJ127" s="4">
        <f t="shared" ca="1" si="42"/>
        <v>0</v>
      </c>
      <c r="BK127" s="4">
        <f t="shared" ca="1" si="42"/>
        <v>0</v>
      </c>
      <c r="BL127" s="4">
        <f t="shared" ca="1" si="42"/>
        <v>0</v>
      </c>
    </row>
    <row r="128" spans="1:64" x14ac:dyDescent="0.35">
      <c r="A128" s="1"/>
      <c r="D128" s="4"/>
      <c r="AG128" s="4"/>
      <c r="AH128" s="4"/>
    </row>
    <row r="129" spans="1:64" ht="15" thickBot="1" x14ac:dyDescent="0.4">
      <c r="A129" s="1"/>
      <c r="C129" s="24" t="s">
        <v>101</v>
      </c>
      <c r="D129" s="25">
        <f>-D31+D70</f>
        <v>-200.00000000000045</v>
      </c>
      <c r="E129" s="25">
        <f t="shared" ref="E129:AJ129" ca="1" si="43">E124-E125-E126-E127</f>
        <v>55.429348475058767</v>
      </c>
      <c r="F129" s="25">
        <f t="shared" ca="1" si="43"/>
        <v>56.815082186935221</v>
      </c>
      <c r="G129" s="25">
        <f t="shared" ca="1" si="43"/>
        <v>58.235459241608588</v>
      </c>
      <c r="H129" s="25">
        <f t="shared" ca="1" si="43"/>
        <v>59.691345722648833</v>
      </c>
      <c r="I129" s="25">
        <f t="shared" ca="1" si="43"/>
        <v>61.183629365715035</v>
      </c>
      <c r="J129" s="25">
        <f t="shared" ca="1" si="43"/>
        <v>62.713220099857892</v>
      </c>
      <c r="K129" s="25">
        <f t="shared" ca="1" si="43"/>
        <v>64.281050602354355</v>
      </c>
      <c r="L129" s="25">
        <f t="shared" ca="1" si="43"/>
        <v>65.888076867413218</v>
      </c>
      <c r="M129" s="25">
        <f t="shared" ca="1" si="43"/>
        <v>68.704002366689281</v>
      </c>
      <c r="N129" s="25">
        <f t="shared" ca="1" si="43"/>
        <v>71.607856857111102</v>
      </c>
      <c r="O129" s="25">
        <f t="shared" ca="1" si="43"/>
        <v>72.681974709967761</v>
      </c>
      <c r="P129" s="25">
        <f t="shared" ca="1" si="43"/>
        <v>73.772204330617313</v>
      </c>
      <c r="Q129" s="25">
        <f t="shared" ca="1" si="43"/>
        <v>74.878787395576524</v>
      </c>
      <c r="R129" s="25">
        <f t="shared" ca="1" si="43"/>
        <v>76.001969206510182</v>
      </c>
      <c r="S129" s="25">
        <f t="shared" ca="1" si="43"/>
        <v>77.141998744607818</v>
      </c>
      <c r="T129" s="25">
        <f t="shared" ca="1" si="43"/>
        <v>78.299128725776939</v>
      </c>
      <c r="U129" s="25">
        <f t="shared" ca="1" si="43"/>
        <v>79.473615656663597</v>
      </c>
      <c r="V129" s="25">
        <f t="shared" ca="1" si="43"/>
        <v>80.665719891513504</v>
      </c>
      <c r="W129" s="25">
        <f t="shared" ca="1" si="43"/>
        <v>81.875705689886161</v>
      </c>
      <c r="X129" s="25">
        <f t="shared" ca="1" si="43"/>
        <v>83.103841275234529</v>
      </c>
      <c r="Y129" s="25">
        <f t="shared" ca="1" si="43"/>
        <v>84.350398894362968</v>
      </c>
      <c r="Z129" s="25">
        <f t="shared" ca="1" si="43"/>
        <v>85.615654877778439</v>
      </c>
      <c r="AA129" s="25">
        <f t="shared" ca="1" si="43"/>
        <v>86.899889700945096</v>
      </c>
      <c r="AB129" s="25">
        <f t="shared" ca="1" si="43"/>
        <v>88.203388046459281</v>
      </c>
      <c r="AC129" s="25">
        <f t="shared" ca="1" si="43"/>
        <v>89.526438867156116</v>
      </c>
      <c r="AD129" s="25">
        <f t="shared" ca="1" si="43"/>
        <v>90.869335450163533</v>
      </c>
      <c r="AE129" s="25">
        <f t="shared" ca="1" si="43"/>
        <v>92.232375481915938</v>
      </c>
      <c r="AF129" s="25">
        <f t="shared" ca="1" si="43"/>
        <v>93.615861114144678</v>
      </c>
      <c r="AG129" s="25">
        <f t="shared" ca="1" si="43"/>
        <v>95.02009903085677</v>
      </c>
      <c r="AH129" s="25">
        <f t="shared" ca="1" si="43"/>
        <v>96.445400516319651</v>
      </c>
      <c r="AI129" s="25">
        <f t="shared" ca="1" si="43"/>
        <v>97.892081524064437</v>
      </c>
      <c r="AJ129" s="25">
        <f t="shared" ca="1" si="43"/>
        <v>99.36046274692535</v>
      </c>
      <c r="AK129" s="25">
        <f t="shared" ref="AK129:BL129" ca="1" si="44">AK124-AK125-AK126-AK127</f>
        <v>100.85086968812928</v>
      </c>
      <c r="AL129" s="25">
        <f t="shared" ca="1" si="44"/>
        <v>102.36363273345115</v>
      </c>
      <c r="AM129" s="25">
        <f t="shared" ca="1" si="44"/>
        <v>103.8990872244529</v>
      </c>
      <c r="AN129" s="25">
        <f t="shared" ca="1" si="44"/>
        <v>105.45757353281977</v>
      </c>
      <c r="AO129" s="25">
        <f t="shared" ca="1" si="44"/>
        <v>107.03943713581199</v>
      </c>
      <c r="AP129" s="25">
        <f t="shared" ca="1" si="44"/>
        <v>108.64502869284921</v>
      </c>
      <c r="AQ129" s="25">
        <f t="shared" ca="1" si="44"/>
        <v>295.69578791961175</v>
      </c>
      <c r="AR129" s="25">
        <f t="shared" ca="1" si="44"/>
        <v>300.13122473840588</v>
      </c>
      <c r="AS129" s="25">
        <f t="shared" ca="1" si="44"/>
        <v>0</v>
      </c>
      <c r="AT129" s="25">
        <f t="shared" ca="1" si="44"/>
        <v>0</v>
      </c>
      <c r="AU129" s="25">
        <f t="shared" ca="1" si="44"/>
        <v>0</v>
      </c>
      <c r="AV129" s="25">
        <f t="shared" ca="1" si="44"/>
        <v>0</v>
      </c>
      <c r="AW129" s="25">
        <f t="shared" ca="1" si="44"/>
        <v>0</v>
      </c>
      <c r="AX129" s="25">
        <f t="shared" ca="1" si="44"/>
        <v>0</v>
      </c>
      <c r="AY129" s="25">
        <f t="shared" ca="1" si="44"/>
        <v>0</v>
      </c>
      <c r="AZ129" s="25">
        <f t="shared" ca="1" si="44"/>
        <v>0</v>
      </c>
      <c r="BA129" s="25">
        <f t="shared" ca="1" si="44"/>
        <v>0</v>
      </c>
      <c r="BB129" s="25">
        <f t="shared" ca="1" si="44"/>
        <v>0</v>
      </c>
      <c r="BC129" s="25">
        <f t="shared" ca="1" si="44"/>
        <v>0</v>
      </c>
      <c r="BD129" s="25">
        <f t="shared" ca="1" si="44"/>
        <v>0</v>
      </c>
      <c r="BE129" s="25">
        <f t="shared" ca="1" si="44"/>
        <v>0</v>
      </c>
      <c r="BF129" s="25">
        <f t="shared" ca="1" si="44"/>
        <v>0</v>
      </c>
      <c r="BG129" s="25">
        <f t="shared" ca="1" si="44"/>
        <v>0</v>
      </c>
      <c r="BH129" s="25">
        <f t="shared" ca="1" si="44"/>
        <v>0</v>
      </c>
      <c r="BI129" s="25">
        <f t="shared" ca="1" si="44"/>
        <v>0</v>
      </c>
      <c r="BJ129" s="25">
        <f t="shared" ca="1" si="44"/>
        <v>0</v>
      </c>
      <c r="BK129" s="25">
        <f t="shared" ca="1" si="44"/>
        <v>0</v>
      </c>
      <c r="BL129" s="25">
        <f t="shared" ca="1" si="44"/>
        <v>0</v>
      </c>
    </row>
    <row r="130" spans="1:64" x14ac:dyDescent="0.35">
      <c r="A130" s="1"/>
      <c r="C130" s="2" t="s">
        <v>100</v>
      </c>
      <c r="D130" s="12">
        <f ca="1">IRR(129:129)</f>
        <v>0.30224792647880783</v>
      </c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</row>
    <row r="132" spans="1:64" x14ac:dyDescent="0.35">
      <c r="C132" s="2" t="s">
        <v>306</v>
      </c>
    </row>
    <row r="133" spans="1:64" x14ac:dyDescent="0.35">
      <c r="C133" s="2" t="s">
        <v>307</v>
      </c>
      <c r="D133" s="4">
        <f>D70</f>
        <v>3799.9999999999995</v>
      </c>
    </row>
    <row r="134" spans="1:64" x14ac:dyDescent="0.35">
      <c r="C134" s="2" t="s">
        <v>308</v>
      </c>
      <c r="D134" s="4">
        <f>D28+D29+D30</f>
        <v>4000</v>
      </c>
    </row>
    <row r="135" spans="1:64" x14ac:dyDescent="0.35">
      <c r="C135" s="2" t="s">
        <v>306</v>
      </c>
      <c r="D135" s="12">
        <f>D133/D134</f>
        <v>0.94999999999999984</v>
      </c>
    </row>
    <row r="137" spans="1:64" x14ac:dyDescent="0.35">
      <c r="C137" s="2" t="s">
        <v>202</v>
      </c>
    </row>
    <row r="138" spans="1:64" x14ac:dyDescent="0.35">
      <c r="C138" s="2" t="s">
        <v>311</v>
      </c>
      <c r="E138" s="4">
        <f t="shared" ref="E138:AJ138" si="45">E48</f>
        <v>153.75</v>
      </c>
      <c r="F138" s="4">
        <f t="shared" si="45"/>
        <v>157.59375</v>
      </c>
      <c r="G138" s="4">
        <f t="shared" si="45"/>
        <v>161.53359374999999</v>
      </c>
      <c r="H138" s="4">
        <f t="shared" si="45"/>
        <v>165.57193359374997</v>
      </c>
      <c r="I138" s="4">
        <f t="shared" si="45"/>
        <v>169.71123193359372</v>
      </c>
      <c r="J138" s="4">
        <f t="shared" si="45"/>
        <v>173.95401273193355</v>
      </c>
      <c r="K138" s="4">
        <f t="shared" si="45"/>
        <v>178.30286305023188</v>
      </c>
      <c r="L138" s="4">
        <f t="shared" si="45"/>
        <v>182.76043462648767</v>
      </c>
      <c r="M138" s="4">
        <f t="shared" si="45"/>
        <v>187.32944549214983</v>
      </c>
      <c r="N138" s="4">
        <f t="shared" si="45"/>
        <v>192.01268162945357</v>
      </c>
      <c r="O138" s="4">
        <f t="shared" si="45"/>
        <v>194.89287185389534</v>
      </c>
      <c r="P138" s="4">
        <f t="shared" si="45"/>
        <v>197.81626493170376</v>
      </c>
      <c r="Q138" s="4">
        <f t="shared" si="45"/>
        <v>200.7835089056793</v>
      </c>
      <c r="R138" s="4">
        <f t="shared" si="45"/>
        <v>203.79526153926446</v>
      </c>
      <c r="S138" s="4">
        <f t="shared" si="45"/>
        <v>206.85219046235341</v>
      </c>
      <c r="T138" s="4">
        <f t="shared" si="45"/>
        <v>209.95497331928868</v>
      </c>
      <c r="U138" s="4">
        <f t="shared" si="45"/>
        <v>213.10429791907799</v>
      </c>
      <c r="V138" s="4">
        <f t="shared" si="45"/>
        <v>216.30086238786413</v>
      </c>
      <c r="W138" s="4">
        <f t="shared" si="45"/>
        <v>219.54537532368207</v>
      </c>
      <c r="X138" s="4">
        <f t="shared" si="45"/>
        <v>222.83855595353728</v>
      </c>
      <c r="Y138" s="4">
        <f t="shared" si="45"/>
        <v>226.18113429284031</v>
      </c>
      <c r="Z138" s="4">
        <f t="shared" si="45"/>
        <v>229.5738513072329</v>
      </c>
      <c r="AA138" s="4">
        <f t="shared" si="45"/>
        <v>233.01745907684136</v>
      </c>
      <c r="AB138" s="4">
        <f t="shared" si="45"/>
        <v>236.51272096299397</v>
      </c>
      <c r="AC138" s="4">
        <f t="shared" si="45"/>
        <v>240.06041177743884</v>
      </c>
      <c r="AD138" s="4">
        <f t="shared" si="45"/>
        <v>243.66131795410041</v>
      </c>
      <c r="AE138" s="4">
        <f t="shared" si="45"/>
        <v>247.31623772341189</v>
      </c>
      <c r="AF138" s="4">
        <f t="shared" si="45"/>
        <v>251.02598128926303</v>
      </c>
      <c r="AG138" s="4">
        <f t="shared" si="45"/>
        <v>254.79137100860194</v>
      </c>
      <c r="AH138" s="4">
        <f t="shared" si="45"/>
        <v>258.61324157373093</v>
      </c>
      <c r="AI138" s="4">
        <f t="shared" si="45"/>
        <v>262.49244019733686</v>
      </c>
      <c r="AJ138" s="4">
        <f t="shared" si="45"/>
        <v>266.42982680029689</v>
      </c>
      <c r="AK138" s="4">
        <f t="shared" ref="AK138:BL138" si="46">AK48</f>
        <v>270.42627420230133</v>
      </c>
      <c r="AL138" s="4">
        <f t="shared" si="46"/>
        <v>274.48266831533584</v>
      </c>
      <c r="AM138" s="4">
        <f t="shared" si="46"/>
        <v>278.59990834006584</v>
      </c>
      <c r="AN138" s="4">
        <f t="shared" si="46"/>
        <v>282.77890696516681</v>
      </c>
      <c r="AO138" s="4">
        <f t="shared" si="46"/>
        <v>287.0205905696443</v>
      </c>
      <c r="AP138" s="4">
        <f t="shared" si="46"/>
        <v>291.32589942818896</v>
      </c>
      <c r="AQ138" s="4">
        <f t="shared" si="46"/>
        <v>295.69578791961175</v>
      </c>
      <c r="AR138" s="4">
        <f t="shared" si="46"/>
        <v>300.13122473840588</v>
      </c>
      <c r="AS138" s="4">
        <f t="shared" si="46"/>
        <v>304.63319310948191</v>
      </c>
      <c r="AT138" s="4">
        <f t="shared" si="46"/>
        <v>309.2026910061241</v>
      </c>
      <c r="AU138" s="4">
        <f t="shared" si="46"/>
        <v>313.84073137121595</v>
      </c>
      <c r="AV138" s="4">
        <f t="shared" si="46"/>
        <v>318.54834234178418</v>
      </c>
      <c r="AW138" s="4">
        <f t="shared" si="46"/>
        <v>323.3265674769109</v>
      </c>
      <c r="AX138" s="4">
        <f t="shared" si="46"/>
        <v>328.17646598906452</v>
      </c>
      <c r="AY138" s="4">
        <f t="shared" si="46"/>
        <v>333.09911297890045</v>
      </c>
      <c r="AZ138" s="4">
        <f t="shared" si="46"/>
        <v>338.09559967358393</v>
      </c>
      <c r="BA138" s="4">
        <f t="shared" si="46"/>
        <v>343.16703366868768</v>
      </c>
      <c r="BB138" s="4">
        <f t="shared" si="46"/>
        <v>348.31453917371795</v>
      </c>
      <c r="BC138" s="4">
        <f t="shared" si="46"/>
        <v>353.53925726132366</v>
      </c>
      <c r="BD138" s="4">
        <f t="shared" si="46"/>
        <v>358.84234612024346</v>
      </c>
      <c r="BE138" s="4">
        <f t="shared" si="46"/>
        <v>364.22498131204708</v>
      </c>
      <c r="BF138" s="4">
        <f t="shared" si="46"/>
        <v>369.68835603172772</v>
      </c>
      <c r="BG138" s="4">
        <f t="shared" si="46"/>
        <v>375.23368137220359</v>
      </c>
      <c r="BH138" s="4">
        <f t="shared" si="46"/>
        <v>380.8621865927866</v>
      </c>
      <c r="BI138" s="4">
        <f t="shared" si="46"/>
        <v>386.57511939167836</v>
      </c>
      <c r="BJ138" s="4">
        <f t="shared" si="46"/>
        <v>392.37374618255348</v>
      </c>
      <c r="BK138" s="4">
        <f t="shared" si="46"/>
        <v>398.25935237529171</v>
      </c>
      <c r="BL138" s="4">
        <f t="shared" si="46"/>
        <v>404.23324266092106</v>
      </c>
    </row>
    <row r="139" spans="1:64" x14ac:dyDescent="0.35">
      <c r="C139" s="2" t="s">
        <v>312</v>
      </c>
      <c r="E139" s="4">
        <f t="shared" ref="E139:AJ139" ca="1" si="47">E75+E73+E66</f>
        <v>93.583011564488999</v>
      </c>
      <c r="F139" s="4">
        <f t="shared" ca="1" si="47"/>
        <v>95.922586853601217</v>
      </c>
      <c r="G139" s="4">
        <f t="shared" ca="1" si="47"/>
        <v>98.320651524941255</v>
      </c>
      <c r="H139" s="4">
        <f t="shared" ca="1" si="47"/>
        <v>100.77866781306477</v>
      </c>
      <c r="I139" s="4">
        <f t="shared" ca="1" si="47"/>
        <v>103.29813450839139</v>
      </c>
      <c r="J139" s="4">
        <f t="shared" ca="1" si="47"/>
        <v>105.88058787110116</v>
      </c>
      <c r="K139" s="4">
        <f t="shared" ca="1" si="47"/>
        <v>108.52760256787869</v>
      </c>
      <c r="L139" s="4">
        <f t="shared" ca="1" si="47"/>
        <v>111.24079263207564</v>
      </c>
      <c r="M139" s="4">
        <f t="shared" ca="1" si="47"/>
        <v>114.02181244787752</v>
      </c>
      <c r="N139" s="4">
        <f t="shared" ca="1" si="47"/>
        <v>116.87235775907445</v>
      </c>
      <c r="O139" s="4">
        <f t="shared" ca="1" si="47"/>
        <v>118.62544312546055</v>
      </c>
      <c r="P139" s="4">
        <f t="shared" ca="1" si="47"/>
        <v>120.40482477234245</v>
      </c>
      <c r="Q139" s="4">
        <f t="shared" ca="1" si="47"/>
        <v>122.21089714392758</v>
      </c>
      <c r="R139" s="4">
        <f t="shared" ca="1" si="47"/>
        <v>124.04406060108647</v>
      </c>
      <c r="S139" s="4">
        <f t="shared" ca="1" si="47"/>
        <v>125.90472151010276</v>
      </c>
      <c r="T139" s="4">
        <f t="shared" ca="1" si="47"/>
        <v>127.79329233275428</v>
      </c>
      <c r="U139" s="4">
        <f t="shared" ca="1" si="47"/>
        <v>129.7101917177456</v>
      </c>
      <c r="V139" s="4">
        <f t="shared" ca="1" si="47"/>
        <v>131.65584459351174</v>
      </c>
      <c r="W139" s="4">
        <f t="shared" ca="1" si="47"/>
        <v>133.63068226241441</v>
      </c>
      <c r="X139" s="4">
        <f t="shared" ca="1" si="47"/>
        <v>135.63514249635062</v>
      </c>
      <c r="Y139" s="4">
        <f t="shared" ca="1" si="47"/>
        <v>137.66966963379585</v>
      </c>
      <c r="Z139" s="4">
        <f t="shared" ca="1" si="47"/>
        <v>139.73471467830279</v>
      </c>
      <c r="AA139" s="4">
        <f t="shared" ca="1" si="47"/>
        <v>141.83073539847732</v>
      </c>
      <c r="AB139" s="4">
        <f t="shared" ca="1" si="47"/>
        <v>143.95819642945446</v>
      </c>
      <c r="AC139" s="4">
        <f t="shared" ca="1" si="47"/>
        <v>146.11756937589627</v>
      </c>
      <c r="AD139" s="4">
        <f t="shared" ca="1" si="47"/>
        <v>148.30933291653469</v>
      </c>
      <c r="AE139" s="4">
        <f t="shared" ca="1" si="47"/>
        <v>150.5339729102827</v>
      </c>
      <c r="AF139" s="4">
        <f t="shared" ca="1" si="47"/>
        <v>152.79198250393691</v>
      </c>
      <c r="AG139" s="4">
        <f t="shared" ca="1" si="47"/>
        <v>155.08386224149595</v>
      </c>
      <c r="AH139" s="4">
        <f t="shared" ca="1" si="47"/>
        <v>157.41012017511835</v>
      </c>
      <c r="AI139" s="4">
        <f t="shared" ca="1" si="47"/>
        <v>159.77127197774513</v>
      </c>
      <c r="AJ139" s="4">
        <f t="shared" ca="1" si="47"/>
        <v>162.16784105741129</v>
      </c>
      <c r="AK139" s="4">
        <f t="shared" ref="AK139:BL139" ca="1" si="48">AK75+AK73+AK66</f>
        <v>164.60035867327244</v>
      </c>
      <c r="AL139" s="4">
        <f t="shared" ca="1" si="48"/>
        <v>167.06936405337154</v>
      </c>
      <c r="AM139" s="4">
        <f t="shared" ca="1" si="48"/>
        <v>169.57540451417208</v>
      </c>
      <c r="AN139" s="4">
        <f t="shared" ca="1" si="48"/>
        <v>172.11903558188465</v>
      </c>
      <c r="AO139" s="4">
        <f t="shared" ca="1" si="48"/>
        <v>174.70082111561291</v>
      </c>
      <c r="AP139" s="4">
        <f t="shared" ca="1" si="48"/>
        <v>177.3213334323471</v>
      </c>
      <c r="AQ139" s="4">
        <f t="shared" ca="1" si="48"/>
        <v>179.98115343383228</v>
      </c>
      <c r="AR139" s="4">
        <f t="shared" ca="1" si="48"/>
        <v>182.68087073533974</v>
      </c>
      <c r="AS139" s="4">
        <f t="shared" ca="1" si="48"/>
        <v>0</v>
      </c>
      <c r="AT139" s="4">
        <f t="shared" ca="1" si="48"/>
        <v>0</v>
      </c>
      <c r="AU139" s="4">
        <f t="shared" ca="1" si="48"/>
        <v>0</v>
      </c>
      <c r="AV139" s="4">
        <f t="shared" ca="1" si="48"/>
        <v>0</v>
      </c>
      <c r="AW139" s="4">
        <f t="shared" ca="1" si="48"/>
        <v>0</v>
      </c>
      <c r="AX139" s="4">
        <f t="shared" ca="1" si="48"/>
        <v>0</v>
      </c>
      <c r="AY139" s="4">
        <f t="shared" ca="1" si="48"/>
        <v>0</v>
      </c>
      <c r="AZ139" s="4">
        <f t="shared" ca="1" si="48"/>
        <v>0</v>
      </c>
      <c r="BA139" s="4">
        <f t="shared" ca="1" si="48"/>
        <v>0</v>
      </c>
      <c r="BB139" s="4">
        <f t="shared" ca="1" si="48"/>
        <v>0</v>
      </c>
      <c r="BC139" s="4">
        <f t="shared" ca="1" si="48"/>
        <v>0</v>
      </c>
      <c r="BD139" s="4">
        <f t="shared" ca="1" si="48"/>
        <v>0</v>
      </c>
      <c r="BE139" s="4">
        <f t="shared" ca="1" si="48"/>
        <v>0</v>
      </c>
      <c r="BF139" s="4">
        <f t="shared" ca="1" si="48"/>
        <v>0</v>
      </c>
      <c r="BG139" s="4">
        <f t="shared" ca="1" si="48"/>
        <v>0</v>
      </c>
      <c r="BH139" s="4">
        <f t="shared" ca="1" si="48"/>
        <v>0</v>
      </c>
      <c r="BI139" s="4">
        <f t="shared" ca="1" si="48"/>
        <v>0</v>
      </c>
      <c r="BJ139" s="4">
        <f t="shared" ca="1" si="48"/>
        <v>0</v>
      </c>
      <c r="BK139" s="4">
        <f t="shared" ca="1" si="48"/>
        <v>0</v>
      </c>
      <c r="BL139" s="4">
        <f t="shared" ca="1" si="48"/>
        <v>0</v>
      </c>
    </row>
    <row r="140" spans="1:64" x14ac:dyDescent="0.35">
      <c r="C140" s="2" t="s">
        <v>313</v>
      </c>
      <c r="E140" s="4">
        <f ca="1">IF(E139,E138/E139)</f>
        <v>1.6429263968925527</v>
      </c>
      <c r="F140" s="4">
        <f t="shared" ref="F140:BL140" ca="1" si="49">IF(F139,F138/F139)</f>
        <v>1.6429263968925527</v>
      </c>
      <c r="G140" s="4">
        <f t="shared" ca="1" si="49"/>
        <v>1.6429263968925527</v>
      </c>
      <c r="H140" s="4">
        <f t="shared" ca="1" si="49"/>
        <v>1.6429263968925527</v>
      </c>
      <c r="I140" s="4">
        <f t="shared" ca="1" si="49"/>
        <v>1.6429263968925527</v>
      </c>
      <c r="J140" s="4">
        <f t="shared" ca="1" si="49"/>
        <v>1.6429263968925527</v>
      </c>
      <c r="K140" s="4">
        <f t="shared" ca="1" si="49"/>
        <v>1.6429263968925527</v>
      </c>
      <c r="L140" s="4">
        <f t="shared" ca="1" si="49"/>
        <v>1.6429263968925527</v>
      </c>
      <c r="M140" s="4">
        <f t="shared" ca="1" si="49"/>
        <v>1.6429263968925527</v>
      </c>
      <c r="N140" s="4">
        <f t="shared" ca="1" si="49"/>
        <v>1.6429263968925527</v>
      </c>
      <c r="O140" s="4">
        <f t="shared" ca="1" si="49"/>
        <v>1.6429263968925527</v>
      </c>
      <c r="P140" s="4">
        <f t="shared" ca="1" si="49"/>
        <v>1.6429263968925527</v>
      </c>
      <c r="Q140" s="4">
        <f t="shared" ca="1" si="49"/>
        <v>1.6429263968925527</v>
      </c>
      <c r="R140" s="4">
        <f t="shared" ca="1" si="49"/>
        <v>1.6429263968925527</v>
      </c>
      <c r="S140" s="4">
        <f t="shared" ca="1" si="49"/>
        <v>1.6429263968925527</v>
      </c>
      <c r="T140" s="4">
        <f t="shared" ca="1" si="49"/>
        <v>1.6429263968925529</v>
      </c>
      <c r="U140" s="4">
        <f t="shared" ca="1" si="49"/>
        <v>1.6429263968925525</v>
      </c>
      <c r="V140" s="4">
        <f t="shared" ca="1" si="49"/>
        <v>1.6429263968925527</v>
      </c>
      <c r="W140" s="4">
        <f t="shared" ca="1" si="49"/>
        <v>1.6429263968925527</v>
      </c>
      <c r="X140" s="4">
        <f t="shared" ca="1" si="49"/>
        <v>1.6429263968925527</v>
      </c>
      <c r="Y140" s="4">
        <f t="shared" ca="1" si="49"/>
        <v>1.6429263968925529</v>
      </c>
      <c r="Z140" s="4">
        <f t="shared" ca="1" si="49"/>
        <v>1.6429263968925527</v>
      </c>
      <c r="AA140" s="4">
        <f t="shared" ca="1" si="49"/>
        <v>1.6429263968925527</v>
      </c>
      <c r="AB140" s="4">
        <f t="shared" ca="1" si="49"/>
        <v>1.6429263968925527</v>
      </c>
      <c r="AC140" s="4">
        <f t="shared" ca="1" si="49"/>
        <v>1.6429263968925527</v>
      </c>
      <c r="AD140" s="4">
        <f t="shared" ca="1" si="49"/>
        <v>1.6429263968925527</v>
      </c>
      <c r="AE140" s="4">
        <f t="shared" ca="1" si="49"/>
        <v>1.6429263968925527</v>
      </c>
      <c r="AF140" s="4">
        <f t="shared" ca="1" si="49"/>
        <v>1.6429263968925527</v>
      </c>
      <c r="AG140" s="4">
        <f t="shared" ca="1" si="49"/>
        <v>1.6429263968925527</v>
      </c>
      <c r="AH140" s="4">
        <f t="shared" ca="1" si="49"/>
        <v>1.6429263968925529</v>
      </c>
      <c r="AI140" s="4">
        <f t="shared" ca="1" si="49"/>
        <v>1.6429263968925525</v>
      </c>
      <c r="AJ140" s="4">
        <f t="shared" ca="1" si="49"/>
        <v>1.6429263968925525</v>
      </c>
      <c r="AK140" s="4">
        <f t="shared" ca="1" si="49"/>
        <v>1.6429263968925527</v>
      </c>
      <c r="AL140" s="4">
        <f t="shared" ca="1" si="49"/>
        <v>1.6429263968925525</v>
      </c>
      <c r="AM140" s="4">
        <f t="shared" ca="1" si="49"/>
        <v>1.6429263968925527</v>
      </c>
      <c r="AN140" s="4">
        <f t="shared" ca="1" si="49"/>
        <v>1.6429263968925527</v>
      </c>
      <c r="AO140" s="4">
        <f t="shared" ca="1" si="49"/>
        <v>1.6429263968925527</v>
      </c>
      <c r="AP140" s="4">
        <f t="shared" ca="1" si="49"/>
        <v>1.6429263968925527</v>
      </c>
      <c r="AQ140" s="4">
        <f t="shared" ca="1" si="49"/>
        <v>1.6429263968925527</v>
      </c>
      <c r="AR140" s="4">
        <f t="shared" ca="1" si="49"/>
        <v>1.6429263968925527</v>
      </c>
      <c r="AS140" s="4" t="b">
        <f t="shared" ca="1" si="49"/>
        <v>0</v>
      </c>
      <c r="AT140" s="4" t="b">
        <f t="shared" ca="1" si="49"/>
        <v>0</v>
      </c>
      <c r="AU140" s="4" t="b">
        <f t="shared" ca="1" si="49"/>
        <v>0</v>
      </c>
      <c r="AV140" s="4" t="b">
        <f t="shared" ca="1" si="49"/>
        <v>0</v>
      </c>
      <c r="AW140" s="4" t="b">
        <f t="shared" ca="1" si="49"/>
        <v>0</v>
      </c>
      <c r="AX140" s="4" t="b">
        <f t="shared" ca="1" si="49"/>
        <v>0</v>
      </c>
      <c r="AY140" s="4" t="b">
        <f t="shared" ca="1" si="49"/>
        <v>0</v>
      </c>
      <c r="AZ140" s="4" t="b">
        <f t="shared" ca="1" si="49"/>
        <v>0</v>
      </c>
      <c r="BA140" s="4" t="b">
        <f t="shared" ca="1" si="49"/>
        <v>0</v>
      </c>
      <c r="BB140" s="4" t="b">
        <f t="shared" ca="1" si="49"/>
        <v>0</v>
      </c>
      <c r="BC140" s="4" t="b">
        <f t="shared" ca="1" si="49"/>
        <v>0</v>
      </c>
      <c r="BD140" s="4" t="b">
        <f t="shared" ca="1" si="49"/>
        <v>0</v>
      </c>
      <c r="BE140" s="4" t="b">
        <f t="shared" ca="1" si="49"/>
        <v>0</v>
      </c>
      <c r="BF140" s="4" t="b">
        <f t="shared" ca="1" si="49"/>
        <v>0</v>
      </c>
      <c r="BG140" s="4" t="b">
        <f t="shared" ca="1" si="49"/>
        <v>0</v>
      </c>
      <c r="BH140" s="4" t="b">
        <f t="shared" ca="1" si="49"/>
        <v>0</v>
      </c>
      <c r="BI140" s="4" t="b">
        <f t="shared" ca="1" si="49"/>
        <v>0</v>
      </c>
      <c r="BJ140" s="4" t="b">
        <f t="shared" ca="1" si="49"/>
        <v>0</v>
      </c>
      <c r="BK140" s="4" t="b">
        <f t="shared" ca="1" si="49"/>
        <v>0</v>
      </c>
      <c r="BL140" s="4" t="b">
        <f t="shared" ca="1" si="49"/>
        <v>0</v>
      </c>
    </row>
    <row r="141" spans="1:64" x14ac:dyDescent="0.35">
      <c r="C141" s="2" t="s">
        <v>300</v>
      </c>
      <c r="D141" s="4">
        <f ca="1">MIN(140:140)</f>
        <v>1.6429263968925525</v>
      </c>
    </row>
    <row r="142" spans="1:64" x14ac:dyDescent="0.35">
      <c r="C142" s="2" t="s">
        <v>314</v>
      </c>
      <c r="D142" s="4">
        <f ca="1">AVERAGE(140:140)</f>
        <v>1.6429263968925536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print="0" autoFill="0" autoPict="0" macro="[0]!total_tax_func">
                <anchor moveWithCells="1" sizeWithCells="1">
                  <from>
                    <xdr:col>9</xdr:col>
                    <xdr:colOff>495300</xdr:colOff>
                    <xdr:row>2</xdr:row>
                    <xdr:rowOff>38100</xdr:rowOff>
                  </from>
                  <to>
                    <xdr:col>11</xdr:col>
                    <xdr:colOff>514350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Check Box 2">
              <controlPr defaultSize="0" autoFill="0" autoLine="0" autoPict="0">
                <anchor moveWithCells="1">
                  <from>
                    <xdr:col>4</xdr:col>
                    <xdr:colOff>12700</xdr:colOff>
                    <xdr:row>11</xdr:row>
                    <xdr:rowOff>12700</xdr:rowOff>
                  </from>
                  <to>
                    <xdr:col>5</xdr:col>
                    <xdr:colOff>228600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Spinner 3">
              <controlPr defaultSize="0" autoPict="0">
                <anchor moveWithCells="1" sizeWithCells="1">
                  <from>
                    <xdr:col>4</xdr:col>
                    <xdr:colOff>88900</xdr:colOff>
                    <xdr:row>34</xdr:row>
                    <xdr:rowOff>184150</xdr:rowOff>
                  </from>
                  <to>
                    <xdr:col>4</xdr:col>
                    <xdr:colOff>393700</xdr:colOff>
                    <xdr:row>36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40" r:id="rId7" name="Spinner 4">
              <controlPr defaultSize="0" autoPict="0">
                <anchor moveWithCells="1" sizeWithCells="1">
                  <from>
                    <xdr:col>12</xdr:col>
                    <xdr:colOff>50800</xdr:colOff>
                    <xdr:row>14</xdr:row>
                    <xdr:rowOff>171450</xdr:rowOff>
                  </from>
                  <to>
                    <xdr:col>12</xdr:col>
                    <xdr:colOff>355600</xdr:colOff>
                    <xdr:row>15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7"/>
  <dimension ref="A1:AH68"/>
  <sheetViews>
    <sheetView zoomScale="80" zoomScaleNormal="80" workbookViewId="0">
      <pane xSplit="4" ySplit="7" topLeftCell="E8" activePane="bottomRight" state="frozen"/>
      <selection pane="topRight" activeCell="E1" sqref="E1"/>
      <selection pane="bottomLeft" activeCell="A8" sqref="A8"/>
      <selection pane="bottomRight" activeCell="D15" sqref="D15"/>
    </sheetView>
  </sheetViews>
  <sheetFormatPr defaultColWidth="9.1796875" defaultRowHeight="14.5" outlineLevelCol="1" x14ac:dyDescent="0.35"/>
  <cols>
    <col min="1" max="2" width="1.26953125" style="2" customWidth="1"/>
    <col min="3" max="3" width="47.36328125" style="2" customWidth="1"/>
    <col min="4" max="4" width="12.7265625" style="2" customWidth="1"/>
    <col min="5" max="7" width="10.81640625" style="2" hidden="1" customWidth="1" outlineLevel="1"/>
    <col min="8" max="8" width="10.81640625" style="2" customWidth="1" collapsed="1"/>
    <col min="9" max="64" width="10.81640625" style="2" customWidth="1"/>
    <col min="65" max="16384" width="9.1796875" style="2"/>
  </cols>
  <sheetData>
    <row r="1" spans="1:34" ht="26" x14ac:dyDescent="0.6">
      <c r="A1" s="1"/>
      <c r="B1" s="1"/>
      <c r="C1" s="49" t="s">
        <v>518</v>
      </c>
    </row>
    <row r="2" spans="1:34" ht="26" x14ac:dyDescent="0.6">
      <c r="A2" s="1"/>
      <c r="B2" s="1"/>
      <c r="C2" s="49" t="s">
        <v>531</v>
      </c>
    </row>
    <row r="3" spans="1:34" ht="26" x14ac:dyDescent="0.6">
      <c r="A3" s="1"/>
      <c r="B3" s="1"/>
      <c r="C3" s="49" t="s">
        <v>532</v>
      </c>
    </row>
    <row r="5" spans="1:34" s="40" customFormat="1" x14ac:dyDescent="0.35">
      <c r="A5" s="40" t="s">
        <v>507</v>
      </c>
    </row>
    <row r="6" spans="1:34" s="1" customFormat="1" x14ac:dyDescent="0.35">
      <c r="C6" s="1" t="s">
        <v>65</v>
      </c>
      <c r="E6" s="169">
        <v>1</v>
      </c>
      <c r="F6" s="169">
        <v>2</v>
      </c>
      <c r="G6" s="169">
        <v>3</v>
      </c>
      <c r="H6" s="169">
        <v>4</v>
      </c>
      <c r="I6" s="169">
        <v>5</v>
      </c>
      <c r="J6" s="169">
        <v>6</v>
      </c>
      <c r="K6" s="169">
        <v>7</v>
      </c>
      <c r="L6" s="169">
        <v>8</v>
      </c>
      <c r="M6" s="169">
        <v>9</v>
      </c>
      <c r="N6" s="169">
        <v>10</v>
      </c>
      <c r="O6" s="169">
        <v>11</v>
      </c>
      <c r="P6" s="169">
        <v>12</v>
      </c>
      <c r="Q6" s="169">
        <v>13</v>
      </c>
      <c r="R6" s="169">
        <v>14</v>
      </c>
      <c r="S6" s="169">
        <v>15</v>
      </c>
      <c r="T6" s="169">
        <v>16</v>
      </c>
      <c r="U6" s="169">
        <v>17</v>
      </c>
      <c r="V6" s="169">
        <v>18</v>
      </c>
      <c r="W6" s="169">
        <v>19</v>
      </c>
      <c r="X6" s="169">
        <v>20</v>
      </c>
      <c r="Y6" s="169">
        <v>21</v>
      </c>
      <c r="Z6" s="169">
        <v>22</v>
      </c>
      <c r="AA6" s="169">
        <v>23</v>
      </c>
      <c r="AB6" s="169">
        <v>24</v>
      </c>
      <c r="AC6" s="169">
        <v>25</v>
      </c>
      <c r="AD6" s="169">
        <v>26</v>
      </c>
      <c r="AE6" s="169">
        <v>27</v>
      </c>
      <c r="AF6" s="169">
        <v>28</v>
      </c>
      <c r="AG6" s="169">
        <v>29</v>
      </c>
      <c r="AH6" s="169">
        <v>30</v>
      </c>
    </row>
    <row r="7" spans="1:34" x14ac:dyDescent="0.35">
      <c r="A7" s="1"/>
      <c r="B7" s="1"/>
      <c r="C7" s="2" t="s">
        <v>48</v>
      </c>
      <c r="E7" s="2" t="b">
        <f>E6&lt;=$D$21</f>
        <v>1</v>
      </c>
      <c r="F7" s="2" t="b">
        <f t="shared" ref="F7:AH7" si="0">F6&lt;=$D$21</f>
        <v>1</v>
      </c>
      <c r="G7" s="2" t="b">
        <f t="shared" si="0"/>
        <v>1</v>
      </c>
      <c r="H7" s="2" t="b">
        <f t="shared" si="0"/>
        <v>1</v>
      </c>
      <c r="I7" s="2" t="b">
        <f t="shared" si="0"/>
        <v>1</v>
      </c>
      <c r="J7" s="2" t="b">
        <f t="shared" si="0"/>
        <v>1</v>
      </c>
      <c r="K7" s="2" t="b">
        <f t="shared" si="0"/>
        <v>1</v>
      </c>
      <c r="L7" s="2" t="b">
        <f t="shared" si="0"/>
        <v>1</v>
      </c>
      <c r="M7" s="2" t="b">
        <f t="shared" si="0"/>
        <v>1</v>
      </c>
      <c r="N7" s="2" t="b">
        <f t="shared" si="0"/>
        <v>1</v>
      </c>
      <c r="O7" s="2" t="b">
        <f t="shared" si="0"/>
        <v>1</v>
      </c>
      <c r="P7" s="2" t="b">
        <f t="shared" si="0"/>
        <v>1</v>
      </c>
      <c r="Q7" s="2" t="b">
        <f t="shared" si="0"/>
        <v>1</v>
      </c>
      <c r="R7" s="2" t="b">
        <f t="shared" si="0"/>
        <v>1</v>
      </c>
      <c r="S7" s="2" t="b">
        <f t="shared" si="0"/>
        <v>1</v>
      </c>
      <c r="T7" s="2" t="b">
        <f t="shared" si="0"/>
        <v>1</v>
      </c>
      <c r="U7" s="2" t="b">
        <f t="shared" si="0"/>
        <v>1</v>
      </c>
      <c r="V7" s="2" t="b">
        <f t="shared" si="0"/>
        <v>1</v>
      </c>
      <c r="W7" s="2" t="b">
        <f t="shared" si="0"/>
        <v>1</v>
      </c>
      <c r="X7" s="2" t="b">
        <f t="shared" si="0"/>
        <v>1</v>
      </c>
      <c r="Y7" s="2" t="b">
        <f t="shared" si="0"/>
        <v>0</v>
      </c>
      <c r="Z7" s="2" t="b">
        <f t="shared" si="0"/>
        <v>0</v>
      </c>
      <c r="AA7" s="2" t="b">
        <f t="shared" si="0"/>
        <v>0</v>
      </c>
      <c r="AB7" s="2" t="b">
        <f t="shared" si="0"/>
        <v>0</v>
      </c>
      <c r="AC7" s="2" t="b">
        <f t="shared" si="0"/>
        <v>0</v>
      </c>
      <c r="AD7" s="2" t="b">
        <f t="shared" si="0"/>
        <v>0</v>
      </c>
      <c r="AE7" s="2" t="b">
        <f t="shared" si="0"/>
        <v>0</v>
      </c>
      <c r="AF7" s="2" t="b">
        <f t="shared" si="0"/>
        <v>0</v>
      </c>
      <c r="AG7" s="2" t="b">
        <f t="shared" si="0"/>
        <v>0</v>
      </c>
      <c r="AH7" s="2" t="b">
        <f t="shared" si="0"/>
        <v>0</v>
      </c>
    </row>
    <row r="8" spans="1:34" x14ac:dyDescent="0.35">
      <c r="A8" s="1"/>
      <c r="B8" s="1"/>
    </row>
    <row r="9" spans="1:34" x14ac:dyDescent="0.35">
      <c r="A9" s="1"/>
      <c r="B9" s="1"/>
      <c r="C9" s="2" t="s">
        <v>12</v>
      </c>
      <c r="D9" s="166">
        <v>3000</v>
      </c>
      <c r="H9" s="32" t="s">
        <v>10</v>
      </c>
      <c r="I9" s="4">
        <f>D65</f>
        <v>1.1454744334965763</v>
      </c>
    </row>
    <row r="10" spans="1:34" x14ac:dyDescent="0.35">
      <c r="A10" s="1"/>
      <c r="B10" s="1"/>
      <c r="C10" s="2" t="s">
        <v>13</v>
      </c>
      <c r="D10" s="14">
        <v>2</v>
      </c>
      <c r="H10" s="32" t="s">
        <v>108</v>
      </c>
      <c r="I10" s="7">
        <f>D57</f>
        <v>2582.601431348703</v>
      </c>
    </row>
    <row r="11" spans="1:34" x14ac:dyDescent="0.35">
      <c r="A11" s="1"/>
      <c r="B11" s="1"/>
      <c r="C11" s="2" t="s">
        <v>14</v>
      </c>
      <c r="D11" s="6">
        <f>D9*D10</f>
        <v>6000</v>
      </c>
      <c r="H11" s="32" t="s">
        <v>102</v>
      </c>
      <c r="I11" s="12">
        <f>I10/D9</f>
        <v>0.86086714378290097</v>
      </c>
    </row>
    <row r="12" spans="1:34" x14ac:dyDescent="0.35">
      <c r="A12" s="1"/>
      <c r="B12" s="1"/>
      <c r="C12" s="2" t="s">
        <v>1</v>
      </c>
      <c r="D12" s="15">
        <v>1.25</v>
      </c>
    </row>
    <row r="13" spans="1:34" x14ac:dyDescent="0.35">
      <c r="A13" s="1"/>
      <c r="B13" s="1"/>
      <c r="C13" s="2" t="s">
        <v>24</v>
      </c>
      <c r="D13" s="157">
        <v>0.04</v>
      </c>
      <c r="H13" s="32" t="s">
        <v>515</v>
      </c>
      <c r="I13" s="12">
        <f>D37</f>
        <v>6.1250160862723169E-2</v>
      </c>
    </row>
    <row r="14" spans="1:34" x14ac:dyDescent="0.35">
      <c r="A14" s="1"/>
      <c r="B14" s="1"/>
      <c r="H14" s="27" t="s">
        <v>309</v>
      </c>
      <c r="I14" s="168">
        <f>D68</f>
        <v>0.12652114835048467</v>
      </c>
    </row>
    <row r="15" spans="1:34" x14ac:dyDescent="0.35">
      <c r="A15" s="1"/>
      <c r="B15" s="1"/>
      <c r="C15" s="2" t="s">
        <v>508</v>
      </c>
      <c r="D15" s="13">
        <v>0</v>
      </c>
    </row>
    <row r="16" spans="1:34" x14ac:dyDescent="0.35">
      <c r="A16" s="1"/>
      <c r="B16" s="1"/>
      <c r="C16" s="2" t="s">
        <v>509</v>
      </c>
      <c r="D16" s="4">
        <f>E35/D12</f>
        <v>182.608</v>
      </c>
    </row>
    <row r="17" spans="1:29" x14ac:dyDescent="0.35">
      <c r="A17" s="1"/>
      <c r="B17" s="1"/>
      <c r="C17" s="2" t="s">
        <v>83</v>
      </c>
      <c r="D17" s="4">
        <f>D16*(D15/12)</f>
        <v>0</v>
      </c>
    </row>
    <row r="18" spans="1:29" ht="15" thickBot="1" x14ac:dyDescent="0.4">
      <c r="A18" s="1"/>
      <c r="B18" s="1"/>
      <c r="C18" s="24" t="s">
        <v>513</v>
      </c>
      <c r="D18" s="25">
        <f>D9+D17</f>
        <v>3000</v>
      </c>
    </row>
    <row r="19" spans="1:29" x14ac:dyDescent="0.35">
      <c r="A19" s="1"/>
      <c r="B19" s="1"/>
    </row>
    <row r="20" spans="1:29" x14ac:dyDescent="0.35">
      <c r="A20" s="1"/>
      <c r="B20" s="1"/>
      <c r="C20" s="2" t="s">
        <v>516</v>
      </c>
      <c r="D20" s="13" t="b">
        <v>1</v>
      </c>
    </row>
    <row r="21" spans="1:29" x14ac:dyDescent="0.35">
      <c r="A21" s="1"/>
      <c r="B21" s="1"/>
      <c r="C21" s="2" t="s">
        <v>36</v>
      </c>
      <c r="D21" s="13">
        <v>20</v>
      </c>
    </row>
    <row r="22" spans="1:29" x14ac:dyDescent="0.35">
      <c r="A22" s="1"/>
      <c r="B22" s="1"/>
    </row>
    <row r="23" spans="1:29" x14ac:dyDescent="0.35">
      <c r="A23" s="1"/>
      <c r="B23" s="1"/>
      <c r="C23" s="2" t="s">
        <v>37</v>
      </c>
      <c r="E23" s="13">
        <v>0</v>
      </c>
      <c r="F23" s="13">
        <v>3</v>
      </c>
      <c r="G23" s="13">
        <v>7</v>
      </c>
      <c r="H23" s="13">
        <v>10</v>
      </c>
    </row>
    <row r="24" spans="1:29" x14ac:dyDescent="0.35">
      <c r="A24" s="1"/>
      <c r="B24" s="1"/>
      <c r="C24" s="2" t="s">
        <v>38</v>
      </c>
      <c r="E24" s="14">
        <v>0.01</v>
      </c>
      <c r="F24" s="14">
        <v>0.01</v>
      </c>
      <c r="G24" s="14">
        <v>0</v>
      </c>
      <c r="H24" s="14">
        <v>0</v>
      </c>
    </row>
    <row r="25" spans="1:29" x14ac:dyDescent="0.35">
      <c r="A25" s="1"/>
      <c r="B25" s="1"/>
    </row>
    <row r="26" spans="1:29" x14ac:dyDescent="0.35">
      <c r="A26" s="1"/>
      <c r="B26" s="1"/>
      <c r="C26" s="2" t="s">
        <v>45</v>
      </c>
      <c r="D26" s="15">
        <v>226</v>
      </c>
      <c r="F26" s="4"/>
      <c r="G26" s="4"/>
    </row>
    <row r="27" spans="1:29" x14ac:dyDescent="0.35">
      <c r="A27" s="1"/>
      <c r="B27" s="1"/>
    </row>
    <row r="28" spans="1:29" x14ac:dyDescent="0.35">
      <c r="A28" s="1"/>
      <c r="B28" s="1"/>
      <c r="C28" s="2" t="s">
        <v>510</v>
      </c>
      <c r="E28" s="2" t="b">
        <f t="shared" ref="E28:AC28" si="1">E6=$D$21</f>
        <v>0</v>
      </c>
      <c r="F28" s="2" t="b">
        <f t="shared" si="1"/>
        <v>0</v>
      </c>
      <c r="G28" s="2" t="b">
        <f t="shared" si="1"/>
        <v>0</v>
      </c>
      <c r="H28" s="2" t="b">
        <f t="shared" si="1"/>
        <v>0</v>
      </c>
      <c r="I28" s="2" t="b">
        <f t="shared" si="1"/>
        <v>0</v>
      </c>
      <c r="J28" s="2" t="b">
        <f t="shared" si="1"/>
        <v>0</v>
      </c>
      <c r="K28" s="2" t="b">
        <f t="shared" si="1"/>
        <v>0</v>
      </c>
      <c r="L28" s="2" t="b">
        <f t="shared" si="1"/>
        <v>0</v>
      </c>
      <c r="M28" s="2" t="b">
        <f t="shared" si="1"/>
        <v>0</v>
      </c>
      <c r="N28" s="2" t="b">
        <f t="shared" si="1"/>
        <v>0</v>
      </c>
      <c r="O28" s="2" t="b">
        <f t="shared" si="1"/>
        <v>0</v>
      </c>
      <c r="P28" s="2" t="b">
        <f t="shared" si="1"/>
        <v>0</v>
      </c>
      <c r="Q28" s="2" t="b">
        <f t="shared" si="1"/>
        <v>0</v>
      </c>
      <c r="R28" s="2" t="b">
        <f t="shared" si="1"/>
        <v>0</v>
      </c>
      <c r="S28" s="2" t="b">
        <f t="shared" si="1"/>
        <v>0</v>
      </c>
      <c r="T28" s="2" t="b">
        <f t="shared" si="1"/>
        <v>0</v>
      </c>
      <c r="U28" s="2" t="b">
        <f t="shared" si="1"/>
        <v>0</v>
      </c>
      <c r="V28" s="2" t="b">
        <f t="shared" si="1"/>
        <v>0</v>
      </c>
      <c r="W28" s="2" t="b">
        <f t="shared" si="1"/>
        <v>0</v>
      </c>
      <c r="X28" s="2" t="b">
        <f t="shared" si="1"/>
        <v>1</v>
      </c>
      <c r="Y28" s="2" t="b">
        <f t="shared" si="1"/>
        <v>0</v>
      </c>
      <c r="Z28" s="2" t="b">
        <f t="shared" si="1"/>
        <v>0</v>
      </c>
      <c r="AA28" s="2" t="b">
        <f t="shared" si="1"/>
        <v>0</v>
      </c>
      <c r="AB28" s="2" t="b">
        <f t="shared" si="1"/>
        <v>0</v>
      </c>
      <c r="AC28" s="2" t="b">
        <f t="shared" si="1"/>
        <v>0</v>
      </c>
    </row>
    <row r="29" spans="1:29" x14ac:dyDescent="0.35">
      <c r="A29" s="1"/>
      <c r="B29" s="1"/>
    </row>
    <row r="30" spans="1:29" x14ac:dyDescent="0.35">
      <c r="A30" s="1"/>
      <c r="B30" s="1"/>
      <c r="C30" s="2" t="s">
        <v>511</v>
      </c>
      <c r="D30" s="4">
        <f>D17</f>
        <v>0</v>
      </c>
      <c r="E30" s="167">
        <f>$D$30*E28</f>
        <v>0</v>
      </c>
      <c r="F30" s="167">
        <f t="shared" ref="F30:AC30" si="2">$D$30*F28</f>
        <v>0</v>
      </c>
      <c r="G30" s="167">
        <f t="shared" si="2"/>
        <v>0</v>
      </c>
      <c r="H30" s="167">
        <f t="shared" si="2"/>
        <v>0</v>
      </c>
      <c r="I30" s="167">
        <f t="shared" si="2"/>
        <v>0</v>
      </c>
      <c r="J30" s="167">
        <f t="shared" si="2"/>
        <v>0</v>
      </c>
      <c r="K30" s="167">
        <f t="shared" si="2"/>
        <v>0</v>
      </c>
      <c r="L30" s="167">
        <f t="shared" si="2"/>
        <v>0</v>
      </c>
      <c r="M30" s="167">
        <f t="shared" si="2"/>
        <v>0</v>
      </c>
      <c r="N30" s="167">
        <f t="shared" si="2"/>
        <v>0</v>
      </c>
      <c r="O30" s="167">
        <f t="shared" si="2"/>
        <v>0</v>
      </c>
      <c r="P30" s="167">
        <f t="shared" si="2"/>
        <v>0</v>
      </c>
      <c r="Q30" s="167">
        <f t="shared" si="2"/>
        <v>0</v>
      </c>
      <c r="R30" s="167">
        <f t="shared" si="2"/>
        <v>0</v>
      </c>
      <c r="S30" s="167">
        <f t="shared" si="2"/>
        <v>0</v>
      </c>
      <c r="T30" s="167">
        <f t="shared" si="2"/>
        <v>0</v>
      </c>
      <c r="U30" s="167">
        <f t="shared" si="2"/>
        <v>0</v>
      </c>
      <c r="V30" s="167">
        <f t="shared" si="2"/>
        <v>0</v>
      </c>
      <c r="W30" s="167">
        <f t="shared" si="2"/>
        <v>0</v>
      </c>
      <c r="X30" s="167">
        <f t="shared" si="2"/>
        <v>0</v>
      </c>
      <c r="Y30" s="167">
        <f t="shared" si="2"/>
        <v>0</v>
      </c>
      <c r="Z30" s="167">
        <f t="shared" si="2"/>
        <v>0</v>
      </c>
      <c r="AA30" s="167">
        <f t="shared" si="2"/>
        <v>0</v>
      </c>
      <c r="AB30" s="167">
        <f t="shared" si="2"/>
        <v>0</v>
      </c>
      <c r="AC30" s="167">
        <f t="shared" si="2"/>
        <v>0</v>
      </c>
    </row>
    <row r="31" spans="1:29" x14ac:dyDescent="0.35">
      <c r="A31" s="1"/>
      <c r="B31" s="1"/>
    </row>
    <row r="32" spans="1:29" x14ac:dyDescent="0.35">
      <c r="A32" s="1"/>
      <c r="B32" s="1"/>
      <c r="C32" s="2" t="s">
        <v>512</v>
      </c>
      <c r="D32" s="4">
        <f>NPV(D13,E30:AC30)</f>
        <v>0</v>
      </c>
      <c r="E32" s="4">
        <f>D32/D12</f>
        <v>0</v>
      </c>
    </row>
    <row r="33" spans="1:29" x14ac:dyDescent="0.35">
      <c r="A33" s="1"/>
      <c r="B33" s="1"/>
    </row>
    <row r="34" spans="1:29" x14ac:dyDescent="0.35">
      <c r="A34" s="1"/>
      <c r="B34" s="1"/>
      <c r="E34" s="12">
        <f t="shared" ref="E34:AC34" si="3">LOOKUP(E6,23:23,24:24)</f>
        <v>0.01</v>
      </c>
      <c r="F34" s="12">
        <f t="shared" si="3"/>
        <v>0.01</v>
      </c>
      <c r="G34" s="12">
        <f t="shared" si="3"/>
        <v>0.01</v>
      </c>
      <c r="H34" s="12">
        <f t="shared" si="3"/>
        <v>0.01</v>
      </c>
      <c r="I34" s="12">
        <f t="shared" si="3"/>
        <v>0.01</v>
      </c>
      <c r="J34" s="12">
        <f t="shared" si="3"/>
        <v>0.01</v>
      </c>
      <c r="K34" s="12">
        <f t="shared" si="3"/>
        <v>0</v>
      </c>
      <c r="L34" s="12">
        <f t="shared" si="3"/>
        <v>0</v>
      </c>
      <c r="M34" s="12">
        <f t="shared" si="3"/>
        <v>0</v>
      </c>
      <c r="N34" s="12">
        <f t="shared" si="3"/>
        <v>0</v>
      </c>
      <c r="O34" s="12">
        <f t="shared" si="3"/>
        <v>0</v>
      </c>
      <c r="P34" s="12">
        <f t="shared" si="3"/>
        <v>0</v>
      </c>
      <c r="Q34" s="12">
        <f t="shared" si="3"/>
        <v>0</v>
      </c>
      <c r="R34" s="12">
        <f t="shared" si="3"/>
        <v>0</v>
      </c>
      <c r="S34" s="12">
        <f t="shared" si="3"/>
        <v>0</v>
      </c>
      <c r="T34" s="12">
        <f t="shared" si="3"/>
        <v>0</v>
      </c>
      <c r="U34" s="12">
        <f t="shared" si="3"/>
        <v>0</v>
      </c>
      <c r="V34" s="12">
        <f t="shared" si="3"/>
        <v>0</v>
      </c>
      <c r="W34" s="12">
        <f t="shared" si="3"/>
        <v>0</v>
      </c>
      <c r="X34" s="12">
        <f t="shared" si="3"/>
        <v>0</v>
      </c>
      <c r="Y34" s="12">
        <f t="shared" si="3"/>
        <v>0</v>
      </c>
      <c r="Z34" s="12">
        <f t="shared" si="3"/>
        <v>0</v>
      </c>
      <c r="AA34" s="12">
        <f t="shared" si="3"/>
        <v>0</v>
      </c>
      <c r="AB34" s="12">
        <f t="shared" si="3"/>
        <v>0</v>
      </c>
      <c r="AC34" s="12">
        <f t="shared" si="3"/>
        <v>0</v>
      </c>
    </row>
    <row r="35" spans="1:29" x14ac:dyDescent="0.35">
      <c r="A35" s="1"/>
      <c r="B35" s="1"/>
      <c r="C35" s="2" t="s">
        <v>2</v>
      </c>
      <c r="D35" s="4">
        <f>D26</f>
        <v>226</v>
      </c>
      <c r="E35" s="4">
        <f>D35*(1+E34)</f>
        <v>228.26</v>
      </c>
      <c r="F35" s="4">
        <f t="shared" ref="F35:AC35" si="4">E35*(1+F34)</f>
        <v>230.54259999999999</v>
      </c>
      <c r="G35" s="4">
        <f t="shared" si="4"/>
        <v>232.848026</v>
      </c>
      <c r="H35" s="4">
        <f t="shared" si="4"/>
        <v>235.17650626</v>
      </c>
      <c r="I35" s="4">
        <f t="shared" si="4"/>
        <v>237.52827132260001</v>
      </c>
      <c r="J35" s="4">
        <f t="shared" si="4"/>
        <v>239.90355403582601</v>
      </c>
      <c r="K35" s="4">
        <f t="shared" si="4"/>
        <v>239.90355403582601</v>
      </c>
      <c r="L35" s="4">
        <f t="shared" si="4"/>
        <v>239.90355403582601</v>
      </c>
      <c r="M35" s="4">
        <f t="shared" si="4"/>
        <v>239.90355403582601</v>
      </c>
      <c r="N35" s="4">
        <f t="shared" si="4"/>
        <v>239.90355403582601</v>
      </c>
      <c r="O35" s="4">
        <f t="shared" si="4"/>
        <v>239.90355403582601</v>
      </c>
      <c r="P35" s="4">
        <f t="shared" si="4"/>
        <v>239.90355403582601</v>
      </c>
      <c r="Q35" s="4">
        <f t="shared" si="4"/>
        <v>239.90355403582601</v>
      </c>
      <c r="R35" s="4">
        <f t="shared" si="4"/>
        <v>239.90355403582601</v>
      </c>
      <c r="S35" s="4">
        <f t="shared" si="4"/>
        <v>239.90355403582601</v>
      </c>
      <c r="T35" s="4">
        <f t="shared" si="4"/>
        <v>239.90355403582601</v>
      </c>
      <c r="U35" s="4">
        <f t="shared" si="4"/>
        <v>239.90355403582601</v>
      </c>
      <c r="V35" s="4">
        <f t="shared" si="4"/>
        <v>239.90355403582601</v>
      </c>
      <c r="W35" s="4">
        <f t="shared" si="4"/>
        <v>239.90355403582601</v>
      </c>
      <c r="X35" s="4">
        <f t="shared" si="4"/>
        <v>239.90355403582601</v>
      </c>
      <c r="Y35" s="4">
        <f t="shared" si="4"/>
        <v>239.90355403582601</v>
      </c>
      <c r="Z35" s="4">
        <f t="shared" si="4"/>
        <v>239.90355403582601</v>
      </c>
      <c r="AA35" s="4">
        <f t="shared" si="4"/>
        <v>239.90355403582601</v>
      </c>
      <c r="AB35" s="4">
        <f t="shared" si="4"/>
        <v>239.90355403582601</v>
      </c>
      <c r="AC35" s="4">
        <f t="shared" si="4"/>
        <v>239.90355403582601</v>
      </c>
    </row>
    <row r="36" spans="1:29" x14ac:dyDescent="0.35">
      <c r="A36" s="1"/>
      <c r="B36" s="1"/>
      <c r="C36" s="2" t="s">
        <v>514</v>
      </c>
      <c r="D36" s="4">
        <f>-D9</f>
        <v>-3000</v>
      </c>
      <c r="E36" s="4">
        <f>E35</f>
        <v>228.26</v>
      </c>
      <c r="F36" s="4">
        <f t="shared" ref="F36:AC36" si="5">F35</f>
        <v>230.54259999999999</v>
      </c>
      <c r="G36" s="4">
        <f t="shared" si="5"/>
        <v>232.848026</v>
      </c>
      <c r="H36" s="4">
        <f t="shared" si="5"/>
        <v>235.17650626</v>
      </c>
      <c r="I36" s="4">
        <f t="shared" si="5"/>
        <v>237.52827132260001</v>
      </c>
      <c r="J36" s="4">
        <f t="shared" si="5"/>
        <v>239.90355403582601</v>
      </c>
      <c r="K36" s="4">
        <f t="shared" si="5"/>
        <v>239.90355403582601</v>
      </c>
      <c r="L36" s="4">
        <f t="shared" si="5"/>
        <v>239.90355403582601</v>
      </c>
      <c r="M36" s="4">
        <f t="shared" si="5"/>
        <v>239.90355403582601</v>
      </c>
      <c r="N36" s="4">
        <f t="shared" si="5"/>
        <v>239.90355403582601</v>
      </c>
      <c r="O36" s="4">
        <f t="shared" si="5"/>
        <v>239.90355403582601</v>
      </c>
      <c r="P36" s="4">
        <f t="shared" si="5"/>
        <v>239.90355403582601</v>
      </c>
      <c r="Q36" s="4">
        <f t="shared" si="5"/>
        <v>239.90355403582601</v>
      </c>
      <c r="R36" s="4">
        <f t="shared" si="5"/>
        <v>239.90355403582601</v>
      </c>
      <c r="S36" s="4">
        <f t="shared" si="5"/>
        <v>239.90355403582601</v>
      </c>
      <c r="T36" s="4">
        <f t="shared" si="5"/>
        <v>239.90355403582601</v>
      </c>
      <c r="U36" s="4">
        <f t="shared" si="5"/>
        <v>239.90355403582601</v>
      </c>
      <c r="V36" s="4">
        <f t="shared" si="5"/>
        <v>239.90355403582601</v>
      </c>
      <c r="W36" s="4">
        <f t="shared" si="5"/>
        <v>239.90355403582601</v>
      </c>
      <c r="X36" s="4">
        <f t="shared" si="5"/>
        <v>239.90355403582601</v>
      </c>
      <c r="Y36" s="4">
        <f t="shared" si="5"/>
        <v>239.90355403582601</v>
      </c>
      <c r="Z36" s="4">
        <f t="shared" si="5"/>
        <v>239.90355403582601</v>
      </c>
      <c r="AA36" s="4">
        <f t="shared" si="5"/>
        <v>239.90355403582601</v>
      </c>
      <c r="AB36" s="4">
        <f t="shared" si="5"/>
        <v>239.90355403582601</v>
      </c>
      <c r="AC36" s="4">
        <f t="shared" si="5"/>
        <v>239.90355403582601</v>
      </c>
    </row>
    <row r="37" spans="1:29" x14ac:dyDescent="0.35">
      <c r="A37" s="1"/>
      <c r="B37" s="1"/>
      <c r="C37" s="2" t="s">
        <v>515</v>
      </c>
      <c r="D37" s="12">
        <f>IRR(36:36)</f>
        <v>6.1250160862723169E-2</v>
      </c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</row>
    <row r="39" spans="1:29" x14ac:dyDescent="0.35">
      <c r="A39" s="1"/>
      <c r="B39" s="1"/>
      <c r="C39" s="2" t="s">
        <v>15</v>
      </c>
      <c r="D39" s="6">
        <f t="array" ref="D39">NPV(D13,E35:AC35*E7:AC7)</f>
        <v>3228.2517891858788</v>
      </c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</row>
    <row r="40" spans="1:29" x14ac:dyDescent="0.35">
      <c r="A40" s="1"/>
      <c r="B40" s="1"/>
      <c r="C40" s="2" t="s">
        <v>49</v>
      </c>
      <c r="D40" s="6">
        <f>D39/D12</f>
        <v>2582.601431348703</v>
      </c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</row>
    <row r="41" spans="1:29" x14ac:dyDescent="0.35">
      <c r="A41" s="1"/>
      <c r="B41" s="1"/>
      <c r="C41" s="2" t="s">
        <v>52</v>
      </c>
      <c r="D41" s="17">
        <f>D40/D9</f>
        <v>0.86086714378290097</v>
      </c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</row>
    <row r="42" spans="1:29" x14ac:dyDescent="0.35">
      <c r="A42" s="1"/>
      <c r="B42" s="1"/>
      <c r="C42" s="2" t="s">
        <v>53</v>
      </c>
      <c r="D42" s="18" t="str">
        <f>IF(D41&lt;D10,"DSCR","Debt to Cap")</f>
        <v>DSCR</v>
      </c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</row>
    <row r="43" spans="1:29" x14ac:dyDescent="0.35">
      <c r="A43" s="1"/>
      <c r="B43" s="1"/>
      <c r="D43" s="1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</row>
    <row r="44" spans="1:29" x14ac:dyDescent="0.35">
      <c r="A44" s="1"/>
      <c r="B44" s="1"/>
      <c r="C44" s="27" t="s">
        <v>50</v>
      </c>
      <c r="D44" s="28">
        <f>D39/D11</f>
        <v>0.5380419648643131</v>
      </c>
      <c r="E44" s="4"/>
    </row>
    <row r="45" spans="1:29" x14ac:dyDescent="0.35">
      <c r="A45" s="1"/>
      <c r="B45" s="1"/>
      <c r="D45" s="4"/>
      <c r="E45" s="4"/>
    </row>
    <row r="46" spans="1:29" x14ac:dyDescent="0.35">
      <c r="A46" s="1"/>
      <c r="B46" s="1"/>
      <c r="C46" s="2" t="s">
        <v>51</v>
      </c>
      <c r="D46" s="4">
        <f>MAX(D44,D12)</f>
        <v>1.25</v>
      </c>
      <c r="E46" s="4"/>
    </row>
    <row r="47" spans="1:29" x14ac:dyDescent="0.35">
      <c r="A47" s="1"/>
      <c r="B47" s="1"/>
      <c r="D47" s="4"/>
      <c r="E47" s="4"/>
    </row>
    <row r="48" spans="1:29" s="4" customFormat="1" x14ac:dyDescent="0.35">
      <c r="A48" s="8"/>
      <c r="B48" s="8"/>
      <c r="C48" s="4" t="s">
        <v>3</v>
      </c>
      <c r="D48" s="4">
        <f>D46</f>
        <v>1.25</v>
      </c>
      <c r="E48" s="4">
        <f t="shared" ref="E48:AC48" si="6">E35/$D$48*E7</f>
        <v>182.608</v>
      </c>
      <c r="F48" s="4">
        <f t="shared" si="6"/>
        <v>184.43407999999999</v>
      </c>
      <c r="G48" s="4">
        <f t="shared" si="6"/>
        <v>186.27842079999999</v>
      </c>
      <c r="H48" s="4">
        <f t="shared" si="6"/>
        <v>188.14120500799999</v>
      </c>
      <c r="I48" s="4">
        <f t="shared" si="6"/>
        <v>190.02261705808002</v>
      </c>
      <c r="J48" s="4">
        <f t="shared" si="6"/>
        <v>191.92284322866081</v>
      </c>
      <c r="K48" s="4">
        <f t="shared" si="6"/>
        <v>191.92284322866081</v>
      </c>
      <c r="L48" s="4">
        <f t="shared" si="6"/>
        <v>191.92284322866081</v>
      </c>
      <c r="M48" s="4">
        <f t="shared" si="6"/>
        <v>191.92284322866081</v>
      </c>
      <c r="N48" s="4">
        <f t="shared" si="6"/>
        <v>191.92284322866081</v>
      </c>
      <c r="O48" s="4">
        <f t="shared" si="6"/>
        <v>191.92284322866081</v>
      </c>
      <c r="P48" s="4">
        <f t="shared" si="6"/>
        <v>191.92284322866081</v>
      </c>
      <c r="Q48" s="4">
        <f t="shared" si="6"/>
        <v>191.92284322866081</v>
      </c>
      <c r="R48" s="4">
        <f t="shared" si="6"/>
        <v>191.92284322866081</v>
      </c>
      <c r="S48" s="4">
        <f t="shared" si="6"/>
        <v>191.92284322866081</v>
      </c>
      <c r="T48" s="4">
        <f t="shared" si="6"/>
        <v>191.92284322866081</v>
      </c>
      <c r="U48" s="4">
        <f t="shared" si="6"/>
        <v>191.92284322866081</v>
      </c>
      <c r="V48" s="4">
        <f t="shared" si="6"/>
        <v>191.92284322866081</v>
      </c>
      <c r="W48" s="4">
        <f t="shared" si="6"/>
        <v>191.92284322866081</v>
      </c>
      <c r="X48" s="4">
        <f t="shared" si="6"/>
        <v>191.92284322866081</v>
      </c>
      <c r="Y48" s="4">
        <f t="shared" si="6"/>
        <v>0</v>
      </c>
      <c r="Z48" s="4">
        <f t="shared" si="6"/>
        <v>0</v>
      </c>
      <c r="AA48" s="4">
        <f t="shared" si="6"/>
        <v>0</v>
      </c>
      <c r="AB48" s="4">
        <f t="shared" si="6"/>
        <v>0</v>
      </c>
      <c r="AC48" s="4">
        <f t="shared" si="6"/>
        <v>0</v>
      </c>
    </row>
    <row r="49" spans="1:29" s="4" customFormat="1" x14ac:dyDescent="0.35">
      <c r="A49" s="8"/>
      <c r="B49" s="8"/>
    </row>
    <row r="50" spans="1:29" s="4" customFormat="1" x14ac:dyDescent="0.35">
      <c r="A50" s="8"/>
      <c r="B50" s="8"/>
      <c r="C50" s="4" t="s">
        <v>550</v>
      </c>
      <c r="D50" s="4">
        <f>NPV(D13,E48:AC48)</f>
        <v>2582.601431348703</v>
      </c>
    </row>
    <row r="51" spans="1:29" s="4" customFormat="1" x14ac:dyDescent="0.35">
      <c r="A51" s="8"/>
      <c r="B51" s="8"/>
      <c r="C51" s="4" t="s">
        <v>551</v>
      </c>
      <c r="D51" s="4">
        <f>IF(D20,D32/D12,0)</f>
        <v>0</v>
      </c>
    </row>
    <row r="52" spans="1:29" s="4" customFormat="1" ht="15" thickBot="1" x14ac:dyDescent="0.4">
      <c r="A52" s="8"/>
      <c r="B52" s="8"/>
      <c r="C52" s="173" t="s">
        <v>54</v>
      </c>
      <c r="D52" s="173">
        <f>SUM(D50:D51)</f>
        <v>2582.601431348703</v>
      </c>
    </row>
    <row r="53" spans="1:29" x14ac:dyDescent="0.35">
      <c r="A53" s="1"/>
      <c r="B53" s="1"/>
    </row>
    <row r="54" spans="1:29" x14ac:dyDescent="0.35">
      <c r="A54" s="1"/>
      <c r="B54" s="1"/>
      <c r="C54" s="2" t="s">
        <v>5</v>
      </c>
      <c r="D54" s="6"/>
      <c r="E54" s="167">
        <f t="shared" ref="E54:AC54" si="7">D57</f>
        <v>2582.601431348703</v>
      </c>
      <c r="F54" s="167">
        <f t="shared" si="7"/>
        <v>2503.2974886026514</v>
      </c>
      <c r="G54" s="167">
        <f t="shared" si="7"/>
        <v>2418.9953081467575</v>
      </c>
      <c r="H54" s="167">
        <f t="shared" si="7"/>
        <v>2329.4766996726275</v>
      </c>
      <c r="I54" s="167">
        <f t="shared" si="7"/>
        <v>2234.5145626515327</v>
      </c>
      <c r="J54" s="167">
        <f t="shared" si="7"/>
        <v>2133.8725280995141</v>
      </c>
      <c r="K54" s="167">
        <f t="shared" si="7"/>
        <v>2027.3045859948338</v>
      </c>
      <c r="L54" s="167">
        <f t="shared" si="7"/>
        <v>1916.4739262059663</v>
      </c>
      <c r="M54" s="167">
        <f t="shared" si="7"/>
        <v>1801.2100400255442</v>
      </c>
      <c r="N54" s="167">
        <f t="shared" si="7"/>
        <v>1681.3355983979052</v>
      </c>
      <c r="O54" s="167">
        <f t="shared" si="7"/>
        <v>1556.6661791051606</v>
      </c>
      <c r="P54" s="167">
        <f t="shared" si="7"/>
        <v>1427.0099830407062</v>
      </c>
      <c r="Q54" s="167">
        <f t="shared" si="7"/>
        <v>1292.1675391336737</v>
      </c>
      <c r="R54" s="167">
        <f t="shared" si="7"/>
        <v>1151.9313974703598</v>
      </c>
      <c r="S54" s="167">
        <f t="shared" si="7"/>
        <v>1006.0858101405133</v>
      </c>
      <c r="T54" s="167">
        <f t="shared" si="7"/>
        <v>854.40639931747307</v>
      </c>
      <c r="U54" s="167">
        <f t="shared" si="7"/>
        <v>696.65981206151116</v>
      </c>
      <c r="V54" s="167">
        <f t="shared" si="7"/>
        <v>532.60336131531085</v>
      </c>
      <c r="W54" s="167">
        <f t="shared" si="7"/>
        <v>361.98465253926247</v>
      </c>
      <c r="X54" s="167">
        <f t="shared" si="7"/>
        <v>184.54119541217216</v>
      </c>
      <c r="Y54" s="167">
        <f t="shared" si="7"/>
        <v>-1.7621459846850485E-12</v>
      </c>
      <c r="Z54" s="167">
        <f t="shared" si="7"/>
        <v>-1.8326318240724505E-12</v>
      </c>
      <c r="AA54" s="167">
        <f t="shared" si="7"/>
        <v>-1.9059370970353485E-12</v>
      </c>
      <c r="AB54" s="167">
        <f t="shared" si="7"/>
        <v>-1.9821745809167624E-12</v>
      </c>
      <c r="AC54" s="167">
        <f t="shared" si="7"/>
        <v>-2.0614615641534327E-12</v>
      </c>
    </row>
    <row r="55" spans="1:29" x14ac:dyDescent="0.35">
      <c r="A55" s="1"/>
      <c r="B55" s="1"/>
      <c r="C55" s="2" t="s">
        <v>6</v>
      </c>
      <c r="D55" s="6"/>
      <c r="E55" s="167">
        <f t="shared" ref="E55:AC55" si="8">E48-E59</f>
        <v>79.303942746051874</v>
      </c>
      <c r="F55" s="167">
        <f t="shared" si="8"/>
        <v>84.302180455893932</v>
      </c>
      <c r="G55" s="167">
        <f t="shared" si="8"/>
        <v>89.518608474129692</v>
      </c>
      <c r="H55" s="167">
        <f t="shared" si="8"/>
        <v>94.962137021094875</v>
      </c>
      <c r="I55" s="167">
        <f t="shared" si="8"/>
        <v>100.6420345520187</v>
      </c>
      <c r="J55" s="167">
        <f t="shared" si="8"/>
        <v>106.56794210468024</v>
      </c>
      <c r="K55" s="167">
        <f t="shared" si="8"/>
        <v>110.83065978886745</v>
      </c>
      <c r="L55" s="167">
        <f t="shared" si="8"/>
        <v>115.26388618042215</v>
      </c>
      <c r="M55" s="167">
        <f t="shared" si="8"/>
        <v>119.87444162763904</v>
      </c>
      <c r="N55" s="167">
        <f t="shared" si="8"/>
        <v>124.66941929274461</v>
      </c>
      <c r="O55" s="167">
        <f t="shared" si="8"/>
        <v>129.65619606445438</v>
      </c>
      <c r="P55" s="167">
        <f t="shared" si="8"/>
        <v>134.84244390703256</v>
      </c>
      <c r="Q55" s="167">
        <f t="shared" si="8"/>
        <v>140.23614166331384</v>
      </c>
      <c r="R55" s="167">
        <f t="shared" si="8"/>
        <v>145.84558732984641</v>
      </c>
      <c r="S55" s="167">
        <f t="shared" si="8"/>
        <v>151.67941082304029</v>
      </c>
      <c r="T55" s="167">
        <f t="shared" si="8"/>
        <v>157.74658725596188</v>
      </c>
      <c r="U55" s="167">
        <f t="shared" si="8"/>
        <v>164.05645074620037</v>
      </c>
      <c r="V55" s="167">
        <f t="shared" si="8"/>
        <v>170.61870877604838</v>
      </c>
      <c r="W55" s="167">
        <f t="shared" si="8"/>
        <v>177.44345712709031</v>
      </c>
      <c r="X55" s="167">
        <f t="shared" si="8"/>
        <v>184.54119541217392</v>
      </c>
      <c r="Y55" s="167">
        <f t="shared" si="8"/>
        <v>7.0485839387401938E-14</v>
      </c>
      <c r="Z55" s="167">
        <f t="shared" si="8"/>
        <v>7.330527296289802E-14</v>
      </c>
      <c r="AA55" s="167">
        <f t="shared" si="8"/>
        <v>7.6237483881413945E-14</v>
      </c>
      <c r="AB55" s="167">
        <f t="shared" si="8"/>
        <v>7.9286983236670492E-14</v>
      </c>
      <c r="AC55" s="167">
        <f t="shared" si="8"/>
        <v>8.2458462566137308E-14</v>
      </c>
    </row>
    <row r="56" spans="1:29" x14ac:dyDescent="0.35">
      <c r="A56" s="1"/>
      <c r="B56" s="1"/>
      <c r="C56" s="2" t="s">
        <v>517</v>
      </c>
      <c r="D56" s="6" t="b">
        <f>D20</f>
        <v>1</v>
      </c>
      <c r="E56" s="167">
        <f>E30*$D$56/$D$12</f>
        <v>0</v>
      </c>
      <c r="F56" s="167">
        <f t="shared" ref="F56:AC56" si="9">F30*$D$56/$D$12</f>
        <v>0</v>
      </c>
      <c r="G56" s="167">
        <f t="shared" si="9"/>
        <v>0</v>
      </c>
      <c r="H56" s="167">
        <f t="shared" si="9"/>
        <v>0</v>
      </c>
      <c r="I56" s="167">
        <f t="shared" si="9"/>
        <v>0</v>
      </c>
      <c r="J56" s="167">
        <f t="shared" si="9"/>
        <v>0</v>
      </c>
      <c r="K56" s="167">
        <f t="shared" si="9"/>
        <v>0</v>
      </c>
      <c r="L56" s="167">
        <f t="shared" si="9"/>
        <v>0</v>
      </c>
      <c r="M56" s="167">
        <f t="shared" si="9"/>
        <v>0</v>
      </c>
      <c r="N56" s="167">
        <f t="shared" si="9"/>
        <v>0</v>
      </c>
      <c r="O56" s="167">
        <f t="shared" si="9"/>
        <v>0</v>
      </c>
      <c r="P56" s="167">
        <f t="shared" si="9"/>
        <v>0</v>
      </c>
      <c r="Q56" s="167">
        <f t="shared" si="9"/>
        <v>0</v>
      </c>
      <c r="R56" s="167">
        <f t="shared" si="9"/>
        <v>0</v>
      </c>
      <c r="S56" s="167">
        <f t="shared" si="9"/>
        <v>0</v>
      </c>
      <c r="T56" s="167">
        <f t="shared" si="9"/>
        <v>0</v>
      </c>
      <c r="U56" s="167">
        <f t="shared" si="9"/>
        <v>0</v>
      </c>
      <c r="V56" s="167">
        <f t="shared" si="9"/>
        <v>0</v>
      </c>
      <c r="W56" s="167">
        <f t="shared" si="9"/>
        <v>0</v>
      </c>
      <c r="X56" s="167">
        <f t="shared" si="9"/>
        <v>0</v>
      </c>
      <c r="Y56" s="167">
        <f t="shared" si="9"/>
        <v>0</v>
      </c>
      <c r="Z56" s="167">
        <f t="shared" si="9"/>
        <v>0</v>
      </c>
      <c r="AA56" s="167">
        <f t="shared" si="9"/>
        <v>0</v>
      </c>
      <c r="AB56" s="167">
        <f t="shared" si="9"/>
        <v>0</v>
      </c>
      <c r="AC56" s="167">
        <f t="shared" si="9"/>
        <v>0</v>
      </c>
    </row>
    <row r="57" spans="1:29" x14ac:dyDescent="0.35">
      <c r="A57" s="1"/>
      <c r="B57" s="1"/>
      <c r="C57" s="2" t="s">
        <v>7</v>
      </c>
      <c r="D57" s="6">
        <f>D52</f>
        <v>2582.601431348703</v>
      </c>
      <c r="E57" s="167">
        <f>E54-E55-E56</f>
        <v>2503.2974886026514</v>
      </c>
      <c r="F57" s="167">
        <f t="shared" ref="F57:AC57" si="10">F54-F55-F56</f>
        <v>2418.9953081467575</v>
      </c>
      <c r="G57" s="167">
        <f t="shared" si="10"/>
        <v>2329.4766996726275</v>
      </c>
      <c r="H57" s="167">
        <f t="shared" si="10"/>
        <v>2234.5145626515327</v>
      </c>
      <c r="I57" s="167">
        <f t="shared" si="10"/>
        <v>2133.8725280995141</v>
      </c>
      <c r="J57" s="167">
        <f t="shared" si="10"/>
        <v>2027.3045859948338</v>
      </c>
      <c r="K57" s="167">
        <f t="shared" si="10"/>
        <v>1916.4739262059663</v>
      </c>
      <c r="L57" s="167">
        <f t="shared" si="10"/>
        <v>1801.2100400255442</v>
      </c>
      <c r="M57" s="167">
        <f t="shared" si="10"/>
        <v>1681.3355983979052</v>
      </c>
      <c r="N57" s="167">
        <f t="shared" si="10"/>
        <v>1556.6661791051606</v>
      </c>
      <c r="O57" s="167">
        <f t="shared" si="10"/>
        <v>1427.0099830407062</v>
      </c>
      <c r="P57" s="167">
        <f t="shared" si="10"/>
        <v>1292.1675391336737</v>
      </c>
      <c r="Q57" s="167">
        <f t="shared" si="10"/>
        <v>1151.9313974703598</v>
      </c>
      <c r="R57" s="167">
        <f t="shared" si="10"/>
        <v>1006.0858101405133</v>
      </c>
      <c r="S57" s="167">
        <f t="shared" si="10"/>
        <v>854.40639931747307</v>
      </c>
      <c r="T57" s="167">
        <f t="shared" si="10"/>
        <v>696.65981206151116</v>
      </c>
      <c r="U57" s="167">
        <f t="shared" si="10"/>
        <v>532.60336131531085</v>
      </c>
      <c r="V57" s="167">
        <f t="shared" si="10"/>
        <v>361.98465253926247</v>
      </c>
      <c r="W57" s="167">
        <f t="shared" si="10"/>
        <v>184.54119541217216</v>
      </c>
      <c r="X57" s="167">
        <f t="shared" si="10"/>
        <v>-1.7621459846850485E-12</v>
      </c>
      <c r="Y57" s="167">
        <f t="shared" si="10"/>
        <v>-1.8326318240724505E-12</v>
      </c>
      <c r="Z57" s="167">
        <f t="shared" si="10"/>
        <v>-1.9059370970353485E-12</v>
      </c>
      <c r="AA57" s="167">
        <f t="shared" si="10"/>
        <v>-1.9821745809167624E-12</v>
      </c>
      <c r="AB57" s="167">
        <f t="shared" si="10"/>
        <v>-2.0614615641534327E-12</v>
      </c>
      <c r="AC57" s="167">
        <f t="shared" si="10"/>
        <v>-2.14392002671957E-12</v>
      </c>
    </row>
    <row r="58" spans="1:29" x14ac:dyDescent="0.35">
      <c r="A58" s="1"/>
      <c r="B58" s="1"/>
      <c r="D58" s="6"/>
      <c r="E58" s="167"/>
      <c r="F58" s="167"/>
      <c r="G58" s="167"/>
      <c r="H58" s="167"/>
      <c r="I58" s="167"/>
      <c r="J58" s="167"/>
      <c r="K58" s="167"/>
      <c r="L58" s="167"/>
      <c r="M58" s="167"/>
      <c r="N58" s="167"/>
      <c r="O58" s="167"/>
      <c r="P58" s="167"/>
      <c r="Q58" s="167"/>
      <c r="R58" s="167"/>
      <c r="S58" s="167"/>
      <c r="T58" s="167"/>
      <c r="U58" s="167"/>
      <c r="V58" s="167"/>
      <c r="W58" s="167"/>
      <c r="X58" s="167"/>
      <c r="Y58" s="167"/>
      <c r="Z58" s="167"/>
      <c r="AA58" s="167"/>
      <c r="AB58" s="167"/>
      <c r="AC58" s="167"/>
    </row>
    <row r="59" spans="1:29" x14ac:dyDescent="0.35">
      <c r="A59" s="1"/>
      <c r="B59" s="1"/>
      <c r="C59" s="2" t="s">
        <v>8</v>
      </c>
      <c r="D59" s="12">
        <f>D13</f>
        <v>0.04</v>
      </c>
      <c r="E59" s="16">
        <f>E54*$D$59</f>
        <v>103.30405725394813</v>
      </c>
      <c r="F59" s="16">
        <f t="shared" ref="F59:AC59" si="11">F54*$D$59</f>
        <v>100.13189954410606</v>
      </c>
      <c r="G59" s="16">
        <f t="shared" si="11"/>
        <v>96.7598123258703</v>
      </c>
      <c r="H59" s="16">
        <f t="shared" si="11"/>
        <v>93.17906798690511</v>
      </c>
      <c r="I59" s="16">
        <f t="shared" si="11"/>
        <v>89.380582506061316</v>
      </c>
      <c r="J59" s="16">
        <f t="shared" si="11"/>
        <v>85.354901123980568</v>
      </c>
      <c r="K59" s="16">
        <f t="shared" si="11"/>
        <v>81.092183439793359</v>
      </c>
      <c r="L59" s="16">
        <f t="shared" si="11"/>
        <v>76.658957048238662</v>
      </c>
      <c r="M59" s="16">
        <f t="shared" si="11"/>
        <v>72.048401601021766</v>
      </c>
      <c r="N59" s="16">
        <f t="shared" si="11"/>
        <v>67.253423935916203</v>
      </c>
      <c r="O59" s="16">
        <f t="shared" si="11"/>
        <v>62.266647164206425</v>
      </c>
      <c r="P59" s="16">
        <f t="shared" si="11"/>
        <v>57.080399321628249</v>
      </c>
      <c r="Q59" s="16">
        <f t="shared" si="11"/>
        <v>51.686701565346951</v>
      </c>
      <c r="R59" s="16">
        <f t="shared" si="11"/>
        <v>46.077255898814393</v>
      </c>
      <c r="S59" s="16">
        <f t="shared" si="11"/>
        <v>40.243432405620531</v>
      </c>
      <c r="T59" s="16">
        <f t="shared" si="11"/>
        <v>34.176255972698925</v>
      </c>
      <c r="U59" s="16">
        <f t="shared" si="11"/>
        <v>27.866392482460448</v>
      </c>
      <c r="V59" s="16">
        <f t="shared" si="11"/>
        <v>21.304134452612434</v>
      </c>
      <c r="W59" s="16">
        <f t="shared" si="11"/>
        <v>14.479386101570499</v>
      </c>
      <c r="X59" s="16">
        <f t="shared" si="11"/>
        <v>7.3816478164868862</v>
      </c>
      <c r="Y59" s="16">
        <f t="shared" si="11"/>
        <v>-7.0485839387401938E-14</v>
      </c>
      <c r="Z59" s="16">
        <f t="shared" si="11"/>
        <v>-7.330527296289802E-14</v>
      </c>
      <c r="AA59" s="16">
        <f t="shared" si="11"/>
        <v>-7.6237483881413945E-14</v>
      </c>
      <c r="AB59" s="16">
        <f t="shared" si="11"/>
        <v>-7.9286983236670492E-14</v>
      </c>
      <c r="AC59" s="16">
        <f t="shared" si="11"/>
        <v>-8.2458462566137308E-14</v>
      </c>
    </row>
    <row r="60" spans="1:29" x14ac:dyDescent="0.35">
      <c r="A60" s="1"/>
      <c r="B60" s="1"/>
      <c r="C60" s="2" t="s">
        <v>19</v>
      </c>
      <c r="E60" s="19">
        <f>E55+E59+E56</f>
        <v>182.608</v>
      </c>
      <c r="F60" s="19">
        <f t="shared" ref="F60:AC60" si="12">F55+F59+F56</f>
        <v>184.43407999999999</v>
      </c>
      <c r="G60" s="19">
        <f t="shared" si="12"/>
        <v>186.27842079999999</v>
      </c>
      <c r="H60" s="19">
        <f t="shared" si="12"/>
        <v>188.14120500799999</v>
      </c>
      <c r="I60" s="19">
        <f t="shared" si="12"/>
        <v>190.02261705808002</v>
      </c>
      <c r="J60" s="19">
        <f t="shared" si="12"/>
        <v>191.92284322866081</v>
      </c>
      <c r="K60" s="19">
        <f t="shared" si="12"/>
        <v>191.92284322866081</v>
      </c>
      <c r="L60" s="19">
        <f t="shared" si="12"/>
        <v>191.92284322866081</v>
      </c>
      <c r="M60" s="19">
        <f t="shared" si="12"/>
        <v>191.92284322866081</v>
      </c>
      <c r="N60" s="19">
        <f t="shared" si="12"/>
        <v>191.92284322866081</v>
      </c>
      <c r="O60" s="19">
        <f t="shared" si="12"/>
        <v>191.92284322866081</v>
      </c>
      <c r="P60" s="19">
        <f t="shared" si="12"/>
        <v>191.92284322866081</v>
      </c>
      <c r="Q60" s="19">
        <f t="shared" si="12"/>
        <v>191.92284322866078</v>
      </c>
      <c r="R60" s="19">
        <f t="shared" si="12"/>
        <v>191.92284322866081</v>
      </c>
      <c r="S60" s="19">
        <f t="shared" si="12"/>
        <v>191.92284322866081</v>
      </c>
      <c r="T60" s="19">
        <f t="shared" si="12"/>
        <v>191.92284322866081</v>
      </c>
      <c r="U60" s="19">
        <f t="shared" si="12"/>
        <v>191.92284322866081</v>
      </c>
      <c r="V60" s="19">
        <f t="shared" si="12"/>
        <v>191.92284322866081</v>
      </c>
      <c r="W60" s="19">
        <f t="shared" si="12"/>
        <v>191.92284322866081</v>
      </c>
      <c r="X60" s="19">
        <f t="shared" si="12"/>
        <v>191.92284322866081</v>
      </c>
      <c r="Y60" s="19">
        <f t="shared" si="12"/>
        <v>0</v>
      </c>
      <c r="Z60" s="19">
        <f t="shared" si="12"/>
        <v>0</v>
      </c>
      <c r="AA60" s="19">
        <f t="shared" si="12"/>
        <v>0</v>
      </c>
      <c r="AB60" s="19">
        <f t="shared" si="12"/>
        <v>0</v>
      </c>
      <c r="AC60" s="19">
        <f t="shared" si="12"/>
        <v>0</v>
      </c>
    </row>
    <row r="61" spans="1:29" x14ac:dyDescent="0.35">
      <c r="A61" s="1"/>
      <c r="B61" s="1"/>
      <c r="C61" s="2" t="s">
        <v>47</v>
      </c>
      <c r="D61" s="4" t="b">
        <f>ROUND(LOOKUP('Basic Case - NPV Analysis'!$D$18,'Basic Case - NPV Analysis'!$5:$5,57:57),0)=0</f>
        <v>0</v>
      </c>
    </row>
    <row r="62" spans="1:29" x14ac:dyDescent="0.35">
      <c r="A62" s="1"/>
      <c r="B62" s="1"/>
    </row>
    <row r="63" spans="1:29" x14ac:dyDescent="0.35">
      <c r="A63" s="1"/>
      <c r="B63" s="1"/>
      <c r="C63" s="2" t="s">
        <v>530</v>
      </c>
      <c r="E63" s="4">
        <f>E35+E30</f>
        <v>228.26</v>
      </c>
      <c r="F63" s="4">
        <f t="shared" ref="F63:AC63" si="13">F35+F30</f>
        <v>230.54259999999999</v>
      </c>
      <c r="G63" s="4">
        <f t="shared" si="13"/>
        <v>232.848026</v>
      </c>
      <c r="H63" s="4">
        <f t="shared" si="13"/>
        <v>235.17650626</v>
      </c>
      <c r="I63" s="4">
        <f t="shared" si="13"/>
        <v>237.52827132260001</v>
      </c>
      <c r="J63" s="4">
        <f t="shared" si="13"/>
        <v>239.90355403582601</v>
      </c>
      <c r="K63" s="4">
        <f t="shared" si="13"/>
        <v>239.90355403582601</v>
      </c>
      <c r="L63" s="4">
        <f t="shared" si="13"/>
        <v>239.90355403582601</v>
      </c>
      <c r="M63" s="4">
        <f t="shared" si="13"/>
        <v>239.90355403582601</v>
      </c>
      <c r="N63" s="4">
        <f t="shared" si="13"/>
        <v>239.90355403582601</v>
      </c>
      <c r="O63" s="4">
        <f t="shared" si="13"/>
        <v>239.90355403582601</v>
      </c>
      <c r="P63" s="4">
        <f t="shared" si="13"/>
        <v>239.90355403582601</v>
      </c>
      <c r="Q63" s="4">
        <f t="shared" si="13"/>
        <v>239.90355403582601</v>
      </c>
      <c r="R63" s="4">
        <f t="shared" si="13"/>
        <v>239.90355403582601</v>
      </c>
      <c r="S63" s="4">
        <f t="shared" si="13"/>
        <v>239.90355403582601</v>
      </c>
      <c r="T63" s="4">
        <f t="shared" si="13"/>
        <v>239.90355403582601</v>
      </c>
      <c r="U63" s="4">
        <f t="shared" si="13"/>
        <v>239.90355403582601</v>
      </c>
      <c r="V63" s="4">
        <f t="shared" si="13"/>
        <v>239.90355403582601</v>
      </c>
      <c r="W63" s="4">
        <f t="shared" si="13"/>
        <v>239.90355403582601</v>
      </c>
      <c r="X63" s="4">
        <f t="shared" si="13"/>
        <v>239.90355403582601</v>
      </c>
      <c r="Y63" s="4">
        <f t="shared" si="13"/>
        <v>239.90355403582601</v>
      </c>
      <c r="Z63" s="4">
        <f t="shared" si="13"/>
        <v>239.90355403582601</v>
      </c>
      <c r="AA63" s="4">
        <f t="shared" si="13"/>
        <v>239.90355403582601</v>
      </c>
      <c r="AB63" s="4">
        <f t="shared" si="13"/>
        <v>239.90355403582601</v>
      </c>
      <c r="AC63" s="4">
        <f t="shared" si="13"/>
        <v>239.90355403582601</v>
      </c>
    </row>
    <row r="64" spans="1:29" x14ac:dyDescent="0.35">
      <c r="A64" s="1"/>
      <c r="B64" s="1"/>
      <c r="C64" s="2" t="s">
        <v>9</v>
      </c>
      <c r="E64" s="4">
        <f>IF(E60&gt;0.01,(E63)/E60)</f>
        <v>1.25</v>
      </c>
      <c r="F64" s="4">
        <f t="shared" ref="F64:AC64" si="14">IF(F60&gt;0.01,(F63)/F60)</f>
        <v>1.25</v>
      </c>
      <c r="G64" s="4">
        <f t="shared" si="14"/>
        <v>1.25</v>
      </c>
      <c r="H64" s="4">
        <f t="shared" si="14"/>
        <v>1.25</v>
      </c>
      <c r="I64" s="4">
        <f t="shared" si="14"/>
        <v>1.25</v>
      </c>
      <c r="J64" s="4">
        <f t="shared" si="14"/>
        <v>1.25</v>
      </c>
      <c r="K64" s="4">
        <f t="shared" si="14"/>
        <v>1.25</v>
      </c>
      <c r="L64" s="4">
        <f t="shared" si="14"/>
        <v>1.25</v>
      </c>
      <c r="M64" s="4">
        <f t="shared" si="14"/>
        <v>1.25</v>
      </c>
      <c r="N64" s="4">
        <f t="shared" si="14"/>
        <v>1.25</v>
      </c>
      <c r="O64" s="4">
        <f t="shared" si="14"/>
        <v>1.25</v>
      </c>
      <c r="P64" s="4">
        <f t="shared" si="14"/>
        <v>1.25</v>
      </c>
      <c r="Q64" s="4">
        <f t="shared" si="14"/>
        <v>1.2500000000000002</v>
      </c>
      <c r="R64" s="4">
        <f t="shared" si="14"/>
        <v>1.25</v>
      </c>
      <c r="S64" s="4">
        <f t="shared" si="14"/>
        <v>1.25</v>
      </c>
      <c r="T64" s="4">
        <f t="shared" si="14"/>
        <v>1.25</v>
      </c>
      <c r="U64" s="4">
        <f t="shared" si="14"/>
        <v>1.25</v>
      </c>
      <c r="V64" s="4">
        <f t="shared" si="14"/>
        <v>1.25</v>
      </c>
      <c r="W64" s="4">
        <f t="shared" si="14"/>
        <v>1.25</v>
      </c>
      <c r="X64" s="4">
        <f t="shared" si="14"/>
        <v>1.25</v>
      </c>
      <c r="Y64" s="4" t="b">
        <f t="shared" si="14"/>
        <v>0</v>
      </c>
      <c r="Z64" s="4" t="b">
        <f t="shared" si="14"/>
        <v>0</v>
      </c>
      <c r="AA64" s="4" t="b">
        <f t="shared" si="14"/>
        <v>0</v>
      </c>
      <c r="AB64" s="4" t="b">
        <f t="shared" si="14"/>
        <v>0</v>
      </c>
      <c r="AC64" s="4" t="b">
        <f t="shared" si="14"/>
        <v>0</v>
      </c>
    </row>
    <row r="65" spans="1:29" x14ac:dyDescent="0.35">
      <c r="A65" s="1"/>
      <c r="B65" s="1"/>
      <c r="C65" s="2" t="s">
        <v>10</v>
      </c>
      <c r="D65" s="4">
        <f t="array" ref="D65">NPV(Intrest_Rate,E35:AC35*E7:AC7)/D57</f>
        <v>1.1454744334965763</v>
      </c>
    </row>
    <row r="66" spans="1:29" x14ac:dyDescent="0.35">
      <c r="A66" s="1"/>
      <c r="B66" s="1"/>
    </row>
    <row r="67" spans="1:29" x14ac:dyDescent="0.35">
      <c r="C67" s="2" t="s">
        <v>101</v>
      </c>
      <c r="D67" s="4">
        <f>-D18+D57</f>
        <v>-417.39856865129696</v>
      </c>
      <c r="E67" s="19">
        <f t="shared" ref="E67:AC67" si="15">E35+E30-E60</f>
        <v>45.651999999999987</v>
      </c>
      <c r="F67" s="19">
        <f t="shared" si="15"/>
        <v>46.108519999999999</v>
      </c>
      <c r="G67" s="19">
        <f t="shared" si="15"/>
        <v>46.569605200000012</v>
      </c>
      <c r="H67" s="19">
        <f t="shared" si="15"/>
        <v>47.035301252000011</v>
      </c>
      <c r="I67" s="19">
        <f t="shared" si="15"/>
        <v>47.50565426451999</v>
      </c>
      <c r="J67" s="19">
        <f t="shared" si="15"/>
        <v>47.980710807165195</v>
      </c>
      <c r="K67" s="19">
        <f t="shared" si="15"/>
        <v>47.980710807165195</v>
      </c>
      <c r="L67" s="19">
        <f t="shared" si="15"/>
        <v>47.980710807165195</v>
      </c>
      <c r="M67" s="19">
        <f t="shared" si="15"/>
        <v>47.980710807165195</v>
      </c>
      <c r="N67" s="19">
        <f t="shared" si="15"/>
        <v>47.980710807165195</v>
      </c>
      <c r="O67" s="19">
        <f t="shared" si="15"/>
        <v>47.980710807165195</v>
      </c>
      <c r="P67" s="19">
        <f t="shared" si="15"/>
        <v>47.980710807165195</v>
      </c>
      <c r="Q67" s="19">
        <f t="shared" si="15"/>
        <v>47.980710807165224</v>
      </c>
      <c r="R67" s="19">
        <f t="shared" si="15"/>
        <v>47.980710807165195</v>
      </c>
      <c r="S67" s="19">
        <f t="shared" si="15"/>
        <v>47.980710807165195</v>
      </c>
      <c r="T67" s="19">
        <f t="shared" si="15"/>
        <v>47.980710807165195</v>
      </c>
      <c r="U67" s="19">
        <f t="shared" si="15"/>
        <v>47.980710807165195</v>
      </c>
      <c r="V67" s="19">
        <f t="shared" si="15"/>
        <v>47.980710807165195</v>
      </c>
      <c r="W67" s="19">
        <f t="shared" si="15"/>
        <v>47.980710807165195</v>
      </c>
      <c r="X67" s="19">
        <f t="shared" si="15"/>
        <v>47.980710807165195</v>
      </c>
      <c r="Y67" s="19">
        <f t="shared" si="15"/>
        <v>239.90355403582601</v>
      </c>
      <c r="Z67" s="19">
        <f t="shared" si="15"/>
        <v>239.90355403582601</v>
      </c>
      <c r="AA67" s="19">
        <f t="shared" si="15"/>
        <v>239.90355403582601</v>
      </c>
      <c r="AB67" s="19">
        <f t="shared" si="15"/>
        <v>239.90355403582601</v>
      </c>
      <c r="AC67" s="19">
        <f t="shared" si="15"/>
        <v>239.90355403582601</v>
      </c>
    </row>
    <row r="68" spans="1:29" x14ac:dyDescent="0.35">
      <c r="C68" s="27" t="s">
        <v>309</v>
      </c>
      <c r="D68" s="168">
        <f>IRR(67:67)</f>
        <v>0.12652114835048467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8850" r:id="rId3" name="Spinner 2">
              <controlPr defaultSize="0" autoPict="0">
                <anchor moveWithCells="1" sizeWithCells="1">
                  <from>
                    <xdr:col>4</xdr:col>
                    <xdr:colOff>38100</xdr:colOff>
                    <xdr:row>25</xdr:row>
                    <xdr:rowOff>0</xdr:rowOff>
                  </from>
                  <to>
                    <xdr:col>4</xdr:col>
                    <xdr:colOff>279400</xdr:colOff>
                    <xdr:row>26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8">
    <tabColor rgb="FFFFFF00"/>
  </sheetPr>
  <dimension ref="A1:AH64"/>
  <sheetViews>
    <sheetView zoomScale="80" zoomScaleNormal="80" workbookViewId="0">
      <pane xSplit="4" ySplit="7" topLeftCell="E8" activePane="bottomRight" state="frozen"/>
      <selection pane="topRight" activeCell="E1" sqref="E1"/>
      <selection pane="bottomLeft" activeCell="A8" sqref="A8"/>
      <selection pane="bottomRight" activeCell="D20" sqref="D20"/>
    </sheetView>
  </sheetViews>
  <sheetFormatPr defaultColWidth="9.1796875" defaultRowHeight="14.5" x14ac:dyDescent="0.35"/>
  <cols>
    <col min="1" max="2" width="1.26953125" style="2" customWidth="1"/>
    <col min="3" max="3" width="38.81640625" style="2" customWidth="1"/>
    <col min="4" max="4" width="12.7265625" style="2" customWidth="1"/>
    <col min="5" max="64" width="10.81640625" style="2" customWidth="1"/>
    <col min="65" max="16384" width="9.1796875" style="2"/>
  </cols>
  <sheetData>
    <row r="1" spans="1:34" ht="26" x14ac:dyDescent="0.6">
      <c r="A1" s="1"/>
      <c r="B1" s="1"/>
      <c r="C1" s="49" t="s">
        <v>518</v>
      </c>
    </row>
    <row r="2" spans="1:34" ht="26" x14ac:dyDescent="0.6">
      <c r="A2" s="1"/>
      <c r="B2" s="1"/>
      <c r="C2" s="49" t="s">
        <v>519</v>
      </c>
    </row>
    <row r="3" spans="1:34" ht="26" x14ac:dyDescent="0.6">
      <c r="A3" s="1"/>
      <c r="B3" s="1"/>
      <c r="C3" s="49" t="s">
        <v>520</v>
      </c>
    </row>
    <row r="5" spans="1:34" s="40" customFormat="1" x14ac:dyDescent="0.35">
      <c r="A5" s="40" t="s">
        <v>507</v>
      </c>
    </row>
    <row r="6" spans="1:34" s="1" customFormat="1" x14ac:dyDescent="0.35">
      <c r="C6" s="1" t="s">
        <v>65</v>
      </c>
      <c r="E6" s="169">
        <v>1</v>
      </c>
      <c r="F6" s="169">
        <v>2</v>
      </c>
      <c r="G6" s="169">
        <v>3</v>
      </c>
      <c r="H6" s="169">
        <v>4</v>
      </c>
      <c r="I6" s="169">
        <v>5</v>
      </c>
      <c r="J6" s="169">
        <v>6</v>
      </c>
      <c r="K6" s="169">
        <v>7</v>
      </c>
      <c r="L6" s="169">
        <v>8</v>
      </c>
      <c r="M6" s="169">
        <v>9</v>
      </c>
      <c r="N6" s="169">
        <v>10</v>
      </c>
      <c r="O6" s="169">
        <v>11</v>
      </c>
      <c r="P6" s="169">
        <v>12</v>
      </c>
      <c r="Q6" s="169">
        <v>13</v>
      </c>
      <c r="R6" s="169">
        <v>14</v>
      </c>
      <c r="S6" s="169">
        <v>15</v>
      </c>
      <c r="T6" s="169">
        <v>16</v>
      </c>
      <c r="U6" s="169">
        <v>17</v>
      </c>
      <c r="V6" s="169">
        <v>18</v>
      </c>
      <c r="W6" s="169">
        <v>19</v>
      </c>
      <c r="X6" s="169">
        <v>20</v>
      </c>
      <c r="Y6" s="169">
        <v>21</v>
      </c>
      <c r="Z6" s="169">
        <v>22</v>
      </c>
      <c r="AA6" s="169">
        <v>23</v>
      </c>
      <c r="AB6" s="169">
        <v>24</v>
      </c>
      <c r="AC6" s="169">
        <v>25</v>
      </c>
      <c r="AD6" s="169">
        <v>26</v>
      </c>
      <c r="AE6" s="169">
        <v>27</v>
      </c>
      <c r="AF6" s="169">
        <v>28</v>
      </c>
      <c r="AG6" s="169">
        <v>29</v>
      </c>
      <c r="AH6" s="169">
        <v>30</v>
      </c>
    </row>
    <row r="7" spans="1:34" x14ac:dyDescent="0.35">
      <c r="A7" s="1"/>
      <c r="B7" s="1"/>
      <c r="C7" s="2" t="s">
        <v>48</v>
      </c>
      <c r="E7" s="2" t="b">
        <f>E6&lt;=$D$21</f>
        <v>1</v>
      </c>
      <c r="F7" s="2" t="b">
        <f t="shared" ref="F7:AH7" si="0">F6&lt;=$D$21</f>
        <v>1</v>
      </c>
      <c r="G7" s="2" t="b">
        <f t="shared" si="0"/>
        <v>1</v>
      </c>
      <c r="H7" s="2" t="b">
        <f t="shared" si="0"/>
        <v>1</v>
      </c>
      <c r="I7" s="2" t="b">
        <f t="shared" si="0"/>
        <v>1</v>
      </c>
      <c r="J7" s="2" t="b">
        <f t="shared" si="0"/>
        <v>1</v>
      </c>
      <c r="K7" s="2" t="b">
        <f t="shared" si="0"/>
        <v>1</v>
      </c>
      <c r="L7" s="2" t="b">
        <f t="shared" si="0"/>
        <v>1</v>
      </c>
      <c r="M7" s="2" t="b">
        <f t="shared" si="0"/>
        <v>1</v>
      </c>
      <c r="N7" s="2" t="b">
        <f t="shared" si="0"/>
        <v>1</v>
      </c>
      <c r="O7" s="2" t="b">
        <f t="shared" si="0"/>
        <v>1</v>
      </c>
      <c r="P7" s="2" t="b">
        <f t="shared" si="0"/>
        <v>1</v>
      </c>
      <c r="Q7" s="2" t="b">
        <f t="shared" si="0"/>
        <v>1</v>
      </c>
      <c r="R7" s="2" t="b">
        <f t="shared" si="0"/>
        <v>1</v>
      </c>
      <c r="S7" s="2" t="b">
        <f t="shared" si="0"/>
        <v>1</v>
      </c>
      <c r="T7" s="2" t="b">
        <f t="shared" si="0"/>
        <v>0</v>
      </c>
      <c r="U7" s="2" t="b">
        <f t="shared" si="0"/>
        <v>0</v>
      </c>
      <c r="V7" s="2" t="b">
        <f t="shared" si="0"/>
        <v>0</v>
      </c>
      <c r="W7" s="2" t="b">
        <f t="shared" si="0"/>
        <v>0</v>
      </c>
      <c r="X7" s="2" t="b">
        <f t="shared" si="0"/>
        <v>0</v>
      </c>
      <c r="Y7" s="2" t="b">
        <f t="shared" si="0"/>
        <v>0</v>
      </c>
      <c r="Z7" s="2" t="b">
        <f t="shared" si="0"/>
        <v>0</v>
      </c>
      <c r="AA7" s="2" t="b">
        <f t="shared" si="0"/>
        <v>0</v>
      </c>
      <c r="AB7" s="2" t="b">
        <f t="shared" si="0"/>
        <v>0</v>
      </c>
      <c r="AC7" s="2" t="b">
        <f t="shared" si="0"/>
        <v>0</v>
      </c>
      <c r="AD7" s="2" t="b">
        <f t="shared" si="0"/>
        <v>0</v>
      </c>
      <c r="AE7" s="2" t="b">
        <f t="shared" si="0"/>
        <v>0</v>
      </c>
      <c r="AF7" s="2" t="b">
        <f t="shared" si="0"/>
        <v>0</v>
      </c>
      <c r="AG7" s="2" t="b">
        <f t="shared" si="0"/>
        <v>0</v>
      </c>
      <c r="AH7" s="2" t="b">
        <f t="shared" si="0"/>
        <v>0</v>
      </c>
    </row>
    <row r="8" spans="1:34" x14ac:dyDescent="0.35">
      <c r="A8" s="1"/>
      <c r="B8" s="1"/>
    </row>
    <row r="9" spans="1:34" x14ac:dyDescent="0.35">
      <c r="A9" s="1"/>
      <c r="B9" s="1"/>
      <c r="C9" s="2" t="s">
        <v>12</v>
      </c>
      <c r="D9" s="166">
        <v>3000</v>
      </c>
      <c r="H9" s="32" t="s">
        <v>10</v>
      </c>
      <c r="I9" s="4">
        <f>D61</f>
        <v>1.4999999999999996</v>
      </c>
    </row>
    <row r="10" spans="1:34" x14ac:dyDescent="0.35">
      <c r="A10" s="1"/>
      <c r="B10" s="1"/>
      <c r="C10" s="2" t="s">
        <v>13</v>
      </c>
      <c r="D10" s="14">
        <v>0.95</v>
      </c>
      <c r="H10" s="32" t="s">
        <v>108</v>
      </c>
      <c r="I10" s="7">
        <f>D54</f>
        <v>2152.0490999161093</v>
      </c>
    </row>
    <row r="11" spans="1:34" x14ac:dyDescent="0.35">
      <c r="A11" s="1"/>
      <c r="B11" s="1"/>
      <c r="C11" s="2" t="s">
        <v>14</v>
      </c>
      <c r="D11" s="6">
        <f>D9*D10</f>
        <v>2850</v>
      </c>
      <c r="H11" s="32" t="s">
        <v>102</v>
      </c>
      <c r="I11" s="12">
        <f>I10/D9</f>
        <v>0.71734969997203646</v>
      </c>
    </row>
    <row r="12" spans="1:34" x14ac:dyDescent="0.35">
      <c r="A12" s="1"/>
      <c r="B12" s="1"/>
      <c r="C12" s="2" t="s">
        <v>1</v>
      </c>
      <c r="D12" s="15">
        <v>1.5</v>
      </c>
    </row>
    <row r="13" spans="1:34" x14ac:dyDescent="0.35">
      <c r="A13" s="1"/>
      <c r="B13" s="1"/>
      <c r="C13" s="2" t="s">
        <v>24</v>
      </c>
      <c r="D13" s="157">
        <v>0.05</v>
      </c>
      <c r="H13" s="32" t="s">
        <v>515</v>
      </c>
      <c r="I13" s="12">
        <f>D37</f>
        <v>9.2248274605665204E-2</v>
      </c>
    </row>
    <row r="14" spans="1:34" x14ac:dyDescent="0.35">
      <c r="A14" s="1"/>
      <c r="B14" s="1"/>
      <c r="H14" s="34" t="s">
        <v>309</v>
      </c>
      <c r="I14" s="171">
        <f>D64</f>
        <v>0.14230995484262188</v>
      </c>
    </row>
    <row r="15" spans="1:34" x14ac:dyDescent="0.35">
      <c r="A15" s="1"/>
      <c r="B15" s="1"/>
      <c r="C15" s="2" t="s">
        <v>508</v>
      </c>
      <c r="D15" s="60">
        <v>6</v>
      </c>
    </row>
    <row r="16" spans="1:34" x14ac:dyDescent="0.35">
      <c r="A16" s="1"/>
      <c r="B16" s="1"/>
      <c r="C16" s="2" t="s">
        <v>509</v>
      </c>
      <c r="D16" s="61"/>
    </row>
    <row r="17" spans="1:34" x14ac:dyDescent="0.35">
      <c r="A17" s="1"/>
      <c r="B17" s="1"/>
      <c r="C17" s="2" t="s">
        <v>83</v>
      </c>
      <c r="D17" s="61"/>
    </row>
    <row r="18" spans="1:34" ht="15" thickBot="1" x14ac:dyDescent="0.4">
      <c r="A18" s="1"/>
      <c r="B18" s="1"/>
      <c r="C18" s="24" t="s">
        <v>527</v>
      </c>
      <c r="D18" s="25">
        <f>D9+D17</f>
        <v>3000</v>
      </c>
    </row>
    <row r="19" spans="1:34" x14ac:dyDescent="0.35">
      <c r="A19" s="1"/>
      <c r="B19" s="1"/>
    </row>
    <row r="20" spans="1:34" x14ac:dyDescent="0.35">
      <c r="A20" s="1"/>
      <c r="B20" s="1"/>
      <c r="C20" s="2" t="s">
        <v>526</v>
      </c>
      <c r="D20" s="13" t="b">
        <v>0</v>
      </c>
    </row>
    <row r="21" spans="1:34" x14ac:dyDescent="0.35">
      <c r="A21" s="1"/>
      <c r="B21" s="1"/>
      <c r="C21" s="2" t="s">
        <v>36</v>
      </c>
      <c r="D21" s="13">
        <v>15</v>
      </c>
    </row>
    <row r="22" spans="1:34" x14ac:dyDescent="0.35">
      <c r="A22" s="1"/>
      <c r="B22" s="1"/>
    </row>
    <row r="23" spans="1:34" x14ac:dyDescent="0.35">
      <c r="A23" s="1"/>
      <c r="B23" s="1"/>
      <c r="C23" s="2" t="s">
        <v>37</v>
      </c>
      <c r="E23" s="13">
        <v>0</v>
      </c>
      <c r="F23" s="13">
        <v>3</v>
      </c>
      <c r="G23" s="13">
        <v>7</v>
      </c>
      <c r="H23" s="13">
        <v>10</v>
      </c>
    </row>
    <row r="24" spans="1:34" x14ac:dyDescent="0.35">
      <c r="A24" s="1"/>
      <c r="B24" s="1"/>
      <c r="C24" s="2" t="s">
        <v>38</v>
      </c>
      <c r="E24" s="14">
        <v>0</v>
      </c>
      <c r="F24" s="14">
        <v>0</v>
      </c>
      <c r="G24" s="14">
        <v>0</v>
      </c>
      <c r="H24" s="14">
        <v>0</v>
      </c>
    </row>
    <row r="25" spans="1:34" x14ac:dyDescent="0.35">
      <c r="A25" s="1"/>
      <c r="B25" s="1"/>
    </row>
    <row r="26" spans="1:34" x14ac:dyDescent="0.35">
      <c r="A26" s="1"/>
      <c r="B26" s="1"/>
      <c r="C26" s="2" t="s">
        <v>45</v>
      </c>
      <c r="D26" s="15">
        <v>311</v>
      </c>
      <c r="F26" s="4"/>
      <c r="G26" s="4"/>
    </row>
    <row r="27" spans="1:34" x14ac:dyDescent="0.35">
      <c r="A27" s="1"/>
      <c r="B27" s="1"/>
    </row>
    <row r="28" spans="1:34" x14ac:dyDescent="0.35">
      <c r="A28" s="1"/>
      <c r="B28" s="1"/>
      <c r="C28" s="2" t="s">
        <v>510</v>
      </c>
      <c r="E28" s="60"/>
      <c r="F28" s="60"/>
      <c r="G28" s="60"/>
      <c r="H28" s="60"/>
      <c r="I28" s="60"/>
      <c r="J28" s="60"/>
      <c r="K28" s="60"/>
      <c r="L28" s="60"/>
      <c r="M28" s="60"/>
      <c r="N28" s="60"/>
      <c r="O28" s="60"/>
      <c r="P28" s="60"/>
      <c r="Q28" s="60"/>
      <c r="R28" s="60"/>
      <c r="S28" s="60"/>
      <c r="T28" s="60"/>
      <c r="U28" s="60"/>
      <c r="V28" s="60"/>
      <c r="W28" s="60"/>
      <c r="X28" s="60"/>
      <c r="Y28" s="60"/>
      <c r="Z28" s="60"/>
      <c r="AA28" s="60"/>
      <c r="AB28" s="60"/>
      <c r="AC28" s="60"/>
      <c r="AD28" s="60"/>
      <c r="AE28" s="60"/>
      <c r="AF28" s="60"/>
      <c r="AG28" s="60"/>
      <c r="AH28" s="60"/>
    </row>
    <row r="29" spans="1:34" x14ac:dyDescent="0.35">
      <c r="A29" s="1"/>
      <c r="B29" s="1"/>
      <c r="E29" s="60"/>
      <c r="F29" s="60"/>
      <c r="G29" s="60"/>
      <c r="H29" s="60"/>
      <c r="I29" s="60"/>
      <c r="J29" s="60"/>
      <c r="K29" s="60"/>
      <c r="L29" s="60"/>
      <c r="M29" s="60"/>
      <c r="N29" s="60"/>
      <c r="O29" s="60"/>
      <c r="P29" s="60"/>
      <c r="Q29" s="60"/>
      <c r="R29" s="60"/>
      <c r="S29" s="60"/>
      <c r="T29" s="60"/>
      <c r="U29" s="60"/>
      <c r="V29" s="60"/>
      <c r="W29" s="60"/>
      <c r="X29" s="60"/>
      <c r="Y29" s="60"/>
      <c r="Z29" s="60"/>
      <c r="AA29" s="60"/>
      <c r="AB29" s="60"/>
      <c r="AC29" s="60"/>
    </row>
    <row r="30" spans="1:34" x14ac:dyDescent="0.35">
      <c r="A30" s="1"/>
      <c r="B30" s="1"/>
      <c r="C30" s="2" t="s">
        <v>511</v>
      </c>
      <c r="D30" s="4">
        <f>D17</f>
        <v>0</v>
      </c>
      <c r="E30" s="170"/>
      <c r="F30" s="170"/>
      <c r="G30" s="170"/>
      <c r="H30" s="170"/>
      <c r="I30" s="170"/>
      <c r="J30" s="170"/>
      <c r="K30" s="170"/>
      <c r="L30" s="170"/>
      <c r="M30" s="170"/>
      <c r="N30" s="170"/>
      <c r="O30" s="170"/>
      <c r="P30" s="170"/>
      <c r="Q30" s="170"/>
      <c r="R30" s="170"/>
      <c r="S30" s="170"/>
      <c r="T30" s="170"/>
      <c r="U30" s="170"/>
      <c r="V30" s="170"/>
      <c r="W30" s="170"/>
      <c r="X30" s="170"/>
      <c r="Y30" s="170"/>
      <c r="Z30" s="170"/>
      <c r="AA30" s="170"/>
      <c r="AB30" s="170"/>
      <c r="AC30" s="170"/>
      <c r="AD30" s="170"/>
      <c r="AE30" s="170"/>
      <c r="AF30" s="170"/>
      <c r="AG30" s="170"/>
      <c r="AH30" s="170"/>
    </row>
    <row r="31" spans="1:34" x14ac:dyDescent="0.35">
      <c r="A31" s="1"/>
      <c r="B31" s="1"/>
    </row>
    <row r="32" spans="1:34" x14ac:dyDescent="0.35">
      <c r="A32" s="1"/>
      <c r="B32" s="1"/>
      <c r="C32" s="2" t="s">
        <v>512</v>
      </c>
      <c r="D32" s="61"/>
    </row>
    <row r="33" spans="1:29" x14ac:dyDescent="0.35">
      <c r="A33" s="1"/>
      <c r="B33" s="1"/>
    </row>
    <row r="34" spans="1:29" x14ac:dyDescent="0.35">
      <c r="A34" s="1"/>
      <c r="B34" s="1"/>
      <c r="E34" s="12">
        <f t="shared" ref="E34:AC34" si="1">LOOKUP(E6,23:23,24:24)</f>
        <v>0</v>
      </c>
      <c r="F34" s="12">
        <f t="shared" si="1"/>
        <v>0</v>
      </c>
      <c r="G34" s="12">
        <f t="shared" si="1"/>
        <v>0</v>
      </c>
      <c r="H34" s="12">
        <f t="shared" si="1"/>
        <v>0</v>
      </c>
      <c r="I34" s="12">
        <f t="shared" si="1"/>
        <v>0</v>
      </c>
      <c r="J34" s="12">
        <f t="shared" si="1"/>
        <v>0</v>
      </c>
      <c r="K34" s="12">
        <f t="shared" si="1"/>
        <v>0</v>
      </c>
      <c r="L34" s="12">
        <f t="shared" si="1"/>
        <v>0</v>
      </c>
      <c r="M34" s="12">
        <f t="shared" si="1"/>
        <v>0</v>
      </c>
      <c r="N34" s="12">
        <f t="shared" si="1"/>
        <v>0</v>
      </c>
      <c r="O34" s="12">
        <f t="shared" si="1"/>
        <v>0</v>
      </c>
      <c r="P34" s="12">
        <f t="shared" si="1"/>
        <v>0</v>
      </c>
      <c r="Q34" s="12">
        <f t="shared" si="1"/>
        <v>0</v>
      </c>
      <c r="R34" s="12">
        <f t="shared" si="1"/>
        <v>0</v>
      </c>
      <c r="S34" s="12">
        <f t="shared" si="1"/>
        <v>0</v>
      </c>
      <c r="T34" s="12">
        <f t="shared" si="1"/>
        <v>0</v>
      </c>
      <c r="U34" s="12">
        <f t="shared" si="1"/>
        <v>0</v>
      </c>
      <c r="V34" s="12">
        <f t="shared" si="1"/>
        <v>0</v>
      </c>
      <c r="W34" s="12">
        <f t="shared" si="1"/>
        <v>0</v>
      </c>
      <c r="X34" s="12">
        <f t="shared" si="1"/>
        <v>0</v>
      </c>
      <c r="Y34" s="12">
        <f t="shared" si="1"/>
        <v>0</v>
      </c>
      <c r="Z34" s="12">
        <f t="shared" si="1"/>
        <v>0</v>
      </c>
      <c r="AA34" s="12">
        <f t="shared" si="1"/>
        <v>0</v>
      </c>
      <c r="AB34" s="12">
        <f t="shared" si="1"/>
        <v>0</v>
      </c>
      <c r="AC34" s="12">
        <f t="shared" si="1"/>
        <v>0</v>
      </c>
    </row>
    <row r="35" spans="1:29" x14ac:dyDescent="0.35">
      <c r="A35" s="1"/>
      <c r="B35" s="1"/>
      <c r="C35" s="2" t="s">
        <v>2</v>
      </c>
      <c r="D35" s="4">
        <f>D26</f>
        <v>311</v>
      </c>
      <c r="E35" s="4">
        <f>D35*(1+E34)</f>
        <v>311</v>
      </c>
      <c r="F35" s="4">
        <f t="shared" ref="F35:AC35" si="2">E35*(1+F34)</f>
        <v>311</v>
      </c>
      <c r="G35" s="4">
        <f t="shared" si="2"/>
        <v>311</v>
      </c>
      <c r="H35" s="4">
        <f t="shared" si="2"/>
        <v>311</v>
      </c>
      <c r="I35" s="4">
        <f t="shared" si="2"/>
        <v>311</v>
      </c>
      <c r="J35" s="4">
        <f t="shared" si="2"/>
        <v>311</v>
      </c>
      <c r="K35" s="4">
        <f t="shared" si="2"/>
        <v>311</v>
      </c>
      <c r="L35" s="4">
        <f t="shared" si="2"/>
        <v>311</v>
      </c>
      <c r="M35" s="4">
        <f t="shared" si="2"/>
        <v>311</v>
      </c>
      <c r="N35" s="4">
        <f t="shared" si="2"/>
        <v>311</v>
      </c>
      <c r="O35" s="4">
        <f t="shared" si="2"/>
        <v>311</v>
      </c>
      <c r="P35" s="4">
        <f t="shared" si="2"/>
        <v>311</v>
      </c>
      <c r="Q35" s="4">
        <f t="shared" si="2"/>
        <v>311</v>
      </c>
      <c r="R35" s="4">
        <f t="shared" si="2"/>
        <v>311</v>
      </c>
      <c r="S35" s="4">
        <f t="shared" si="2"/>
        <v>311</v>
      </c>
      <c r="T35" s="4">
        <f t="shared" si="2"/>
        <v>311</v>
      </c>
      <c r="U35" s="4">
        <f t="shared" si="2"/>
        <v>311</v>
      </c>
      <c r="V35" s="4">
        <f t="shared" si="2"/>
        <v>311</v>
      </c>
      <c r="W35" s="4">
        <f t="shared" si="2"/>
        <v>311</v>
      </c>
      <c r="X35" s="4">
        <f t="shared" si="2"/>
        <v>311</v>
      </c>
      <c r="Y35" s="4">
        <f t="shared" si="2"/>
        <v>311</v>
      </c>
      <c r="Z35" s="4">
        <f t="shared" si="2"/>
        <v>311</v>
      </c>
      <c r="AA35" s="4">
        <f t="shared" si="2"/>
        <v>311</v>
      </c>
      <c r="AB35" s="4">
        <f t="shared" si="2"/>
        <v>311</v>
      </c>
      <c r="AC35" s="4">
        <f t="shared" si="2"/>
        <v>311</v>
      </c>
    </row>
    <row r="36" spans="1:29" x14ac:dyDescent="0.35">
      <c r="A36" s="1"/>
      <c r="B36" s="1"/>
      <c r="C36" s="2" t="s">
        <v>514</v>
      </c>
      <c r="D36" s="4">
        <f>-D9</f>
        <v>-3000</v>
      </c>
      <c r="E36" s="4">
        <f>E35</f>
        <v>311</v>
      </c>
      <c r="F36" s="4">
        <f t="shared" ref="F36:AC36" si="3">F35</f>
        <v>311</v>
      </c>
      <c r="G36" s="4">
        <f t="shared" si="3"/>
        <v>311</v>
      </c>
      <c r="H36" s="4">
        <f t="shared" si="3"/>
        <v>311</v>
      </c>
      <c r="I36" s="4">
        <f t="shared" si="3"/>
        <v>311</v>
      </c>
      <c r="J36" s="4">
        <f t="shared" si="3"/>
        <v>311</v>
      </c>
      <c r="K36" s="4">
        <f t="shared" si="3"/>
        <v>311</v>
      </c>
      <c r="L36" s="4">
        <f t="shared" si="3"/>
        <v>311</v>
      </c>
      <c r="M36" s="4">
        <f t="shared" si="3"/>
        <v>311</v>
      </c>
      <c r="N36" s="4">
        <f t="shared" si="3"/>
        <v>311</v>
      </c>
      <c r="O36" s="4">
        <f t="shared" si="3"/>
        <v>311</v>
      </c>
      <c r="P36" s="4">
        <f t="shared" si="3"/>
        <v>311</v>
      </c>
      <c r="Q36" s="4">
        <f t="shared" si="3"/>
        <v>311</v>
      </c>
      <c r="R36" s="4">
        <f t="shared" si="3"/>
        <v>311</v>
      </c>
      <c r="S36" s="4">
        <f t="shared" si="3"/>
        <v>311</v>
      </c>
      <c r="T36" s="4">
        <f t="shared" si="3"/>
        <v>311</v>
      </c>
      <c r="U36" s="4">
        <f t="shared" si="3"/>
        <v>311</v>
      </c>
      <c r="V36" s="4">
        <f t="shared" si="3"/>
        <v>311</v>
      </c>
      <c r="W36" s="4">
        <f t="shared" si="3"/>
        <v>311</v>
      </c>
      <c r="X36" s="4">
        <f t="shared" si="3"/>
        <v>311</v>
      </c>
      <c r="Y36" s="4">
        <f t="shared" si="3"/>
        <v>311</v>
      </c>
      <c r="Z36" s="4">
        <f t="shared" si="3"/>
        <v>311</v>
      </c>
      <c r="AA36" s="4">
        <f t="shared" si="3"/>
        <v>311</v>
      </c>
      <c r="AB36" s="4">
        <f t="shared" si="3"/>
        <v>311</v>
      </c>
      <c r="AC36" s="4">
        <f t="shared" si="3"/>
        <v>311</v>
      </c>
    </row>
    <row r="37" spans="1:29" x14ac:dyDescent="0.35">
      <c r="A37" s="1"/>
      <c r="B37" s="1"/>
      <c r="C37" s="2" t="s">
        <v>515</v>
      </c>
      <c r="D37" s="12">
        <f>IRR(36:36)</f>
        <v>9.2248274605665204E-2</v>
      </c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</row>
    <row r="39" spans="1:29" x14ac:dyDescent="0.35">
      <c r="A39" s="1"/>
      <c r="B39" s="1"/>
      <c r="C39" s="2" t="s">
        <v>15</v>
      </c>
      <c r="D39" s="6">
        <f t="array" ref="D39">NPV(D13,E35:AC35*E7:AC7)</f>
        <v>3228.073649874163</v>
      </c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</row>
    <row r="40" spans="1:29" x14ac:dyDescent="0.35">
      <c r="A40" s="1"/>
      <c r="B40" s="1"/>
      <c r="C40" s="2" t="s">
        <v>49</v>
      </c>
      <c r="D40" s="6">
        <f>D39/D12</f>
        <v>2152.0490999161088</v>
      </c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</row>
    <row r="41" spans="1:29" x14ac:dyDescent="0.35">
      <c r="A41" s="1"/>
      <c r="B41" s="1"/>
      <c r="C41" s="2" t="s">
        <v>52</v>
      </c>
      <c r="D41" s="17">
        <f>D40/D9</f>
        <v>0.71734969997203624</v>
      </c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</row>
    <row r="42" spans="1:29" x14ac:dyDescent="0.35">
      <c r="A42" s="1"/>
      <c r="B42" s="1"/>
      <c r="C42" s="2" t="s">
        <v>53</v>
      </c>
      <c r="D42" s="18" t="str">
        <f>IF(D41&lt;D10,"DSCR","Debt to Cap")</f>
        <v>DSCR</v>
      </c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</row>
    <row r="43" spans="1:29" x14ac:dyDescent="0.35">
      <c r="A43" s="1"/>
      <c r="B43" s="1"/>
      <c r="D43" s="1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</row>
    <row r="44" spans="1:29" x14ac:dyDescent="0.35">
      <c r="A44" s="1"/>
      <c r="B44" s="1"/>
      <c r="C44" s="27" t="s">
        <v>50</v>
      </c>
      <c r="D44" s="28">
        <f>D39/D11</f>
        <v>1.1326574210084783</v>
      </c>
      <c r="E44" s="4"/>
    </row>
    <row r="45" spans="1:29" x14ac:dyDescent="0.35">
      <c r="A45" s="1"/>
      <c r="B45" s="1"/>
      <c r="D45" s="4"/>
      <c r="E45" s="4"/>
    </row>
    <row r="46" spans="1:29" x14ac:dyDescent="0.35">
      <c r="A46" s="1"/>
      <c r="B46" s="1"/>
      <c r="C46" s="2" t="s">
        <v>51</v>
      </c>
      <c r="D46" s="4">
        <f>MAX(D44,D12)</f>
        <v>1.5</v>
      </c>
      <c r="E46" s="4"/>
    </row>
    <row r="47" spans="1:29" x14ac:dyDescent="0.35">
      <c r="A47" s="1"/>
      <c r="B47" s="1"/>
      <c r="D47" s="4"/>
      <c r="E47" s="4"/>
    </row>
    <row r="48" spans="1:29" s="4" customFormat="1" x14ac:dyDescent="0.35">
      <c r="A48" s="8"/>
      <c r="B48" s="8"/>
      <c r="C48" s="4" t="s">
        <v>3</v>
      </c>
      <c r="D48" s="4">
        <f>D46</f>
        <v>1.5</v>
      </c>
      <c r="E48" s="4">
        <f t="shared" ref="E48:AC48" si="4">E35/$D$48*E7</f>
        <v>207.33333333333334</v>
      </c>
      <c r="F48" s="4">
        <f t="shared" si="4"/>
        <v>207.33333333333334</v>
      </c>
      <c r="G48" s="4">
        <f t="shared" si="4"/>
        <v>207.33333333333334</v>
      </c>
      <c r="H48" s="4">
        <f t="shared" si="4"/>
        <v>207.33333333333334</v>
      </c>
      <c r="I48" s="4">
        <f t="shared" si="4"/>
        <v>207.33333333333334</v>
      </c>
      <c r="J48" s="4">
        <f t="shared" si="4"/>
        <v>207.33333333333334</v>
      </c>
      <c r="K48" s="4">
        <f t="shared" si="4"/>
        <v>207.33333333333334</v>
      </c>
      <c r="L48" s="4">
        <f t="shared" si="4"/>
        <v>207.33333333333334</v>
      </c>
      <c r="M48" s="4">
        <f t="shared" si="4"/>
        <v>207.33333333333334</v>
      </c>
      <c r="N48" s="4">
        <f t="shared" si="4"/>
        <v>207.33333333333334</v>
      </c>
      <c r="O48" s="4">
        <f t="shared" si="4"/>
        <v>207.33333333333334</v>
      </c>
      <c r="P48" s="4">
        <f t="shared" si="4"/>
        <v>207.33333333333334</v>
      </c>
      <c r="Q48" s="4">
        <f t="shared" si="4"/>
        <v>207.33333333333334</v>
      </c>
      <c r="R48" s="4">
        <f t="shared" si="4"/>
        <v>207.33333333333334</v>
      </c>
      <c r="S48" s="4">
        <f t="shared" si="4"/>
        <v>207.33333333333334</v>
      </c>
      <c r="T48" s="4">
        <f t="shared" si="4"/>
        <v>0</v>
      </c>
      <c r="U48" s="4">
        <f t="shared" si="4"/>
        <v>0</v>
      </c>
      <c r="V48" s="4">
        <f t="shared" si="4"/>
        <v>0</v>
      </c>
      <c r="W48" s="4">
        <f t="shared" si="4"/>
        <v>0</v>
      </c>
      <c r="X48" s="4">
        <f t="shared" si="4"/>
        <v>0</v>
      </c>
      <c r="Y48" s="4">
        <f t="shared" si="4"/>
        <v>0</v>
      </c>
      <c r="Z48" s="4">
        <f t="shared" si="4"/>
        <v>0</v>
      </c>
      <c r="AA48" s="4">
        <f t="shared" si="4"/>
        <v>0</v>
      </c>
      <c r="AB48" s="4">
        <f t="shared" si="4"/>
        <v>0</v>
      </c>
      <c r="AC48" s="4">
        <f t="shared" si="4"/>
        <v>0</v>
      </c>
    </row>
    <row r="49" spans="1:29" s="4" customFormat="1" x14ac:dyDescent="0.35">
      <c r="A49" s="8"/>
      <c r="B49" s="8"/>
      <c r="C49" s="4" t="s">
        <v>54</v>
      </c>
      <c r="D49" s="4">
        <f>NPV(Intrest_Rate,E48:AC48)+D32*D20</f>
        <v>2152.0490999161093</v>
      </c>
    </row>
    <row r="50" spans="1:29" x14ac:dyDescent="0.35">
      <c r="A50" s="1"/>
      <c r="B50" s="1"/>
    </row>
    <row r="51" spans="1:29" x14ac:dyDescent="0.35">
      <c r="A51" s="1"/>
      <c r="B51" s="1"/>
      <c r="C51" s="2" t="s">
        <v>5</v>
      </c>
      <c r="D51" s="6"/>
      <c r="E51" s="167">
        <f t="shared" ref="E51:AC51" si="5">D54</f>
        <v>2152.0490999161093</v>
      </c>
      <c r="F51" s="167">
        <f t="shared" si="5"/>
        <v>2052.3182215785814</v>
      </c>
      <c r="G51" s="167">
        <f t="shared" si="5"/>
        <v>1947.6007993241772</v>
      </c>
      <c r="H51" s="167">
        <f t="shared" si="5"/>
        <v>1837.6475059570528</v>
      </c>
      <c r="I51" s="167">
        <f t="shared" si="5"/>
        <v>1722.1965479215721</v>
      </c>
      <c r="J51" s="167">
        <f t="shared" si="5"/>
        <v>1600.9730419843174</v>
      </c>
      <c r="K51" s="167">
        <f t="shared" si="5"/>
        <v>1473.6883607502</v>
      </c>
      <c r="L51" s="167">
        <f t="shared" si="5"/>
        <v>1340.0394454543766</v>
      </c>
      <c r="M51" s="167">
        <f t="shared" si="5"/>
        <v>1199.7080843937622</v>
      </c>
      <c r="N51" s="167">
        <f t="shared" si="5"/>
        <v>1052.3601552801169</v>
      </c>
      <c r="O51" s="167">
        <f t="shared" si="5"/>
        <v>897.64482971078951</v>
      </c>
      <c r="P51" s="167">
        <f t="shared" si="5"/>
        <v>735.1937378629957</v>
      </c>
      <c r="Q51" s="167">
        <f t="shared" si="5"/>
        <v>564.62009142281215</v>
      </c>
      <c r="R51" s="167">
        <f t="shared" si="5"/>
        <v>385.51776266061938</v>
      </c>
      <c r="S51" s="167">
        <f t="shared" si="5"/>
        <v>197.46031746031701</v>
      </c>
      <c r="T51" s="167">
        <f t="shared" si="5"/>
        <v>-4.8316906031686813E-13</v>
      </c>
      <c r="U51" s="167">
        <f t="shared" si="5"/>
        <v>-5.0732751333271157E-13</v>
      </c>
      <c r="V51" s="167">
        <f t="shared" si="5"/>
        <v>-5.326938889993471E-13</v>
      </c>
      <c r="W51" s="167">
        <f t="shared" si="5"/>
        <v>-5.5932858344931451E-13</v>
      </c>
      <c r="X51" s="167">
        <f t="shared" si="5"/>
        <v>-5.8729501262178021E-13</v>
      </c>
      <c r="Y51" s="167">
        <f t="shared" si="5"/>
        <v>-6.1665976325286924E-13</v>
      </c>
      <c r="Z51" s="167">
        <f t="shared" si="5"/>
        <v>-6.4749275141551269E-13</v>
      </c>
      <c r="AA51" s="167">
        <f t="shared" si="5"/>
        <v>-6.7986738898628838E-13</v>
      </c>
      <c r="AB51" s="167">
        <f t="shared" si="5"/>
        <v>-7.1386075843560281E-13</v>
      </c>
      <c r="AC51" s="167">
        <f t="shared" si="5"/>
        <v>-7.4955379635738299E-13</v>
      </c>
    </row>
    <row r="52" spans="1:29" x14ac:dyDescent="0.35">
      <c r="A52" s="1"/>
      <c r="B52" s="1"/>
      <c r="C52" s="2" t="s">
        <v>6</v>
      </c>
      <c r="D52" s="6"/>
      <c r="E52" s="167">
        <f t="shared" ref="E52:AC52" si="6">E48-E56</f>
        <v>99.730878337527869</v>
      </c>
      <c r="F52" s="167">
        <f t="shared" si="6"/>
        <v>104.71742225440427</v>
      </c>
      <c r="G52" s="167">
        <f t="shared" si="6"/>
        <v>109.95329336712447</v>
      </c>
      <c r="H52" s="167">
        <f t="shared" si="6"/>
        <v>115.4509580354807</v>
      </c>
      <c r="I52" s="167">
        <f t="shared" si="6"/>
        <v>121.22350593725473</v>
      </c>
      <c r="J52" s="167">
        <f t="shared" si="6"/>
        <v>127.28468123411747</v>
      </c>
      <c r="K52" s="167">
        <f t="shared" si="6"/>
        <v>133.64891529582334</v>
      </c>
      <c r="L52" s="167">
        <f t="shared" si="6"/>
        <v>140.33136106061451</v>
      </c>
      <c r="M52" s="167">
        <f t="shared" si="6"/>
        <v>147.34792911364522</v>
      </c>
      <c r="N52" s="167">
        <f t="shared" si="6"/>
        <v>154.71532556932749</v>
      </c>
      <c r="O52" s="167">
        <f t="shared" si="6"/>
        <v>162.45109184779386</v>
      </c>
      <c r="P52" s="167">
        <f t="shared" si="6"/>
        <v>170.57364644018355</v>
      </c>
      <c r="Q52" s="167">
        <f t="shared" si="6"/>
        <v>179.10232876219274</v>
      </c>
      <c r="R52" s="167">
        <f t="shared" si="6"/>
        <v>188.05744520030237</v>
      </c>
      <c r="S52" s="167">
        <f t="shared" si="6"/>
        <v>197.4603174603175</v>
      </c>
      <c r="T52" s="167">
        <f t="shared" si="6"/>
        <v>2.4158453015843409E-14</v>
      </c>
      <c r="U52" s="167">
        <f t="shared" si="6"/>
        <v>2.5366375666635579E-14</v>
      </c>
      <c r="V52" s="167">
        <f t="shared" si="6"/>
        <v>2.6634694449967355E-14</v>
      </c>
      <c r="W52" s="167">
        <f t="shared" si="6"/>
        <v>2.7966429172465727E-14</v>
      </c>
      <c r="X52" s="167">
        <f t="shared" si="6"/>
        <v>2.9364750631089012E-14</v>
      </c>
      <c r="Y52" s="167">
        <f t="shared" si="6"/>
        <v>3.0832988162643465E-14</v>
      </c>
      <c r="Z52" s="167">
        <f t="shared" si="6"/>
        <v>3.2374637570775635E-14</v>
      </c>
      <c r="AA52" s="167">
        <f t="shared" si="6"/>
        <v>3.3993369449314423E-14</v>
      </c>
      <c r="AB52" s="167">
        <f t="shared" si="6"/>
        <v>3.5693037921780143E-14</v>
      </c>
      <c r="AC52" s="167">
        <f t="shared" si="6"/>
        <v>3.7477689817869152E-14</v>
      </c>
    </row>
    <row r="53" spans="1:29" x14ac:dyDescent="0.35">
      <c r="A53" s="1"/>
      <c r="B53" s="1"/>
      <c r="C53" s="2" t="s">
        <v>517</v>
      </c>
      <c r="D53" s="6" t="b">
        <f>D20</f>
        <v>0</v>
      </c>
      <c r="E53" s="170"/>
      <c r="F53" s="170"/>
      <c r="G53" s="170"/>
      <c r="H53" s="170"/>
      <c r="I53" s="170"/>
      <c r="J53" s="170"/>
      <c r="K53" s="170"/>
      <c r="L53" s="170"/>
      <c r="M53" s="170"/>
      <c r="N53" s="170"/>
      <c r="O53" s="170"/>
      <c r="P53" s="170"/>
      <c r="Q53" s="170"/>
      <c r="R53" s="170"/>
      <c r="S53" s="170"/>
      <c r="T53" s="170"/>
      <c r="U53" s="170"/>
      <c r="V53" s="170"/>
      <c r="W53" s="170"/>
      <c r="X53" s="170"/>
      <c r="Y53" s="170"/>
      <c r="Z53" s="170"/>
      <c r="AA53" s="170"/>
      <c r="AB53" s="170"/>
      <c r="AC53" s="170"/>
    </row>
    <row r="54" spans="1:29" x14ac:dyDescent="0.35">
      <c r="A54" s="1"/>
      <c r="B54" s="1"/>
      <c r="C54" s="2" t="s">
        <v>7</v>
      </c>
      <c r="D54" s="6">
        <f>D49</f>
        <v>2152.0490999161093</v>
      </c>
      <c r="E54" s="167">
        <f>E51-E52-E53</f>
        <v>2052.3182215785814</v>
      </c>
      <c r="F54" s="167">
        <f t="shared" ref="F54:AC54" si="7">F51-F52-F53</f>
        <v>1947.6007993241772</v>
      </c>
      <c r="G54" s="167">
        <f t="shared" si="7"/>
        <v>1837.6475059570528</v>
      </c>
      <c r="H54" s="167">
        <f t="shared" si="7"/>
        <v>1722.1965479215721</v>
      </c>
      <c r="I54" s="167">
        <f t="shared" si="7"/>
        <v>1600.9730419843174</v>
      </c>
      <c r="J54" s="167">
        <f t="shared" si="7"/>
        <v>1473.6883607502</v>
      </c>
      <c r="K54" s="167">
        <f t="shared" si="7"/>
        <v>1340.0394454543766</v>
      </c>
      <c r="L54" s="167">
        <f t="shared" si="7"/>
        <v>1199.7080843937622</v>
      </c>
      <c r="M54" s="167">
        <f t="shared" si="7"/>
        <v>1052.3601552801169</v>
      </c>
      <c r="N54" s="167">
        <f t="shared" si="7"/>
        <v>897.64482971078951</v>
      </c>
      <c r="O54" s="167">
        <f t="shared" si="7"/>
        <v>735.1937378629957</v>
      </c>
      <c r="P54" s="167">
        <f t="shared" si="7"/>
        <v>564.62009142281215</v>
      </c>
      <c r="Q54" s="167">
        <f t="shared" si="7"/>
        <v>385.51776266061938</v>
      </c>
      <c r="R54" s="167">
        <f t="shared" si="7"/>
        <v>197.46031746031701</v>
      </c>
      <c r="S54" s="167">
        <f t="shared" si="7"/>
        <v>-4.8316906031686813E-13</v>
      </c>
      <c r="T54" s="167">
        <f t="shared" si="7"/>
        <v>-5.0732751333271157E-13</v>
      </c>
      <c r="U54" s="167">
        <f t="shared" si="7"/>
        <v>-5.326938889993471E-13</v>
      </c>
      <c r="V54" s="167">
        <f t="shared" si="7"/>
        <v>-5.5932858344931451E-13</v>
      </c>
      <c r="W54" s="167">
        <f t="shared" si="7"/>
        <v>-5.8729501262178021E-13</v>
      </c>
      <c r="X54" s="167">
        <f t="shared" si="7"/>
        <v>-6.1665976325286924E-13</v>
      </c>
      <c r="Y54" s="167">
        <f t="shared" si="7"/>
        <v>-6.4749275141551269E-13</v>
      </c>
      <c r="Z54" s="167">
        <f t="shared" si="7"/>
        <v>-6.7986738898628838E-13</v>
      </c>
      <c r="AA54" s="167">
        <f t="shared" si="7"/>
        <v>-7.1386075843560281E-13</v>
      </c>
      <c r="AB54" s="167">
        <f t="shared" si="7"/>
        <v>-7.4955379635738299E-13</v>
      </c>
      <c r="AC54" s="167">
        <f t="shared" si="7"/>
        <v>-7.8703148617525215E-13</v>
      </c>
    </row>
    <row r="55" spans="1:29" x14ac:dyDescent="0.35">
      <c r="A55" s="1"/>
      <c r="B55" s="1"/>
      <c r="D55" s="6"/>
      <c r="E55" s="167"/>
      <c r="F55" s="167"/>
      <c r="G55" s="167"/>
      <c r="H55" s="167"/>
      <c r="I55" s="167"/>
      <c r="J55" s="167"/>
      <c r="K55" s="167"/>
      <c r="L55" s="167"/>
      <c r="M55" s="167"/>
      <c r="N55" s="167"/>
      <c r="O55" s="167"/>
      <c r="P55" s="167"/>
      <c r="Q55" s="167"/>
      <c r="R55" s="167"/>
      <c r="S55" s="167"/>
      <c r="T55" s="167"/>
      <c r="U55" s="167"/>
      <c r="V55" s="167"/>
      <c r="W55" s="167"/>
      <c r="X55" s="167"/>
      <c r="Y55" s="167"/>
      <c r="Z55" s="167"/>
      <c r="AA55" s="167"/>
      <c r="AB55" s="167"/>
      <c r="AC55" s="167"/>
    </row>
    <row r="56" spans="1:29" x14ac:dyDescent="0.35">
      <c r="A56" s="1"/>
      <c r="B56" s="1"/>
      <c r="C56" s="2" t="s">
        <v>8</v>
      </c>
      <c r="D56" s="12">
        <f>D13</f>
        <v>0.05</v>
      </c>
      <c r="E56" s="16">
        <f>E51*$D$56</f>
        <v>107.60245499580547</v>
      </c>
      <c r="F56" s="16">
        <f t="shared" ref="F56:AC56" si="8">F51*$D$56</f>
        <v>102.61591107892907</v>
      </c>
      <c r="G56" s="16">
        <f t="shared" si="8"/>
        <v>97.380039966208869</v>
      </c>
      <c r="H56" s="16">
        <f t="shared" si="8"/>
        <v>91.882375297852647</v>
      </c>
      <c r="I56" s="16">
        <f t="shared" si="8"/>
        <v>86.109827396078614</v>
      </c>
      <c r="J56" s="16">
        <f t="shared" si="8"/>
        <v>80.048652099215872</v>
      </c>
      <c r="K56" s="16">
        <f t="shared" si="8"/>
        <v>73.68441803751</v>
      </c>
      <c r="L56" s="16">
        <f t="shared" si="8"/>
        <v>67.001972272718831</v>
      </c>
      <c r="M56" s="16">
        <f t="shared" si="8"/>
        <v>59.985404219688114</v>
      </c>
      <c r="N56" s="16">
        <f t="shared" si="8"/>
        <v>52.618007764005853</v>
      </c>
      <c r="O56" s="16">
        <f t="shared" si="8"/>
        <v>44.882241485539481</v>
      </c>
      <c r="P56" s="16">
        <f t="shared" si="8"/>
        <v>36.759686893149784</v>
      </c>
      <c r="Q56" s="16">
        <f t="shared" si="8"/>
        <v>28.231004571140609</v>
      </c>
      <c r="R56" s="16">
        <f t="shared" si="8"/>
        <v>19.275888133030971</v>
      </c>
      <c r="S56" s="16">
        <f t="shared" si="8"/>
        <v>9.8730158730158522</v>
      </c>
      <c r="T56" s="16">
        <f t="shared" si="8"/>
        <v>-2.4158453015843409E-14</v>
      </c>
      <c r="U56" s="16">
        <f t="shared" si="8"/>
        <v>-2.5366375666635579E-14</v>
      </c>
      <c r="V56" s="16">
        <f t="shared" si="8"/>
        <v>-2.6634694449967355E-14</v>
      </c>
      <c r="W56" s="16">
        <f t="shared" si="8"/>
        <v>-2.7966429172465727E-14</v>
      </c>
      <c r="X56" s="16">
        <f t="shared" si="8"/>
        <v>-2.9364750631089012E-14</v>
      </c>
      <c r="Y56" s="16">
        <f t="shared" si="8"/>
        <v>-3.0832988162643465E-14</v>
      </c>
      <c r="Z56" s="16">
        <f t="shared" si="8"/>
        <v>-3.2374637570775635E-14</v>
      </c>
      <c r="AA56" s="16">
        <f t="shared" si="8"/>
        <v>-3.3993369449314423E-14</v>
      </c>
      <c r="AB56" s="16">
        <f t="shared" si="8"/>
        <v>-3.5693037921780143E-14</v>
      </c>
      <c r="AC56" s="16">
        <f t="shared" si="8"/>
        <v>-3.7477689817869152E-14</v>
      </c>
    </row>
    <row r="57" spans="1:29" x14ac:dyDescent="0.35">
      <c r="A57" s="1"/>
      <c r="B57" s="1"/>
      <c r="C57" s="2" t="s">
        <v>19</v>
      </c>
      <c r="E57" s="19">
        <f>E52+E56+E53</f>
        <v>207.33333333333334</v>
      </c>
      <c r="F57" s="19">
        <f t="shared" ref="F57:AC57" si="9">F52+F56+F53</f>
        <v>207.33333333333334</v>
      </c>
      <c r="G57" s="19">
        <f t="shared" si="9"/>
        <v>207.33333333333334</v>
      </c>
      <c r="H57" s="19">
        <f t="shared" si="9"/>
        <v>207.33333333333334</v>
      </c>
      <c r="I57" s="19">
        <f t="shared" si="9"/>
        <v>207.33333333333334</v>
      </c>
      <c r="J57" s="19">
        <f t="shared" si="9"/>
        <v>207.33333333333334</v>
      </c>
      <c r="K57" s="19">
        <f t="shared" si="9"/>
        <v>207.33333333333334</v>
      </c>
      <c r="L57" s="19">
        <f t="shared" si="9"/>
        <v>207.33333333333334</v>
      </c>
      <c r="M57" s="19">
        <f t="shared" si="9"/>
        <v>207.33333333333334</v>
      </c>
      <c r="N57" s="19">
        <f t="shared" si="9"/>
        <v>207.33333333333334</v>
      </c>
      <c r="O57" s="19">
        <f t="shared" si="9"/>
        <v>207.33333333333334</v>
      </c>
      <c r="P57" s="19">
        <f t="shared" si="9"/>
        <v>207.33333333333334</v>
      </c>
      <c r="Q57" s="19">
        <f t="shared" si="9"/>
        <v>207.33333333333334</v>
      </c>
      <c r="R57" s="19">
        <f t="shared" si="9"/>
        <v>207.33333333333334</v>
      </c>
      <c r="S57" s="19">
        <f t="shared" si="9"/>
        <v>207.33333333333334</v>
      </c>
      <c r="T57" s="19">
        <f t="shared" si="9"/>
        <v>0</v>
      </c>
      <c r="U57" s="19">
        <f t="shared" si="9"/>
        <v>0</v>
      </c>
      <c r="V57" s="19">
        <f t="shared" si="9"/>
        <v>0</v>
      </c>
      <c r="W57" s="19">
        <f t="shared" si="9"/>
        <v>0</v>
      </c>
      <c r="X57" s="19">
        <f t="shared" si="9"/>
        <v>0</v>
      </c>
      <c r="Y57" s="19">
        <f t="shared" si="9"/>
        <v>0</v>
      </c>
      <c r="Z57" s="19">
        <f t="shared" si="9"/>
        <v>0</v>
      </c>
      <c r="AA57" s="19">
        <f t="shared" si="9"/>
        <v>0</v>
      </c>
      <c r="AB57" s="19">
        <f t="shared" si="9"/>
        <v>0</v>
      </c>
      <c r="AC57" s="19">
        <f t="shared" si="9"/>
        <v>0</v>
      </c>
    </row>
    <row r="58" spans="1:29" x14ac:dyDescent="0.35">
      <c r="A58" s="1"/>
      <c r="B58" s="1"/>
      <c r="C58" s="2" t="s">
        <v>47</v>
      </c>
      <c r="D58" s="4" t="b">
        <f>ROUND(LOOKUP('Basic Case - NPV Analysis'!$D$18,'Basic Case - NPV Analysis'!$5:$5,54:54),0)=0</f>
        <v>1</v>
      </c>
    </row>
    <row r="59" spans="1:29" x14ac:dyDescent="0.35">
      <c r="A59" s="1"/>
      <c r="B59" s="1"/>
    </row>
    <row r="60" spans="1:29" x14ac:dyDescent="0.35">
      <c r="A60" s="1"/>
      <c r="B60" s="1"/>
      <c r="C60" s="2" t="s">
        <v>9</v>
      </c>
      <c r="E60" s="4">
        <f>IF(E57&gt;0.01,E35/E57)</f>
        <v>1.5</v>
      </c>
      <c r="F60" s="4">
        <f t="shared" ref="F60:AC60" si="10">IF(F57&gt;0.01,F35/F57)</f>
        <v>1.5</v>
      </c>
      <c r="G60" s="4">
        <f t="shared" si="10"/>
        <v>1.5</v>
      </c>
      <c r="H60" s="4">
        <f t="shared" si="10"/>
        <v>1.5</v>
      </c>
      <c r="I60" s="4">
        <f t="shared" si="10"/>
        <v>1.5</v>
      </c>
      <c r="J60" s="4">
        <f t="shared" si="10"/>
        <v>1.5</v>
      </c>
      <c r="K60" s="4">
        <f t="shared" si="10"/>
        <v>1.5</v>
      </c>
      <c r="L60" s="4">
        <f t="shared" si="10"/>
        <v>1.5</v>
      </c>
      <c r="M60" s="4">
        <f t="shared" si="10"/>
        <v>1.5</v>
      </c>
      <c r="N60" s="4">
        <f t="shared" si="10"/>
        <v>1.5</v>
      </c>
      <c r="O60" s="4">
        <f t="shared" si="10"/>
        <v>1.5</v>
      </c>
      <c r="P60" s="4">
        <f t="shared" si="10"/>
        <v>1.5</v>
      </c>
      <c r="Q60" s="4">
        <f t="shared" si="10"/>
        <v>1.5</v>
      </c>
      <c r="R60" s="4">
        <f t="shared" si="10"/>
        <v>1.5</v>
      </c>
      <c r="S60" s="4">
        <f t="shared" si="10"/>
        <v>1.5</v>
      </c>
      <c r="T60" s="4" t="b">
        <f t="shared" si="10"/>
        <v>0</v>
      </c>
      <c r="U60" s="4" t="b">
        <f t="shared" si="10"/>
        <v>0</v>
      </c>
      <c r="V60" s="4" t="b">
        <f t="shared" si="10"/>
        <v>0</v>
      </c>
      <c r="W60" s="4" t="b">
        <f t="shared" si="10"/>
        <v>0</v>
      </c>
      <c r="X60" s="4" t="b">
        <f t="shared" si="10"/>
        <v>0</v>
      </c>
      <c r="Y60" s="4" t="b">
        <f t="shared" si="10"/>
        <v>0</v>
      </c>
      <c r="Z60" s="4" t="b">
        <f t="shared" si="10"/>
        <v>0</v>
      </c>
      <c r="AA60" s="4" t="b">
        <f t="shared" si="10"/>
        <v>0</v>
      </c>
      <c r="AB60" s="4" t="b">
        <f t="shared" si="10"/>
        <v>0</v>
      </c>
      <c r="AC60" s="4" t="b">
        <f t="shared" si="10"/>
        <v>0</v>
      </c>
    </row>
    <row r="61" spans="1:29" x14ac:dyDescent="0.35">
      <c r="A61" s="1"/>
      <c r="B61" s="1"/>
      <c r="C61" s="2" t="s">
        <v>10</v>
      </c>
      <c r="D61" s="4">
        <f t="array" ref="D61">NPV(Intrest_Rate,E35:AC35*E7:AC7)/D54</f>
        <v>1.4999999999999996</v>
      </c>
    </row>
    <row r="62" spans="1:29" x14ac:dyDescent="0.35">
      <c r="A62" s="1"/>
      <c r="B62" s="1"/>
    </row>
    <row r="63" spans="1:29" x14ac:dyDescent="0.35">
      <c r="C63" s="2" t="s">
        <v>101</v>
      </c>
      <c r="D63" s="4">
        <f>-D18+D54</f>
        <v>-847.9509000838907</v>
      </c>
      <c r="E63" s="19">
        <f t="shared" ref="E63:AC63" si="11">E35+E30-E57</f>
        <v>103.66666666666666</v>
      </c>
      <c r="F63" s="19">
        <f t="shared" si="11"/>
        <v>103.66666666666666</v>
      </c>
      <c r="G63" s="19">
        <f t="shared" si="11"/>
        <v>103.66666666666666</v>
      </c>
      <c r="H63" s="19">
        <f t="shared" si="11"/>
        <v>103.66666666666666</v>
      </c>
      <c r="I63" s="19">
        <f t="shared" si="11"/>
        <v>103.66666666666666</v>
      </c>
      <c r="J63" s="19">
        <f t="shared" si="11"/>
        <v>103.66666666666666</v>
      </c>
      <c r="K63" s="19">
        <f t="shared" si="11"/>
        <v>103.66666666666666</v>
      </c>
      <c r="L63" s="19">
        <f t="shared" si="11"/>
        <v>103.66666666666666</v>
      </c>
      <c r="M63" s="19">
        <f t="shared" si="11"/>
        <v>103.66666666666666</v>
      </c>
      <c r="N63" s="19">
        <f t="shared" si="11"/>
        <v>103.66666666666666</v>
      </c>
      <c r="O63" s="19">
        <f t="shared" si="11"/>
        <v>103.66666666666666</v>
      </c>
      <c r="P63" s="19">
        <f t="shared" si="11"/>
        <v>103.66666666666666</v>
      </c>
      <c r="Q63" s="19">
        <f t="shared" si="11"/>
        <v>103.66666666666666</v>
      </c>
      <c r="R63" s="19">
        <f t="shared" si="11"/>
        <v>103.66666666666666</v>
      </c>
      <c r="S63" s="19">
        <f t="shared" si="11"/>
        <v>103.66666666666666</v>
      </c>
      <c r="T63" s="19">
        <f t="shared" si="11"/>
        <v>311</v>
      </c>
      <c r="U63" s="19">
        <f t="shared" si="11"/>
        <v>311</v>
      </c>
      <c r="V63" s="19">
        <f t="shared" si="11"/>
        <v>311</v>
      </c>
      <c r="W63" s="19">
        <f t="shared" si="11"/>
        <v>311</v>
      </c>
      <c r="X63" s="19">
        <f t="shared" si="11"/>
        <v>311</v>
      </c>
      <c r="Y63" s="19">
        <f t="shared" si="11"/>
        <v>311</v>
      </c>
      <c r="Z63" s="19">
        <f t="shared" si="11"/>
        <v>311</v>
      </c>
      <c r="AA63" s="19">
        <f t="shared" si="11"/>
        <v>311</v>
      </c>
      <c r="AB63" s="19">
        <f t="shared" si="11"/>
        <v>311</v>
      </c>
      <c r="AC63" s="19">
        <f t="shared" si="11"/>
        <v>311</v>
      </c>
    </row>
    <row r="64" spans="1:29" x14ac:dyDescent="0.35">
      <c r="C64" s="27" t="s">
        <v>309</v>
      </c>
      <c r="D64" s="168">
        <f>IRR(63:63)</f>
        <v>0.14230995484262188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9873" r:id="rId3" name="Spinner 1">
              <controlPr defaultSize="0" autoPict="0">
                <anchor moveWithCells="1" sizeWithCells="1">
                  <from>
                    <xdr:col>4</xdr:col>
                    <xdr:colOff>38100</xdr:colOff>
                    <xdr:row>25</xdr:row>
                    <xdr:rowOff>0</xdr:rowOff>
                  </from>
                  <to>
                    <xdr:col>4</xdr:col>
                    <xdr:colOff>279400</xdr:colOff>
                    <xdr:row>26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30"/>
  <dimension ref="A1:BL199"/>
  <sheetViews>
    <sheetView zoomScale="90" zoomScaleNormal="90" workbookViewId="0">
      <pane xSplit="4" ySplit="12" topLeftCell="E15" activePane="bottomRight" state="frozen"/>
      <selection pane="topRight" activeCell="E1" sqref="E1"/>
      <selection pane="bottomLeft" activeCell="A9" sqref="A9"/>
      <selection pane="bottomRight" activeCell="A32" sqref="A32"/>
    </sheetView>
  </sheetViews>
  <sheetFormatPr defaultColWidth="9.1796875" defaultRowHeight="14.5" outlineLevelRow="1" x14ac:dyDescent="0.35"/>
  <cols>
    <col min="1" max="2" width="1.26953125" style="2" customWidth="1"/>
    <col min="3" max="3" width="47" style="2" customWidth="1"/>
    <col min="4" max="4" width="12.7265625" style="2" customWidth="1"/>
    <col min="5" max="64" width="10.81640625" style="2" customWidth="1"/>
    <col min="65" max="16384" width="9.1796875" style="2"/>
  </cols>
  <sheetData>
    <row r="1" spans="1:18" ht="26" hidden="1" outlineLevel="1" x14ac:dyDescent="0.6">
      <c r="C1" s="89" t="s">
        <v>570</v>
      </c>
      <c r="M1" s="2" t="s">
        <v>449</v>
      </c>
    </row>
    <row r="2" spans="1:18" ht="26" hidden="1" outlineLevel="1" x14ac:dyDescent="0.6">
      <c r="C2" s="89" t="s">
        <v>569</v>
      </c>
    </row>
    <row r="3" spans="1:18" ht="26" hidden="1" outlineLevel="1" x14ac:dyDescent="0.6">
      <c r="C3" s="89" t="s">
        <v>577</v>
      </c>
    </row>
    <row r="4" spans="1:18" ht="26" hidden="1" outlineLevel="1" x14ac:dyDescent="0.6">
      <c r="C4" s="89" t="s">
        <v>584</v>
      </c>
    </row>
    <row r="5" spans="1:18" ht="26" hidden="1" outlineLevel="1" x14ac:dyDescent="0.6">
      <c r="C5" s="89" t="s">
        <v>585</v>
      </c>
    </row>
    <row r="6" spans="1:18" ht="26" hidden="1" outlineLevel="1" x14ac:dyDescent="0.6">
      <c r="C6" s="89"/>
    </row>
    <row r="7" spans="1:18" ht="26" hidden="1" outlineLevel="1" x14ac:dyDescent="0.6">
      <c r="C7" s="89"/>
    </row>
    <row r="8" spans="1:18" collapsed="1" x14ac:dyDescent="0.35"/>
    <row r="9" spans="1:18" s="40" customFormat="1" x14ac:dyDescent="0.35">
      <c r="A9" s="40" t="s">
        <v>77</v>
      </c>
    </row>
    <row r="10" spans="1:18" x14ac:dyDescent="0.35">
      <c r="A10" s="1"/>
      <c r="B10" s="2" t="s">
        <v>65</v>
      </c>
      <c r="D10" s="13">
        <v>1</v>
      </c>
      <c r="E10" s="13">
        <v>5</v>
      </c>
      <c r="F10" s="13">
        <v>10</v>
      </c>
      <c r="K10" s="2" t="s">
        <v>132</v>
      </c>
    </row>
    <row r="11" spans="1:18" x14ac:dyDescent="0.35">
      <c r="A11" s="1"/>
      <c r="B11" s="2" t="s">
        <v>24</v>
      </c>
      <c r="D11" s="157">
        <v>0.03</v>
      </c>
      <c r="E11" s="157">
        <v>0.03</v>
      </c>
      <c r="F11" s="157">
        <v>0.03</v>
      </c>
      <c r="K11" s="2" t="s">
        <v>133</v>
      </c>
      <c r="R11" s="2" t="s">
        <v>129</v>
      </c>
    </row>
    <row r="12" spans="1:18" x14ac:dyDescent="0.35">
      <c r="A12" s="1"/>
      <c r="B12" s="2" t="s">
        <v>84</v>
      </c>
      <c r="D12" s="15">
        <v>1.2</v>
      </c>
      <c r="E12" s="4"/>
      <c r="F12" s="4"/>
      <c r="K12" s="2" t="s">
        <v>134</v>
      </c>
      <c r="R12" s="2" t="s">
        <v>126</v>
      </c>
    </row>
    <row r="13" spans="1:18" x14ac:dyDescent="0.35">
      <c r="A13" s="1"/>
      <c r="B13" s="2" t="s">
        <v>86</v>
      </c>
      <c r="D13" s="14">
        <v>0.8</v>
      </c>
      <c r="E13" s="12"/>
      <c r="F13" s="12"/>
      <c r="R13" s="2" t="s">
        <v>127</v>
      </c>
    </row>
    <row r="14" spans="1:18" x14ac:dyDescent="0.35">
      <c r="A14" s="1"/>
      <c r="B14" s="2" t="s">
        <v>85</v>
      </c>
      <c r="D14" s="13">
        <v>22</v>
      </c>
      <c r="K14" s="2" t="s">
        <v>140</v>
      </c>
      <c r="R14" s="2" t="s">
        <v>128</v>
      </c>
    </row>
    <row r="15" spans="1:18" x14ac:dyDescent="0.35">
      <c r="B15" s="2" t="s">
        <v>581</v>
      </c>
      <c r="D15" s="2" t="b">
        <v>1</v>
      </c>
      <c r="G15" s="1" t="s">
        <v>320</v>
      </c>
      <c r="H15" s="12"/>
      <c r="K15" s="2" t="s">
        <v>456</v>
      </c>
    </row>
    <row r="16" spans="1:18" x14ac:dyDescent="0.35">
      <c r="B16" s="2" t="s">
        <v>222</v>
      </c>
      <c r="D16" s="13" t="b">
        <v>0</v>
      </c>
      <c r="G16" s="176" t="s">
        <v>571</v>
      </c>
      <c r="H16" s="116">
        <f ca="1">D111</f>
        <v>1.0102780905185682E-6</v>
      </c>
      <c r="K16" s="2" t="s">
        <v>142</v>
      </c>
      <c r="R16" s="2" t="s">
        <v>130</v>
      </c>
    </row>
    <row r="17" spans="1:18" x14ac:dyDescent="0.35">
      <c r="B17" s="2" t="s">
        <v>229</v>
      </c>
      <c r="D17" s="2" t="b">
        <f>NOT(D16)</f>
        <v>1</v>
      </c>
      <c r="G17" s="177" t="s">
        <v>572</v>
      </c>
      <c r="H17" s="118">
        <f ca="1">D110</f>
        <v>1.8116680364077428E-5</v>
      </c>
      <c r="K17" s="2" t="s">
        <v>457</v>
      </c>
      <c r="R17" s="2" t="s">
        <v>131</v>
      </c>
    </row>
    <row r="18" spans="1:18" x14ac:dyDescent="0.35">
      <c r="A18" s="1"/>
      <c r="G18" s="177" t="s">
        <v>315</v>
      </c>
      <c r="H18" s="119">
        <f ca="1">D196</f>
        <v>0.80000000000000038</v>
      </c>
      <c r="I18" s="3">
        <f>D13</f>
        <v>0.8</v>
      </c>
      <c r="R18" s="2" t="s">
        <v>137</v>
      </c>
    </row>
    <row r="19" spans="1:18" x14ac:dyDescent="0.35">
      <c r="A19" s="1"/>
      <c r="B19" s="2" t="s">
        <v>78</v>
      </c>
      <c r="D19" s="13">
        <v>6</v>
      </c>
      <c r="G19" s="177" t="s">
        <v>300</v>
      </c>
      <c r="H19" s="118">
        <f ca="1">D190</f>
        <v>1.4063511590525417</v>
      </c>
      <c r="I19" s="4">
        <v>1.5</v>
      </c>
    </row>
    <row r="20" spans="1:18" x14ac:dyDescent="0.35">
      <c r="A20" s="1"/>
      <c r="B20" s="2" t="s">
        <v>82</v>
      </c>
      <c r="D20" s="2">
        <f>D19/6</f>
        <v>1</v>
      </c>
      <c r="G20" s="177" t="s">
        <v>301</v>
      </c>
      <c r="H20" s="118">
        <f ca="1">D191</f>
        <v>1.4063511590525413</v>
      </c>
      <c r="K20" s="2" t="s">
        <v>182</v>
      </c>
      <c r="L20" s="12">
        <f>D39</f>
        <v>0.25</v>
      </c>
    </row>
    <row r="21" spans="1:18" x14ac:dyDescent="0.35">
      <c r="A21" s="1"/>
      <c r="B21" s="2" t="s">
        <v>454</v>
      </c>
      <c r="D21" s="157">
        <v>0</v>
      </c>
      <c r="G21" s="180" t="s">
        <v>309</v>
      </c>
      <c r="H21" s="168">
        <f ca="1">D181</f>
        <v>0.11183771731634229</v>
      </c>
    </row>
    <row r="22" spans="1:18" x14ac:dyDescent="0.35">
      <c r="A22" s="1"/>
      <c r="B22" s="2" t="s">
        <v>171</v>
      </c>
      <c r="D22" s="157">
        <v>5.0000000000000001E-3</v>
      </c>
      <c r="G22" s="178" t="s">
        <v>321</v>
      </c>
      <c r="H22" s="121">
        <f ca="1">D97</f>
        <v>3244.1719263014688</v>
      </c>
      <c r="I22" s="4">
        <f>D68</f>
        <v>4562.4449487197862</v>
      </c>
    </row>
    <row r="23" spans="1:18" x14ac:dyDescent="0.35">
      <c r="A23" s="1"/>
      <c r="G23" s="34" t="s">
        <v>515</v>
      </c>
      <c r="H23" s="171">
        <f>D183</f>
        <v>6.0407318775447472E-2</v>
      </c>
    </row>
    <row r="24" spans="1:18" x14ac:dyDescent="0.35">
      <c r="A24" s="1"/>
      <c r="B24" s="2" t="s">
        <v>415</v>
      </c>
      <c r="D24" s="13">
        <v>152</v>
      </c>
      <c r="G24" s="34" t="s">
        <v>64</v>
      </c>
      <c r="H24" s="171">
        <f ca="1">D199</f>
        <v>3.0224999983236467E-2</v>
      </c>
    </row>
    <row r="25" spans="1:18" x14ac:dyDescent="0.35">
      <c r="A25" s="1"/>
    </row>
    <row r="26" spans="1:18" x14ac:dyDescent="0.35">
      <c r="A26" s="1"/>
      <c r="B26" s="2" t="s">
        <v>30</v>
      </c>
      <c r="D26" s="13">
        <v>1</v>
      </c>
      <c r="E26" s="13">
        <v>4</v>
      </c>
      <c r="F26" s="13">
        <v>6</v>
      </c>
      <c r="G26" s="2">
        <v>8</v>
      </c>
      <c r="H26" s="2">
        <v>10</v>
      </c>
    </row>
    <row r="27" spans="1:18" x14ac:dyDescent="0.35">
      <c r="A27" s="1"/>
      <c r="B27" s="2" t="s">
        <v>38</v>
      </c>
      <c r="D27" s="14">
        <v>0</v>
      </c>
      <c r="E27" s="14">
        <v>0.02</v>
      </c>
      <c r="F27" s="14">
        <v>-0.02</v>
      </c>
      <c r="G27" s="3">
        <v>0.02</v>
      </c>
      <c r="H27" s="3">
        <v>-0.02</v>
      </c>
    </row>
    <row r="28" spans="1:18" x14ac:dyDescent="0.35">
      <c r="A28" s="1"/>
      <c r="D28" s="3"/>
      <c r="E28" s="3"/>
      <c r="F28" s="3"/>
    </row>
    <row r="29" spans="1:18" x14ac:dyDescent="0.35">
      <c r="A29" s="1"/>
      <c r="B29" s="158" t="s">
        <v>490</v>
      </c>
      <c r="C29" s="159"/>
      <c r="D29" s="163">
        <f>1/40</f>
        <v>2.5000000000000001E-2</v>
      </c>
      <c r="E29" s="3"/>
      <c r="F29" s="3"/>
    </row>
    <row r="30" spans="1:18" x14ac:dyDescent="0.35">
      <c r="A30" s="1"/>
      <c r="B30" s="160" t="s">
        <v>491</v>
      </c>
      <c r="C30" s="161"/>
      <c r="D30" s="164">
        <v>0</v>
      </c>
      <c r="E30" s="3"/>
      <c r="F30" s="3"/>
    </row>
    <row r="31" spans="1:18" x14ac:dyDescent="0.35">
      <c r="A31" s="1"/>
    </row>
    <row r="32" spans="1:18" x14ac:dyDescent="0.35">
      <c r="A32" s="1"/>
      <c r="B32" s="2" t="s">
        <v>12</v>
      </c>
      <c r="D32" s="15">
        <v>4000</v>
      </c>
      <c r="G32" s="32" t="s">
        <v>97</v>
      </c>
      <c r="H32" s="32" t="s">
        <v>10</v>
      </c>
      <c r="I32" s="32" t="s">
        <v>15</v>
      </c>
      <c r="J32" s="32"/>
    </row>
    <row r="33" spans="1:64" x14ac:dyDescent="0.35">
      <c r="A33" s="1"/>
      <c r="B33" s="2" t="s">
        <v>95</v>
      </c>
      <c r="D33" s="4">
        <f>G33</f>
        <v>107.59959411621094</v>
      </c>
      <c r="G33" s="31">
        <f>E144</f>
        <v>107.59959411621094</v>
      </c>
      <c r="H33" s="30"/>
      <c r="I33" s="30"/>
      <c r="J33" s="28"/>
      <c r="N33" s="4"/>
      <c r="O33" s="4"/>
      <c r="P33" s="4"/>
    </row>
    <row r="34" spans="1:64" x14ac:dyDescent="0.35">
      <c r="A34" s="1"/>
      <c r="B34" s="2" t="s">
        <v>500</v>
      </c>
      <c r="D34" s="4">
        <f>E153</f>
        <v>0</v>
      </c>
      <c r="G34" s="165"/>
      <c r="H34" s="105"/>
      <c r="I34" s="105"/>
      <c r="J34" s="105"/>
      <c r="N34" s="4"/>
      <c r="O34" s="4"/>
      <c r="P34" s="4"/>
    </row>
    <row r="35" spans="1:64" ht="15" thickBot="1" x14ac:dyDescent="0.4">
      <c r="A35" s="1"/>
      <c r="B35" s="24" t="s">
        <v>501</v>
      </c>
      <c r="C35" s="24"/>
      <c r="D35" s="25">
        <f>D32+D33+D34</f>
        <v>4107.5995941162109</v>
      </c>
      <c r="G35" s="165"/>
      <c r="H35" s="105"/>
      <c r="I35" s="105"/>
      <c r="J35" s="105"/>
      <c r="N35" s="4"/>
      <c r="O35" s="4"/>
      <c r="P35" s="4"/>
    </row>
    <row r="36" spans="1:64" x14ac:dyDescent="0.35">
      <c r="A36" s="1"/>
      <c r="D36" s="4"/>
      <c r="G36" s="165"/>
      <c r="H36" s="105"/>
      <c r="I36" s="105"/>
      <c r="J36" s="105"/>
      <c r="N36" s="4"/>
      <c r="O36" s="4"/>
      <c r="P36" s="4"/>
    </row>
    <row r="37" spans="1:64" outlineLevel="1" x14ac:dyDescent="0.35">
      <c r="A37" s="1"/>
      <c r="B37" s="2" t="s">
        <v>329</v>
      </c>
      <c r="D37" s="4">
        <f>D35*D13</f>
        <v>3286.0796752929691</v>
      </c>
      <c r="E37" s="3">
        <f>D13</f>
        <v>0.8</v>
      </c>
    </row>
    <row r="38" spans="1:64" outlineLevel="1" x14ac:dyDescent="0.35">
      <c r="A38" s="1"/>
      <c r="D38" s="4"/>
    </row>
    <row r="39" spans="1:64" outlineLevel="1" x14ac:dyDescent="0.35">
      <c r="A39" s="1"/>
      <c r="B39" s="2" t="s">
        <v>182</v>
      </c>
      <c r="D39" s="157">
        <f>E39/100</f>
        <v>0.25</v>
      </c>
      <c r="E39" s="13">
        <v>25</v>
      </c>
    </row>
    <row r="40" spans="1:64" s="10" customFormat="1" outlineLevel="1" x14ac:dyDescent="0.35">
      <c r="A40" s="22"/>
    </row>
    <row r="41" spans="1:64" s="98" customFormat="1" outlineLevel="1" x14ac:dyDescent="0.35">
      <c r="A41" s="98" t="s">
        <v>210</v>
      </c>
    </row>
    <row r="42" spans="1:64" x14ac:dyDescent="0.35">
      <c r="A42" s="1"/>
      <c r="B42" s="2" t="s">
        <v>65</v>
      </c>
      <c r="E42" s="13">
        <v>1</v>
      </c>
      <c r="F42" s="13">
        <v>2</v>
      </c>
      <c r="G42" s="13">
        <v>3</v>
      </c>
      <c r="H42" s="13">
        <v>4</v>
      </c>
      <c r="I42" s="13">
        <v>5</v>
      </c>
      <c r="J42" s="13">
        <v>6</v>
      </c>
      <c r="K42" s="13">
        <v>7</v>
      </c>
      <c r="L42" s="13">
        <v>8</v>
      </c>
      <c r="M42" s="13">
        <v>9</v>
      </c>
      <c r="N42" s="13">
        <v>10</v>
      </c>
      <c r="O42" s="13">
        <v>11</v>
      </c>
      <c r="P42" s="13">
        <v>12</v>
      </c>
      <c r="Q42" s="13">
        <v>13</v>
      </c>
      <c r="R42" s="13">
        <v>14</v>
      </c>
      <c r="S42" s="13">
        <v>15</v>
      </c>
      <c r="T42" s="13">
        <v>16</v>
      </c>
      <c r="U42" s="13">
        <v>17</v>
      </c>
      <c r="V42" s="13">
        <v>18</v>
      </c>
      <c r="W42" s="13">
        <v>19</v>
      </c>
      <c r="X42" s="13">
        <v>20</v>
      </c>
      <c r="Y42" s="13">
        <v>21</v>
      </c>
      <c r="Z42" s="13">
        <v>22</v>
      </c>
      <c r="AA42" s="13">
        <v>23</v>
      </c>
      <c r="AB42" s="13">
        <v>24</v>
      </c>
      <c r="AC42" s="13">
        <v>25</v>
      </c>
      <c r="AD42" s="13">
        <v>26</v>
      </c>
      <c r="AE42" s="13">
        <v>27</v>
      </c>
      <c r="AF42" s="13">
        <v>28</v>
      </c>
      <c r="AG42" s="13">
        <v>29</v>
      </c>
      <c r="AH42" s="13">
        <v>30</v>
      </c>
      <c r="AI42" s="13">
        <v>31</v>
      </c>
      <c r="AJ42" s="13">
        <v>32</v>
      </c>
      <c r="AK42" s="13">
        <v>33</v>
      </c>
      <c r="AL42" s="13">
        <v>34</v>
      </c>
      <c r="AM42" s="13">
        <v>35</v>
      </c>
      <c r="AN42" s="13">
        <v>36</v>
      </c>
      <c r="AO42" s="13">
        <v>37</v>
      </c>
      <c r="AP42" s="13">
        <v>38</v>
      </c>
      <c r="AQ42" s="13">
        <v>39</v>
      </c>
      <c r="AR42" s="13">
        <v>40</v>
      </c>
      <c r="AS42" s="13">
        <v>41</v>
      </c>
      <c r="AT42" s="13">
        <v>42</v>
      </c>
      <c r="AU42" s="13">
        <v>43</v>
      </c>
      <c r="AV42" s="13">
        <v>44</v>
      </c>
      <c r="AW42" s="13">
        <v>45</v>
      </c>
      <c r="AX42" s="13">
        <v>46</v>
      </c>
      <c r="AY42" s="13">
        <v>47</v>
      </c>
      <c r="AZ42" s="13">
        <v>48</v>
      </c>
      <c r="BA42" s="13">
        <v>49</v>
      </c>
      <c r="BB42" s="13">
        <v>50</v>
      </c>
      <c r="BC42" s="13">
        <v>51</v>
      </c>
      <c r="BD42" s="13">
        <v>52</v>
      </c>
      <c r="BE42" s="13">
        <v>53</v>
      </c>
      <c r="BF42" s="13">
        <v>54</v>
      </c>
      <c r="BG42" s="13">
        <v>55</v>
      </c>
      <c r="BH42" s="13">
        <v>56</v>
      </c>
      <c r="BI42" s="13">
        <v>57</v>
      </c>
      <c r="BJ42" s="13">
        <v>58</v>
      </c>
      <c r="BK42" s="13">
        <v>59</v>
      </c>
      <c r="BL42" s="13">
        <v>60</v>
      </c>
    </row>
    <row r="43" spans="1:64" x14ac:dyDescent="0.35">
      <c r="A43" s="1"/>
      <c r="B43" s="2" t="s">
        <v>30</v>
      </c>
      <c r="E43" s="2">
        <f t="shared" ref="E43:BL43" si="0">ROUNDUP(E42/2,0)</f>
        <v>1</v>
      </c>
      <c r="F43" s="2">
        <f t="shared" si="0"/>
        <v>1</v>
      </c>
      <c r="G43" s="2">
        <f t="shared" si="0"/>
        <v>2</v>
      </c>
      <c r="H43" s="2">
        <f t="shared" si="0"/>
        <v>2</v>
      </c>
      <c r="I43" s="2">
        <f t="shared" si="0"/>
        <v>3</v>
      </c>
      <c r="J43" s="2">
        <f t="shared" si="0"/>
        <v>3</v>
      </c>
      <c r="K43" s="2">
        <f t="shared" si="0"/>
        <v>4</v>
      </c>
      <c r="L43" s="2">
        <f t="shared" si="0"/>
        <v>4</v>
      </c>
      <c r="M43" s="2">
        <f t="shared" si="0"/>
        <v>5</v>
      </c>
      <c r="N43" s="2">
        <f t="shared" si="0"/>
        <v>5</v>
      </c>
      <c r="O43" s="2">
        <f t="shared" si="0"/>
        <v>6</v>
      </c>
      <c r="P43" s="2">
        <f t="shared" si="0"/>
        <v>6</v>
      </c>
      <c r="Q43" s="2">
        <f t="shared" si="0"/>
        <v>7</v>
      </c>
      <c r="R43" s="2">
        <f t="shared" si="0"/>
        <v>7</v>
      </c>
      <c r="S43" s="2">
        <f t="shared" si="0"/>
        <v>8</v>
      </c>
      <c r="T43" s="2">
        <f t="shared" si="0"/>
        <v>8</v>
      </c>
      <c r="U43" s="2">
        <f t="shared" si="0"/>
        <v>9</v>
      </c>
      <c r="V43" s="2">
        <f t="shared" si="0"/>
        <v>9</v>
      </c>
      <c r="W43" s="2">
        <f t="shared" si="0"/>
        <v>10</v>
      </c>
      <c r="X43" s="2">
        <f t="shared" si="0"/>
        <v>10</v>
      </c>
      <c r="Y43" s="2">
        <f t="shared" si="0"/>
        <v>11</v>
      </c>
      <c r="Z43" s="2">
        <f t="shared" si="0"/>
        <v>11</v>
      </c>
      <c r="AA43" s="2">
        <f t="shared" si="0"/>
        <v>12</v>
      </c>
      <c r="AB43" s="2">
        <f t="shared" si="0"/>
        <v>12</v>
      </c>
      <c r="AC43" s="2">
        <f t="shared" si="0"/>
        <v>13</v>
      </c>
      <c r="AD43" s="2">
        <f t="shared" si="0"/>
        <v>13</v>
      </c>
      <c r="AE43" s="2">
        <f t="shared" si="0"/>
        <v>14</v>
      </c>
      <c r="AF43" s="2">
        <f t="shared" si="0"/>
        <v>14</v>
      </c>
      <c r="AG43" s="2">
        <f t="shared" si="0"/>
        <v>15</v>
      </c>
      <c r="AH43" s="2">
        <f t="shared" si="0"/>
        <v>15</v>
      </c>
      <c r="AI43" s="2">
        <f t="shared" si="0"/>
        <v>16</v>
      </c>
      <c r="AJ43" s="2">
        <f t="shared" si="0"/>
        <v>16</v>
      </c>
      <c r="AK43" s="2">
        <f t="shared" si="0"/>
        <v>17</v>
      </c>
      <c r="AL43" s="2">
        <f t="shared" si="0"/>
        <v>17</v>
      </c>
      <c r="AM43" s="2">
        <f t="shared" si="0"/>
        <v>18</v>
      </c>
      <c r="AN43" s="2">
        <f t="shared" si="0"/>
        <v>18</v>
      </c>
      <c r="AO43" s="2">
        <f t="shared" si="0"/>
        <v>19</v>
      </c>
      <c r="AP43" s="2">
        <f t="shared" si="0"/>
        <v>19</v>
      </c>
      <c r="AQ43" s="2">
        <f t="shared" si="0"/>
        <v>20</v>
      </c>
      <c r="AR43" s="2">
        <f t="shared" si="0"/>
        <v>20</v>
      </c>
      <c r="AS43" s="2">
        <f t="shared" si="0"/>
        <v>21</v>
      </c>
      <c r="AT43" s="2">
        <f t="shared" si="0"/>
        <v>21</v>
      </c>
      <c r="AU43" s="2">
        <f t="shared" si="0"/>
        <v>22</v>
      </c>
      <c r="AV43" s="2">
        <f t="shared" si="0"/>
        <v>22</v>
      </c>
      <c r="AW43" s="2">
        <f t="shared" si="0"/>
        <v>23</v>
      </c>
      <c r="AX43" s="2">
        <f t="shared" si="0"/>
        <v>23</v>
      </c>
      <c r="AY43" s="2">
        <f t="shared" si="0"/>
        <v>24</v>
      </c>
      <c r="AZ43" s="2">
        <f t="shared" si="0"/>
        <v>24</v>
      </c>
      <c r="BA43" s="2">
        <f t="shared" si="0"/>
        <v>25</v>
      </c>
      <c r="BB43" s="2">
        <f t="shared" si="0"/>
        <v>25</v>
      </c>
      <c r="BC43" s="2">
        <f t="shared" si="0"/>
        <v>26</v>
      </c>
      <c r="BD43" s="2">
        <f t="shared" si="0"/>
        <v>26</v>
      </c>
      <c r="BE43" s="2">
        <f t="shared" si="0"/>
        <v>27</v>
      </c>
      <c r="BF43" s="2">
        <f t="shared" si="0"/>
        <v>27</v>
      </c>
      <c r="BG43" s="2">
        <f t="shared" si="0"/>
        <v>28</v>
      </c>
      <c r="BH43" s="2">
        <f t="shared" si="0"/>
        <v>28</v>
      </c>
      <c r="BI43" s="2">
        <f t="shared" si="0"/>
        <v>29</v>
      </c>
      <c r="BJ43" s="2">
        <f t="shared" si="0"/>
        <v>29</v>
      </c>
      <c r="BK43" s="2">
        <f t="shared" si="0"/>
        <v>30</v>
      </c>
      <c r="BL43" s="2">
        <f t="shared" si="0"/>
        <v>30</v>
      </c>
    </row>
    <row r="44" spans="1:64" x14ac:dyDescent="0.35">
      <c r="A44" s="1"/>
      <c r="C44" s="2" t="s">
        <v>80</v>
      </c>
      <c r="E44" s="2" t="b">
        <f t="shared" ref="E44:BL44" si="1">E42&lt;=$D$14*2</f>
        <v>1</v>
      </c>
      <c r="F44" s="2" t="b">
        <f t="shared" si="1"/>
        <v>1</v>
      </c>
      <c r="G44" s="2" t="b">
        <f t="shared" si="1"/>
        <v>1</v>
      </c>
      <c r="H44" s="2" t="b">
        <f t="shared" si="1"/>
        <v>1</v>
      </c>
      <c r="I44" s="2" t="b">
        <f t="shared" si="1"/>
        <v>1</v>
      </c>
      <c r="J44" s="2" t="b">
        <f t="shared" si="1"/>
        <v>1</v>
      </c>
      <c r="K44" s="2" t="b">
        <f t="shared" si="1"/>
        <v>1</v>
      </c>
      <c r="L44" s="2" t="b">
        <f t="shared" si="1"/>
        <v>1</v>
      </c>
      <c r="M44" s="2" t="b">
        <f t="shared" si="1"/>
        <v>1</v>
      </c>
      <c r="N44" s="2" t="b">
        <f t="shared" si="1"/>
        <v>1</v>
      </c>
      <c r="O44" s="2" t="b">
        <f t="shared" si="1"/>
        <v>1</v>
      </c>
      <c r="P44" s="2" t="b">
        <f t="shared" si="1"/>
        <v>1</v>
      </c>
      <c r="Q44" s="2" t="b">
        <f t="shared" si="1"/>
        <v>1</v>
      </c>
      <c r="R44" s="2" t="b">
        <f t="shared" si="1"/>
        <v>1</v>
      </c>
      <c r="S44" s="2" t="b">
        <f t="shared" si="1"/>
        <v>1</v>
      </c>
      <c r="T44" s="2" t="b">
        <f t="shared" si="1"/>
        <v>1</v>
      </c>
      <c r="U44" s="2" t="b">
        <f t="shared" si="1"/>
        <v>1</v>
      </c>
      <c r="V44" s="2" t="b">
        <f t="shared" si="1"/>
        <v>1</v>
      </c>
      <c r="W44" s="2" t="b">
        <f t="shared" si="1"/>
        <v>1</v>
      </c>
      <c r="X44" s="2" t="b">
        <f t="shared" si="1"/>
        <v>1</v>
      </c>
      <c r="Y44" s="2" t="b">
        <f t="shared" si="1"/>
        <v>1</v>
      </c>
      <c r="Z44" s="2" t="b">
        <f t="shared" si="1"/>
        <v>1</v>
      </c>
      <c r="AA44" s="2" t="b">
        <f t="shared" si="1"/>
        <v>1</v>
      </c>
      <c r="AB44" s="2" t="b">
        <f t="shared" si="1"/>
        <v>1</v>
      </c>
      <c r="AC44" s="2" t="b">
        <f t="shared" si="1"/>
        <v>1</v>
      </c>
      <c r="AD44" s="2" t="b">
        <f t="shared" si="1"/>
        <v>1</v>
      </c>
      <c r="AE44" s="2" t="b">
        <f t="shared" si="1"/>
        <v>1</v>
      </c>
      <c r="AF44" s="2" t="b">
        <f t="shared" si="1"/>
        <v>1</v>
      </c>
      <c r="AG44" s="2" t="b">
        <f t="shared" si="1"/>
        <v>1</v>
      </c>
      <c r="AH44" s="2" t="b">
        <f t="shared" si="1"/>
        <v>1</v>
      </c>
      <c r="AI44" s="2" t="b">
        <f t="shared" si="1"/>
        <v>1</v>
      </c>
      <c r="AJ44" s="2" t="b">
        <f t="shared" si="1"/>
        <v>1</v>
      </c>
      <c r="AK44" s="2" t="b">
        <f t="shared" si="1"/>
        <v>1</v>
      </c>
      <c r="AL44" s="2" t="b">
        <f t="shared" si="1"/>
        <v>1</v>
      </c>
      <c r="AM44" s="2" t="b">
        <f t="shared" si="1"/>
        <v>1</v>
      </c>
      <c r="AN44" s="2" t="b">
        <f t="shared" si="1"/>
        <v>1</v>
      </c>
      <c r="AO44" s="2" t="b">
        <f t="shared" si="1"/>
        <v>1</v>
      </c>
      <c r="AP44" s="2" t="b">
        <f t="shared" si="1"/>
        <v>1</v>
      </c>
      <c r="AQ44" s="2" t="b">
        <f t="shared" si="1"/>
        <v>1</v>
      </c>
      <c r="AR44" s="2" t="b">
        <f t="shared" si="1"/>
        <v>1</v>
      </c>
      <c r="AS44" s="2" t="b">
        <f t="shared" si="1"/>
        <v>1</v>
      </c>
      <c r="AT44" s="2" t="b">
        <f t="shared" si="1"/>
        <v>1</v>
      </c>
      <c r="AU44" s="2" t="b">
        <f t="shared" si="1"/>
        <v>1</v>
      </c>
      <c r="AV44" s="2" t="b">
        <f t="shared" si="1"/>
        <v>1</v>
      </c>
      <c r="AW44" s="2" t="b">
        <f t="shared" si="1"/>
        <v>0</v>
      </c>
      <c r="AX44" s="2" t="b">
        <f t="shared" si="1"/>
        <v>0</v>
      </c>
      <c r="AY44" s="2" t="b">
        <f t="shared" si="1"/>
        <v>0</v>
      </c>
      <c r="AZ44" s="2" t="b">
        <f t="shared" si="1"/>
        <v>0</v>
      </c>
      <c r="BA44" s="2" t="b">
        <f t="shared" si="1"/>
        <v>0</v>
      </c>
      <c r="BB44" s="2" t="b">
        <f t="shared" si="1"/>
        <v>0</v>
      </c>
      <c r="BC44" s="2" t="b">
        <f t="shared" si="1"/>
        <v>0</v>
      </c>
      <c r="BD44" s="2" t="b">
        <f t="shared" si="1"/>
        <v>0</v>
      </c>
      <c r="BE44" s="2" t="b">
        <f t="shared" si="1"/>
        <v>0</v>
      </c>
      <c r="BF44" s="2" t="b">
        <f t="shared" si="1"/>
        <v>0</v>
      </c>
      <c r="BG44" s="2" t="b">
        <f t="shared" si="1"/>
        <v>0</v>
      </c>
      <c r="BH44" s="2" t="b">
        <f t="shared" si="1"/>
        <v>0</v>
      </c>
      <c r="BI44" s="2" t="b">
        <f t="shared" si="1"/>
        <v>0</v>
      </c>
      <c r="BJ44" s="2" t="b">
        <f t="shared" si="1"/>
        <v>0</v>
      </c>
      <c r="BK44" s="2" t="b">
        <f t="shared" si="1"/>
        <v>0</v>
      </c>
      <c r="BL44" s="2" t="b">
        <f t="shared" si="1"/>
        <v>0</v>
      </c>
    </row>
    <row r="45" spans="1:64" x14ac:dyDescent="0.35">
      <c r="A45" s="1"/>
      <c r="C45" s="2" t="s">
        <v>144</v>
      </c>
      <c r="E45" s="13" t="b">
        <v>1</v>
      </c>
      <c r="F45" s="13" t="b">
        <v>1</v>
      </c>
      <c r="G45" s="13" t="b">
        <v>1</v>
      </c>
      <c r="H45" s="13" t="b">
        <v>1</v>
      </c>
      <c r="I45" s="13" t="b">
        <v>1</v>
      </c>
      <c r="J45" s="13" t="b">
        <v>1</v>
      </c>
      <c r="K45" s="13" t="b">
        <v>1</v>
      </c>
      <c r="L45" s="13" t="b">
        <v>1</v>
      </c>
      <c r="M45" s="13" t="b">
        <v>1</v>
      </c>
      <c r="N45" s="13" t="b">
        <v>1</v>
      </c>
      <c r="O45" s="13" t="b">
        <v>1</v>
      </c>
      <c r="P45" s="13" t="b">
        <v>1</v>
      </c>
      <c r="Q45" s="13" t="b">
        <v>1</v>
      </c>
      <c r="R45" s="13" t="b">
        <v>1</v>
      </c>
      <c r="S45" s="13" t="b">
        <v>1</v>
      </c>
      <c r="T45" s="13" t="b">
        <v>1</v>
      </c>
      <c r="U45" s="13" t="b">
        <v>1</v>
      </c>
      <c r="V45" s="13" t="b">
        <v>1</v>
      </c>
      <c r="W45" s="13" t="b">
        <v>1</v>
      </c>
      <c r="X45" s="13" t="b">
        <v>1</v>
      </c>
      <c r="Y45" s="13" t="b">
        <v>1</v>
      </c>
      <c r="Z45" s="13" t="b">
        <v>1</v>
      </c>
      <c r="AA45" s="13" t="b">
        <v>1</v>
      </c>
      <c r="AB45" s="13" t="b">
        <v>1</v>
      </c>
      <c r="AC45" s="13" t="b">
        <v>1</v>
      </c>
      <c r="AD45" s="13" t="b">
        <v>1</v>
      </c>
      <c r="AE45" s="13" t="b">
        <v>1</v>
      </c>
      <c r="AF45" s="13" t="b">
        <v>1</v>
      </c>
      <c r="AG45" s="13" t="b">
        <v>1</v>
      </c>
      <c r="AH45" s="13" t="b">
        <v>1</v>
      </c>
      <c r="AI45" s="13" t="b">
        <v>1</v>
      </c>
      <c r="AJ45" s="13" t="b">
        <v>1</v>
      </c>
      <c r="AK45" s="13" t="b">
        <v>1</v>
      </c>
      <c r="AL45" s="13" t="b">
        <v>1</v>
      </c>
      <c r="AM45" s="13" t="b">
        <v>1</v>
      </c>
      <c r="AN45" s="13" t="b">
        <v>1</v>
      </c>
      <c r="AO45" s="13" t="b">
        <v>1</v>
      </c>
      <c r="AP45" s="13" t="b">
        <v>1</v>
      </c>
      <c r="AQ45" s="13" t="b">
        <v>1</v>
      </c>
      <c r="AR45" s="13" t="b">
        <v>1</v>
      </c>
      <c r="AS45" s="13" t="b">
        <v>1</v>
      </c>
      <c r="AT45" s="13" t="b">
        <v>1</v>
      </c>
      <c r="AU45" s="13" t="b">
        <v>1</v>
      </c>
      <c r="AV45" s="13" t="b">
        <v>1</v>
      </c>
      <c r="AW45" s="13" t="b">
        <v>1</v>
      </c>
      <c r="AX45" s="13" t="b">
        <v>1</v>
      </c>
      <c r="AY45" s="13" t="b">
        <v>1</v>
      </c>
      <c r="AZ45" s="13" t="b">
        <v>1</v>
      </c>
      <c r="BA45" s="13" t="b">
        <v>1</v>
      </c>
      <c r="BB45" s="13" t="b">
        <v>1</v>
      </c>
      <c r="BC45" s="13" t="b">
        <v>1</v>
      </c>
      <c r="BD45" s="13" t="b">
        <v>1</v>
      </c>
      <c r="BE45" s="13" t="b">
        <v>1</v>
      </c>
      <c r="BF45" s="13" t="b">
        <v>1</v>
      </c>
      <c r="BG45" s="13" t="b">
        <v>1</v>
      </c>
      <c r="BH45" s="13" t="b">
        <v>1</v>
      </c>
      <c r="BI45" s="13" t="b">
        <v>1</v>
      </c>
      <c r="BJ45" s="13" t="b">
        <v>1</v>
      </c>
      <c r="BK45" s="13" t="b">
        <v>1</v>
      </c>
      <c r="BL45" s="13" t="b">
        <v>1</v>
      </c>
    </row>
    <row r="46" spans="1:64" x14ac:dyDescent="0.35">
      <c r="A46" s="1"/>
    </row>
    <row r="47" spans="1:64" x14ac:dyDescent="0.35">
      <c r="A47" s="1"/>
      <c r="C47" s="2" t="s">
        <v>38</v>
      </c>
      <c r="E47" s="12">
        <f t="shared" ref="E47:AJ47" si="2">LOOKUP(E43,26:26,27:27)/2</f>
        <v>0</v>
      </c>
      <c r="F47" s="12">
        <f t="shared" si="2"/>
        <v>0</v>
      </c>
      <c r="G47" s="12">
        <f t="shared" si="2"/>
        <v>0</v>
      </c>
      <c r="H47" s="12">
        <f t="shared" si="2"/>
        <v>0</v>
      </c>
      <c r="I47" s="12">
        <f t="shared" si="2"/>
        <v>0</v>
      </c>
      <c r="J47" s="12">
        <f t="shared" si="2"/>
        <v>0</v>
      </c>
      <c r="K47" s="12">
        <f t="shared" si="2"/>
        <v>0.01</v>
      </c>
      <c r="L47" s="12">
        <f t="shared" si="2"/>
        <v>0.01</v>
      </c>
      <c r="M47" s="12">
        <f t="shared" si="2"/>
        <v>0.01</v>
      </c>
      <c r="N47" s="12">
        <f t="shared" si="2"/>
        <v>0.01</v>
      </c>
      <c r="O47" s="12">
        <f t="shared" si="2"/>
        <v>-0.01</v>
      </c>
      <c r="P47" s="12">
        <f t="shared" si="2"/>
        <v>-0.01</v>
      </c>
      <c r="Q47" s="12">
        <f t="shared" si="2"/>
        <v>-0.01</v>
      </c>
      <c r="R47" s="12">
        <f t="shared" si="2"/>
        <v>-0.01</v>
      </c>
      <c r="S47" s="12">
        <f t="shared" si="2"/>
        <v>0.01</v>
      </c>
      <c r="T47" s="12">
        <f t="shared" si="2"/>
        <v>0.01</v>
      </c>
      <c r="U47" s="12">
        <f t="shared" si="2"/>
        <v>0.01</v>
      </c>
      <c r="V47" s="12">
        <f t="shared" si="2"/>
        <v>0.01</v>
      </c>
      <c r="W47" s="12">
        <f t="shared" si="2"/>
        <v>-0.01</v>
      </c>
      <c r="X47" s="12">
        <f t="shared" si="2"/>
        <v>-0.01</v>
      </c>
      <c r="Y47" s="12">
        <f t="shared" si="2"/>
        <v>-0.01</v>
      </c>
      <c r="Z47" s="12">
        <f t="shared" si="2"/>
        <v>-0.01</v>
      </c>
      <c r="AA47" s="12">
        <f t="shared" si="2"/>
        <v>-0.01</v>
      </c>
      <c r="AB47" s="12">
        <f t="shared" si="2"/>
        <v>-0.01</v>
      </c>
      <c r="AC47" s="12">
        <f t="shared" si="2"/>
        <v>-0.01</v>
      </c>
      <c r="AD47" s="12">
        <f t="shared" si="2"/>
        <v>-0.01</v>
      </c>
      <c r="AE47" s="12">
        <f t="shared" si="2"/>
        <v>-0.01</v>
      </c>
      <c r="AF47" s="12">
        <f t="shared" si="2"/>
        <v>-0.01</v>
      </c>
      <c r="AG47" s="12">
        <f t="shared" si="2"/>
        <v>-0.01</v>
      </c>
      <c r="AH47" s="12">
        <f t="shared" si="2"/>
        <v>-0.01</v>
      </c>
      <c r="AI47" s="12">
        <f t="shared" si="2"/>
        <v>-0.01</v>
      </c>
      <c r="AJ47" s="12">
        <f t="shared" si="2"/>
        <v>-0.01</v>
      </c>
      <c r="AK47" s="12">
        <f t="shared" ref="AK47:BL47" si="3">LOOKUP(AK43,26:26,27:27)/2</f>
        <v>-0.01</v>
      </c>
      <c r="AL47" s="12">
        <f t="shared" si="3"/>
        <v>-0.01</v>
      </c>
      <c r="AM47" s="12">
        <f t="shared" si="3"/>
        <v>-0.01</v>
      </c>
      <c r="AN47" s="12">
        <f t="shared" si="3"/>
        <v>-0.01</v>
      </c>
      <c r="AO47" s="12">
        <f t="shared" si="3"/>
        <v>-0.01</v>
      </c>
      <c r="AP47" s="12">
        <f t="shared" si="3"/>
        <v>-0.01</v>
      </c>
      <c r="AQ47" s="12">
        <f t="shared" si="3"/>
        <v>-0.01</v>
      </c>
      <c r="AR47" s="12">
        <f t="shared" si="3"/>
        <v>-0.01</v>
      </c>
      <c r="AS47" s="12">
        <f t="shared" si="3"/>
        <v>-0.01</v>
      </c>
      <c r="AT47" s="12">
        <f t="shared" si="3"/>
        <v>-0.01</v>
      </c>
      <c r="AU47" s="12">
        <f t="shared" si="3"/>
        <v>-0.01</v>
      </c>
      <c r="AV47" s="12">
        <f t="shared" si="3"/>
        <v>-0.01</v>
      </c>
      <c r="AW47" s="12">
        <f t="shared" si="3"/>
        <v>-0.01</v>
      </c>
      <c r="AX47" s="12">
        <f t="shared" si="3"/>
        <v>-0.01</v>
      </c>
      <c r="AY47" s="12">
        <f t="shared" si="3"/>
        <v>-0.01</v>
      </c>
      <c r="AZ47" s="12">
        <f t="shared" si="3"/>
        <v>-0.01</v>
      </c>
      <c r="BA47" s="12">
        <f t="shared" si="3"/>
        <v>-0.01</v>
      </c>
      <c r="BB47" s="12">
        <f t="shared" si="3"/>
        <v>-0.01</v>
      </c>
      <c r="BC47" s="12">
        <f t="shared" si="3"/>
        <v>-0.01</v>
      </c>
      <c r="BD47" s="12">
        <f t="shared" si="3"/>
        <v>-0.01</v>
      </c>
      <c r="BE47" s="12">
        <f t="shared" si="3"/>
        <v>-0.01</v>
      </c>
      <c r="BF47" s="12">
        <f t="shared" si="3"/>
        <v>-0.01</v>
      </c>
      <c r="BG47" s="12">
        <f t="shared" si="3"/>
        <v>-0.01</v>
      </c>
      <c r="BH47" s="12">
        <f t="shared" si="3"/>
        <v>-0.01</v>
      </c>
      <c r="BI47" s="12">
        <f t="shared" si="3"/>
        <v>-0.01</v>
      </c>
      <c r="BJ47" s="12">
        <f t="shared" si="3"/>
        <v>-0.01</v>
      </c>
      <c r="BK47" s="12">
        <f t="shared" si="3"/>
        <v>-0.01</v>
      </c>
      <c r="BL47" s="12">
        <f t="shared" si="3"/>
        <v>-0.01</v>
      </c>
    </row>
    <row r="48" spans="1:64" x14ac:dyDescent="0.35">
      <c r="A48" s="1"/>
      <c r="C48" s="2" t="s">
        <v>104</v>
      </c>
      <c r="D48" s="4">
        <f>D24</f>
        <v>152</v>
      </c>
      <c r="E48" s="4">
        <f t="shared" ref="E48:BL48" si="4">D48*(1+E47)</f>
        <v>152</v>
      </c>
      <c r="F48" s="4">
        <f t="shared" si="4"/>
        <v>152</v>
      </c>
      <c r="G48" s="4">
        <f t="shared" si="4"/>
        <v>152</v>
      </c>
      <c r="H48" s="4">
        <f t="shared" si="4"/>
        <v>152</v>
      </c>
      <c r="I48" s="4">
        <f t="shared" si="4"/>
        <v>152</v>
      </c>
      <c r="J48" s="4">
        <f t="shared" si="4"/>
        <v>152</v>
      </c>
      <c r="K48" s="4">
        <f t="shared" si="4"/>
        <v>153.52000000000001</v>
      </c>
      <c r="L48" s="4">
        <f t="shared" si="4"/>
        <v>155.05520000000001</v>
      </c>
      <c r="M48" s="4">
        <f t="shared" si="4"/>
        <v>156.60575200000002</v>
      </c>
      <c r="N48" s="4">
        <f t="shared" si="4"/>
        <v>158.17180952000004</v>
      </c>
      <c r="O48" s="4">
        <f t="shared" si="4"/>
        <v>156.59009142480005</v>
      </c>
      <c r="P48" s="4">
        <f t="shared" si="4"/>
        <v>155.02419051055205</v>
      </c>
      <c r="Q48" s="4">
        <f t="shared" si="4"/>
        <v>153.47394860544654</v>
      </c>
      <c r="R48" s="4">
        <f t="shared" si="4"/>
        <v>151.93920911939207</v>
      </c>
      <c r="S48" s="4">
        <f t="shared" si="4"/>
        <v>153.45860121058601</v>
      </c>
      <c r="T48" s="4">
        <f t="shared" si="4"/>
        <v>154.99318722269186</v>
      </c>
      <c r="U48" s="4">
        <f t="shared" si="4"/>
        <v>156.54311909491878</v>
      </c>
      <c r="V48" s="4">
        <f t="shared" si="4"/>
        <v>158.10855028586798</v>
      </c>
      <c r="W48" s="4">
        <f t="shared" si="4"/>
        <v>156.52746478300929</v>
      </c>
      <c r="X48" s="4">
        <f t="shared" si="4"/>
        <v>154.96219013517918</v>
      </c>
      <c r="Y48" s="4">
        <f t="shared" si="4"/>
        <v>153.41256823382739</v>
      </c>
      <c r="Z48" s="4">
        <f t="shared" si="4"/>
        <v>151.87844255148912</v>
      </c>
      <c r="AA48" s="4">
        <f t="shared" si="4"/>
        <v>150.35965812597422</v>
      </c>
      <c r="AB48" s="4">
        <f t="shared" si="4"/>
        <v>148.85606154471446</v>
      </c>
      <c r="AC48" s="4">
        <f t="shared" si="4"/>
        <v>147.36750092926732</v>
      </c>
      <c r="AD48" s="4">
        <f t="shared" si="4"/>
        <v>145.89382591997466</v>
      </c>
      <c r="AE48" s="4">
        <f t="shared" si="4"/>
        <v>144.4348876607749</v>
      </c>
      <c r="AF48" s="4">
        <f t="shared" si="4"/>
        <v>142.99053878416714</v>
      </c>
      <c r="AG48" s="4">
        <f t="shared" si="4"/>
        <v>141.56063339632547</v>
      </c>
      <c r="AH48" s="4">
        <f t="shared" si="4"/>
        <v>140.1450270623622</v>
      </c>
      <c r="AI48" s="4">
        <f t="shared" si="4"/>
        <v>138.74357679173858</v>
      </c>
      <c r="AJ48" s="4">
        <f t="shared" si="4"/>
        <v>137.35614102382118</v>
      </c>
      <c r="AK48" s="4">
        <f t="shared" si="4"/>
        <v>135.98257961358297</v>
      </c>
      <c r="AL48" s="4">
        <f t="shared" si="4"/>
        <v>134.62275381744715</v>
      </c>
      <c r="AM48" s="4">
        <f t="shared" si="4"/>
        <v>133.27652627927267</v>
      </c>
      <c r="AN48" s="4">
        <f t="shared" si="4"/>
        <v>131.94376101647995</v>
      </c>
      <c r="AO48" s="4">
        <f t="shared" si="4"/>
        <v>130.62432340631514</v>
      </c>
      <c r="AP48" s="4">
        <f t="shared" si="4"/>
        <v>129.318080172252</v>
      </c>
      <c r="AQ48" s="4">
        <f t="shared" si="4"/>
        <v>128.02489937052948</v>
      </c>
      <c r="AR48" s="4">
        <f t="shared" si="4"/>
        <v>126.74465037682418</v>
      </c>
      <c r="AS48" s="4">
        <f t="shared" si="4"/>
        <v>125.47720387305594</v>
      </c>
      <c r="AT48" s="4">
        <f t="shared" si="4"/>
        <v>124.22243183432538</v>
      </c>
      <c r="AU48" s="4">
        <f t="shared" si="4"/>
        <v>122.98020751598212</v>
      </c>
      <c r="AV48" s="4">
        <f t="shared" si="4"/>
        <v>121.75040544082229</v>
      </c>
      <c r="AW48" s="4">
        <f t="shared" si="4"/>
        <v>120.53290138641407</v>
      </c>
      <c r="AX48" s="4">
        <f t="shared" si="4"/>
        <v>119.32757237254992</v>
      </c>
      <c r="AY48" s="4">
        <f t="shared" si="4"/>
        <v>118.13429664882442</v>
      </c>
      <c r="AZ48" s="4">
        <f t="shared" si="4"/>
        <v>116.95295368233617</v>
      </c>
      <c r="BA48" s="4">
        <f t="shared" si="4"/>
        <v>115.78342414551281</v>
      </c>
      <c r="BB48" s="4">
        <f t="shared" si="4"/>
        <v>114.62558990405768</v>
      </c>
      <c r="BC48" s="4">
        <f t="shared" si="4"/>
        <v>113.47933400501709</v>
      </c>
      <c r="BD48" s="4">
        <f t="shared" si="4"/>
        <v>112.34454066496693</v>
      </c>
      <c r="BE48" s="4">
        <f t="shared" si="4"/>
        <v>111.22109525831726</v>
      </c>
      <c r="BF48" s="4">
        <f t="shared" si="4"/>
        <v>110.10888430573409</v>
      </c>
      <c r="BG48" s="4">
        <f t="shared" si="4"/>
        <v>109.00779546267675</v>
      </c>
      <c r="BH48" s="4">
        <f t="shared" si="4"/>
        <v>107.91771750804999</v>
      </c>
      <c r="BI48" s="4">
        <f t="shared" si="4"/>
        <v>106.83854033296949</v>
      </c>
      <c r="BJ48" s="4">
        <f t="shared" si="4"/>
        <v>105.77015492963979</v>
      </c>
      <c r="BK48" s="4">
        <f t="shared" si="4"/>
        <v>104.71245338034339</v>
      </c>
      <c r="BL48" s="4">
        <f t="shared" si="4"/>
        <v>103.66532884653995</v>
      </c>
    </row>
    <row r="49" spans="1:64" x14ac:dyDescent="0.35">
      <c r="A49" s="1"/>
      <c r="C49" s="2" t="s">
        <v>105</v>
      </c>
      <c r="D49" s="4"/>
      <c r="E49" s="46">
        <f t="shared" ref="E49:AJ49" si="5">E145*$D$17</f>
        <v>0</v>
      </c>
      <c r="F49" s="46">
        <f t="shared" si="5"/>
        <v>0</v>
      </c>
      <c r="G49" s="46">
        <f t="shared" si="5"/>
        <v>0</v>
      </c>
      <c r="H49" s="46">
        <f t="shared" si="5"/>
        <v>0</v>
      </c>
      <c r="I49" s="46">
        <f t="shared" si="5"/>
        <v>0</v>
      </c>
      <c r="J49" s="46">
        <f t="shared" si="5"/>
        <v>0</v>
      </c>
      <c r="K49" s="46">
        <f t="shared" si="5"/>
        <v>0</v>
      </c>
      <c r="L49" s="46">
        <f t="shared" si="5"/>
        <v>0</v>
      </c>
      <c r="M49" s="46">
        <f t="shared" si="5"/>
        <v>0</v>
      </c>
      <c r="N49" s="46">
        <f t="shared" si="5"/>
        <v>0</v>
      </c>
      <c r="O49" s="46">
        <f t="shared" si="5"/>
        <v>0</v>
      </c>
      <c r="P49" s="46">
        <f t="shared" si="5"/>
        <v>0</v>
      </c>
      <c r="Q49" s="46">
        <f t="shared" si="5"/>
        <v>0</v>
      </c>
      <c r="R49" s="46">
        <f t="shared" si="5"/>
        <v>0</v>
      </c>
      <c r="S49" s="46">
        <f t="shared" si="5"/>
        <v>0</v>
      </c>
      <c r="T49" s="46">
        <f t="shared" si="5"/>
        <v>0</v>
      </c>
      <c r="U49" s="46">
        <f t="shared" si="5"/>
        <v>0</v>
      </c>
      <c r="V49" s="46">
        <f t="shared" si="5"/>
        <v>0</v>
      </c>
      <c r="W49" s="46">
        <f t="shared" si="5"/>
        <v>0</v>
      </c>
      <c r="X49" s="46">
        <f t="shared" si="5"/>
        <v>0</v>
      </c>
      <c r="Y49" s="46">
        <f t="shared" si="5"/>
        <v>0</v>
      </c>
      <c r="Z49" s="46">
        <f t="shared" si="5"/>
        <v>0</v>
      </c>
      <c r="AA49" s="46">
        <f t="shared" si="5"/>
        <v>0</v>
      </c>
      <c r="AB49" s="46">
        <f t="shared" si="5"/>
        <v>0</v>
      </c>
      <c r="AC49" s="46">
        <f t="shared" si="5"/>
        <v>0</v>
      </c>
      <c r="AD49" s="46">
        <f t="shared" si="5"/>
        <v>0</v>
      </c>
      <c r="AE49" s="46">
        <f t="shared" si="5"/>
        <v>0</v>
      </c>
      <c r="AF49" s="46">
        <f t="shared" si="5"/>
        <v>0</v>
      </c>
      <c r="AG49" s="46">
        <f t="shared" si="5"/>
        <v>0</v>
      </c>
      <c r="AH49" s="46">
        <f t="shared" si="5"/>
        <v>0</v>
      </c>
      <c r="AI49" s="46">
        <f t="shared" si="5"/>
        <v>0</v>
      </c>
      <c r="AJ49" s="46">
        <f t="shared" si="5"/>
        <v>0</v>
      </c>
      <c r="AK49" s="46">
        <f t="shared" ref="AK49:BL49" si="6">AK145*$D$17</f>
        <v>0</v>
      </c>
      <c r="AL49" s="46">
        <f t="shared" si="6"/>
        <v>0</v>
      </c>
      <c r="AM49" s="46">
        <f t="shared" si="6"/>
        <v>0</v>
      </c>
      <c r="AN49" s="46">
        <f t="shared" si="6"/>
        <v>0</v>
      </c>
      <c r="AO49" s="46">
        <f t="shared" si="6"/>
        <v>0</v>
      </c>
      <c r="AP49" s="46">
        <f t="shared" si="6"/>
        <v>0</v>
      </c>
      <c r="AQ49" s="46">
        <f t="shared" si="6"/>
        <v>0</v>
      </c>
      <c r="AR49" s="46">
        <f t="shared" si="6"/>
        <v>0</v>
      </c>
      <c r="AS49" s="46">
        <f t="shared" si="6"/>
        <v>0</v>
      </c>
      <c r="AT49" s="46">
        <f t="shared" si="6"/>
        <v>0</v>
      </c>
      <c r="AU49" s="46">
        <f t="shared" si="6"/>
        <v>0</v>
      </c>
      <c r="AV49" s="46">
        <f t="shared" si="6"/>
        <v>0</v>
      </c>
      <c r="AW49" s="46">
        <f t="shared" si="6"/>
        <v>0</v>
      </c>
      <c r="AX49" s="46">
        <f t="shared" si="6"/>
        <v>0</v>
      </c>
      <c r="AY49" s="46">
        <f t="shared" si="6"/>
        <v>0</v>
      </c>
      <c r="AZ49" s="46">
        <f t="shared" si="6"/>
        <v>0</v>
      </c>
      <c r="BA49" s="46">
        <f t="shared" si="6"/>
        <v>0</v>
      </c>
      <c r="BB49" s="46">
        <f t="shared" si="6"/>
        <v>0</v>
      </c>
      <c r="BC49" s="46">
        <f t="shared" si="6"/>
        <v>0</v>
      </c>
      <c r="BD49" s="46">
        <f t="shared" si="6"/>
        <v>0</v>
      </c>
      <c r="BE49" s="46">
        <f t="shared" si="6"/>
        <v>0</v>
      </c>
      <c r="BF49" s="46">
        <f t="shared" si="6"/>
        <v>0</v>
      </c>
      <c r="BG49" s="46">
        <f t="shared" si="6"/>
        <v>0</v>
      </c>
      <c r="BH49" s="46">
        <f t="shared" si="6"/>
        <v>0</v>
      </c>
      <c r="BI49" s="46">
        <f t="shared" si="6"/>
        <v>0</v>
      </c>
      <c r="BJ49" s="46">
        <f t="shared" si="6"/>
        <v>0</v>
      </c>
      <c r="BK49" s="46">
        <f t="shared" si="6"/>
        <v>0</v>
      </c>
      <c r="BL49" s="46">
        <f t="shared" si="6"/>
        <v>0</v>
      </c>
    </row>
    <row r="50" spans="1:64" x14ac:dyDescent="0.35">
      <c r="A50" s="1"/>
      <c r="C50" s="2" t="s">
        <v>407</v>
      </c>
      <c r="D50" s="4"/>
      <c r="E50" s="46">
        <f>E150</f>
        <v>0.67719936370849609</v>
      </c>
      <c r="F50" s="46">
        <f t="shared" ref="F50:BL50" si="7">F150</f>
        <v>0.89627170562744141</v>
      </c>
      <c r="G50" s="46">
        <f t="shared" si="7"/>
        <v>1.1180505752563477</v>
      </c>
      <c r="H50" s="46">
        <f t="shared" si="7"/>
        <v>1.3425693511962891</v>
      </c>
      <c r="I50" s="46">
        <f t="shared" si="7"/>
        <v>1.5698633193969727</v>
      </c>
      <c r="J50" s="46">
        <f t="shared" si="7"/>
        <v>1.7999658584594727</v>
      </c>
      <c r="K50" s="46">
        <f t="shared" si="7"/>
        <v>2.4107465744018555</v>
      </c>
      <c r="L50" s="46">
        <f t="shared" si="7"/>
        <v>3.0312016010284424</v>
      </c>
      <c r="M50" s="46">
        <f t="shared" si="7"/>
        <v>3.6614744663238525</v>
      </c>
      <c r="N50" s="46">
        <f t="shared" si="7"/>
        <v>4.3017063140869141</v>
      </c>
      <c r="O50" s="46">
        <f t="shared" si="7"/>
        <v>4.1656894683837891</v>
      </c>
      <c r="P50" s="46">
        <f t="shared" si="7"/>
        <v>4.0336413383483887</v>
      </c>
      <c r="Q50" s="46">
        <f t="shared" si="7"/>
        <v>3.9055535793304443</v>
      </c>
      <c r="R50" s="46">
        <f t="shared" si="7"/>
        <v>3.7814197540283203</v>
      </c>
      <c r="S50" s="46">
        <f t="shared" si="7"/>
        <v>4.4165997505187988</v>
      </c>
      <c r="T50" s="46">
        <f t="shared" si="7"/>
        <v>5.0617561340332031</v>
      </c>
      <c r="U50" s="46">
        <f t="shared" si="7"/>
        <v>5.7170329093933105</v>
      </c>
      <c r="V50" s="46">
        <f t="shared" si="7"/>
        <v>6.3825778961181641</v>
      </c>
      <c r="W50" s="46">
        <f t="shared" si="7"/>
        <v>6.2725000381469727</v>
      </c>
      <c r="X50" s="46">
        <f t="shared" si="7"/>
        <v>6.1667094230651855</v>
      </c>
      <c r="Y50" s="46">
        <f t="shared" si="7"/>
        <v>6.0652017593383789</v>
      </c>
      <c r="Z50" s="46">
        <f t="shared" si="7"/>
        <v>5.9679737091064453</v>
      </c>
      <c r="AA50" s="46">
        <f t="shared" si="7"/>
        <v>5.8750224113464355</v>
      </c>
      <c r="AB50" s="46">
        <f t="shared" si="7"/>
        <v>5.7863478660583496</v>
      </c>
      <c r="AC50" s="46">
        <f t="shared" si="7"/>
        <v>5.7019467353820801</v>
      </c>
      <c r="AD50" s="46">
        <f t="shared" si="7"/>
        <v>5.621819019317627</v>
      </c>
      <c r="AE50" s="46">
        <f t="shared" si="7"/>
        <v>5.5459637641906738</v>
      </c>
      <c r="AF50" s="46">
        <f t="shared" si="7"/>
        <v>5.4743824005126953</v>
      </c>
      <c r="AG50" s="46">
        <f t="shared" si="7"/>
        <v>5.4070734977722168</v>
      </c>
      <c r="AH50" s="46">
        <f t="shared" si="7"/>
        <v>5.3440403938293457</v>
      </c>
      <c r="AI50" s="46">
        <f t="shared" si="7"/>
        <v>5.2852835655212402</v>
      </c>
      <c r="AJ50" s="46">
        <f t="shared" si="7"/>
        <v>5.2308063507080078</v>
      </c>
      <c r="AK50" s="46">
        <f t="shared" si="7"/>
        <v>5.1806106567382813</v>
      </c>
      <c r="AL50" s="46">
        <f t="shared" si="7"/>
        <v>5.134699821472168</v>
      </c>
      <c r="AM50" s="46">
        <f t="shared" si="7"/>
        <v>5.09307861328125</v>
      </c>
      <c r="AN50" s="46">
        <f t="shared" si="7"/>
        <v>5.055750846862793</v>
      </c>
      <c r="AO50" s="46">
        <f t="shared" si="7"/>
        <v>5.0227212905883789</v>
      </c>
      <c r="AP50" s="46">
        <f t="shared" si="7"/>
        <v>4.9939956665039063</v>
      </c>
      <c r="AQ50" s="46">
        <f t="shared" si="7"/>
        <v>4.9695801734924316</v>
      </c>
      <c r="AR50" s="46">
        <f t="shared" si="7"/>
        <v>4.9494814872741699</v>
      </c>
      <c r="AS50" s="46">
        <f t="shared" si="7"/>
        <v>4.9337067604064941</v>
      </c>
      <c r="AT50" s="46">
        <f t="shared" si="7"/>
        <v>4.9222636222839355</v>
      </c>
      <c r="AU50" s="46">
        <f t="shared" si="7"/>
        <v>4.9151601791381836</v>
      </c>
      <c r="AV50" s="46">
        <f t="shared" si="7"/>
        <v>4.9124050140380859</v>
      </c>
      <c r="AW50" s="46">
        <f t="shared" si="7"/>
        <v>0</v>
      </c>
      <c r="AX50" s="46">
        <f t="shared" si="7"/>
        <v>0</v>
      </c>
      <c r="AY50" s="46">
        <f t="shared" si="7"/>
        <v>0</v>
      </c>
      <c r="AZ50" s="46">
        <f t="shared" si="7"/>
        <v>0</v>
      </c>
      <c r="BA50" s="46">
        <f t="shared" si="7"/>
        <v>0</v>
      </c>
      <c r="BB50" s="46">
        <f t="shared" si="7"/>
        <v>0</v>
      </c>
      <c r="BC50" s="46">
        <f t="shared" si="7"/>
        <v>0</v>
      </c>
      <c r="BD50" s="46">
        <f t="shared" si="7"/>
        <v>0</v>
      </c>
      <c r="BE50" s="46">
        <f t="shared" si="7"/>
        <v>0</v>
      </c>
      <c r="BF50" s="46">
        <f t="shared" si="7"/>
        <v>0</v>
      </c>
      <c r="BG50" s="46">
        <f t="shared" si="7"/>
        <v>0</v>
      </c>
      <c r="BH50" s="46">
        <f t="shared" si="7"/>
        <v>0</v>
      </c>
      <c r="BI50" s="46">
        <f t="shared" si="7"/>
        <v>0</v>
      </c>
      <c r="BJ50" s="46">
        <f t="shared" si="7"/>
        <v>0</v>
      </c>
      <c r="BK50" s="46">
        <f t="shared" si="7"/>
        <v>0</v>
      </c>
      <c r="BL50" s="46">
        <f t="shared" si="7"/>
        <v>0</v>
      </c>
    </row>
    <row r="51" spans="1:64" ht="15" thickBot="1" x14ac:dyDescent="0.4">
      <c r="A51" s="1"/>
      <c r="C51" s="24" t="s">
        <v>2</v>
      </c>
      <c r="D51" s="25"/>
      <c r="E51" s="25">
        <f t="shared" ref="E51:AJ51" si="8">E48+E49-E50</f>
        <v>151.3228006362915</v>
      </c>
      <c r="F51" s="25">
        <f t="shared" si="8"/>
        <v>151.10372829437256</v>
      </c>
      <c r="G51" s="25">
        <f t="shared" si="8"/>
        <v>150.88194942474365</v>
      </c>
      <c r="H51" s="25">
        <f t="shared" si="8"/>
        <v>150.65743064880371</v>
      </c>
      <c r="I51" s="25">
        <f t="shared" si="8"/>
        <v>150.43013668060303</v>
      </c>
      <c r="J51" s="25">
        <f t="shared" si="8"/>
        <v>150.20003414154053</v>
      </c>
      <c r="K51" s="25">
        <f t="shared" si="8"/>
        <v>151.10925342559815</v>
      </c>
      <c r="L51" s="25">
        <f t="shared" si="8"/>
        <v>152.02399839897157</v>
      </c>
      <c r="M51" s="25">
        <f t="shared" si="8"/>
        <v>152.94427753367617</v>
      </c>
      <c r="N51" s="25">
        <f t="shared" si="8"/>
        <v>153.87010320591313</v>
      </c>
      <c r="O51" s="25">
        <f t="shared" si="8"/>
        <v>152.42440195641626</v>
      </c>
      <c r="P51" s="25">
        <f t="shared" si="8"/>
        <v>150.99054917220366</v>
      </c>
      <c r="Q51" s="25">
        <f t="shared" si="8"/>
        <v>149.56839502611609</v>
      </c>
      <c r="R51" s="25">
        <f t="shared" si="8"/>
        <v>148.15778936536375</v>
      </c>
      <c r="S51" s="25">
        <f t="shared" si="8"/>
        <v>149.04200146006721</v>
      </c>
      <c r="T51" s="25">
        <f t="shared" si="8"/>
        <v>149.93143108865866</v>
      </c>
      <c r="U51" s="25">
        <f t="shared" si="8"/>
        <v>150.82608618552547</v>
      </c>
      <c r="V51" s="25">
        <f t="shared" si="8"/>
        <v>151.72597238974981</v>
      </c>
      <c r="W51" s="25">
        <f t="shared" si="8"/>
        <v>150.25496474486232</v>
      </c>
      <c r="X51" s="25">
        <f t="shared" si="8"/>
        <v>148.795480712114</v>
      </c>
      <c r="Y51" s="25">
        <f t="shared" si="8"/>
        <v>147.34736647448901</v>
      </c>
      <c r="Z51" s="25">
        <f t="shared" si="8"/>
        <v>145.91046884238267</v>
      </c>
      <c r="AA51" s="25">
        <f t="shared" si="8"/>
        <v>144.48463571462779</v>
      </c>
      <c r="AB51" s="25">
        <f t="shared" si="8"/>
        <v>143.06971367865611</v>
      </c>
      <c r="AC51" s="25">
        <f t="shared" si="8"/>
        <v>141.66555419388524</v>
      </c>
      <c r="AD51" s="25">
        <f t="shared" si="8"/>
        <v>140.27200690065703</v>
      </c>
      <c r="AE51" s="25">
        <f t="shared" si="8"/>
        <v>138.88892389658423</v>
      </c>
      <c r="AF51" s="25">
        <f t="shared" si="8"/>
        <v>137.51615638365445</v>
      </c>
      <c r="AG51" s="25">
        <f t="shared" si="8"/>
        <v>136.15355989855325</v>
      </c>
      <c r="AH51" s="25">
        <f t="shared" si="8"/>
        <v>134.80098666853286</v>
      </c>
      <c r="AI51" s="25">
        <f t="shared" si="8"/>
        <v>133.45829322621734</v>
      </c>
      <c r="AJ51" s="25">
        <f t="shared" si="8"/>
        <v>132.12533467311317</v>
      </c>
      <c r="AK51" s="25">
        <f t="shared" ref="AK51:BL51" si="9">AK48+AK49-AK50</f>
        <v>130.80196895684469</v>
      </c>
      <c r="AL51" s="25">
        <f t="shared" si="9"/>
        <v>129.48805399597498</v>
      </c>
      <c r="AM51" s="25">
        <f t="shared" si="9"/>
        <v>128.18344766599142</v>
      </c>
      <c r="AN51" s="25">
        <f t="shared" si="9"/>
        <v>126.88801016961716</v>
      </c>
      <c r="AO51" s="25">
        <f t="shared" si="9"/>
        <v>125.60160211572676</v>
      </c>
      <c r="AP51" s="25">
        <f t="shared" si="9"/>
        <v>124.32408450574809</v>
      </c>
      <c r="AQ51" s="25">
        <f t="shared" si="9"/>
        <v>123.05531919703705</v>
      </c>
      <c r="AR51" s="25">
        <f t="shared" si="9"/>
        <v>121.79516888955001</v>
      </c>
      <c r="AS51" s="25">
        <f t="shared" si="9"/>
        <v>120.54349711264945</v>
      </c>
      <c r="AT51" s="25">
        <f t="shared" si="9"/>
        <v>119.30016821204144</v>
      </c>
      <c r="AU51" s="25">
        <f t="shared" si="9"/>
        <v>118.06504733684393</v>
      </c>
      <c r="AV51" s="25">
        <f t="shared" si="9"/>
        <v>116.83800042678421</v>
      </c>
      <c r="AW51" s="25">
        <f t="shared" si="9"/>
        <v>120.53290138641407</v>
      </c>
      <c r="AX51" s="25">
        <f t="shared" si="9"/>
        <v>119.32757237254992</v>
      </c>
      <c r="AY51" s="25">
        <f t="shared" si="9"/>
        <v>118.13429664882442</v>
      </c>
      <c r="AZ51" s="25">
        <f t="shared" si="9"/>
        <v>116.95295368233617</v>
      </c>
      <c r="BA51" s="25">
        <f t="shared" si="9"/>
        <v>115.78342414551281</v>
      </c>
      <c r="BB51" s="25">
        <f t="shared" si="9"/>
        <v>114.62558990405768</v>
      </c>
      <c r="BC51" s="25">
        <f t="shared" si="9"/>
        <v>113.47933400501709</v>
      </c>
      <c r="BD51" s="25">
        <f t="shared" si="9"/>
        <v>112.34454066496693</v>
      </c>
      <c r="BE51" s="25">
        <f t="shared" si="9"/>
        <v>111.22109525831726</v>
      </c>
      <c r="BF51" s="25">
        <f t="shared" si="9"/>
        <v>110.10888430573409</v>
      </c>
      <c r="BG51" s="25">
        <f t="shared" si="9"/>
        <v>109.00779546267675</v>
      </c>
      <c r="BH51" s="25">
        <f t="shared" si="9"/>
        <v>107.91771750804999</v>
      </c>
      <c r="BI51" s="25">
        <f t="shared" si="9"/>
        <v>106.83854033296949</v>
      </c>
      <c r="BJ51" s="25">
        <f t="shared" si="9"/>
        <v>105.77015492963979</v>
      </c>
      <c r="BK51" s="25">
        <f t="shared" si="9"/>
        <v>104.71245338034339</v>
      </c>
      <c r="BL51" s="25">
        <f t="shared" si="9"/>
        <v>103.66532884653995</v>
      </c>
    </row>
    <row r="52" spans="1:64" x14ac:dyDescent="0.35">
      <c r="A52" s="1"/>
      <c r="C52" s="10" t="s">
        <v>122</v>
      </c>
      <c r="D52" s="46"/>
      <c r="E52" s="46">
        <f t="shared" ref="E52:AJ52" si="10">E51*E44</f>
        <v>151.3228006362915</v>
      </c>
      <c r="F52" s="46">
        <f t="shared" si="10"/>
        <v>151.10372829437256</v>
      </c>
      <c r="G52" s="46">
        <f t="shared" si="10"/>
        <v>150.88194942474365</v>
      </c>
      <c r="H52" s="46">
        <f t="shared" si="10"/>
        <v>150.65743064880371</v>
      </c>
      <c r="I52" s="46">
        <f t="shared" si="10"/>
        <v>150.43013668060303</v>
      </c>
      <c r="J52" s="46">
        <f t="shared" si="10"/>
        <v>150.20003414154053</v>
      </c>
      <c r="K52" s="46">
        <f t="shared" si="10"/>
        <v>151.10925342559815</v>
      </c>
      <c r="L52" s="46">
        <f t="shared" si="10"/>
        <v>152.02399839897157</v>
      </c>
      <c r="M52" s="46">
        <f t="shared" si="10"/>
        <v>152.94427753367617</v>
      </c>
      <c r="N52" s="46">
        <f t="shared" si="10"/>
        <v>153.87010320591313</v>
      </c>
      <c r="O52" s="46">
        <f t="shared" si="10"/>
        <v>152.42440195641626</v>
      </c>
      <c r="P52" s="46">
        <f t="shared" si="10"/>
        <v>150.99054917220366</v>
      </c>
      <c r="Q52" s="46">
        <f t="shared" si="10"/>
        <v>149.56839502611609</v>
      </c>
      <c r="R52" s="46">
        <f t="shared" si="10"/>
        <v>148.15778936536375</v>
      </c>
      <c r="S52" s="46">
        <f t="shared" si="10"/>
        <v>149.04200146006721</v>
      </c>
      <c r="T52" s="46">
        <f t="shared" si="10"/>
        <v>149.93143108865866</v>
      </c>
      <c r="U52" s="46">
        <f t="shared" si="10"/>
        <v>150.82608618552547</v>
      </c>
      <c r="V52" s="46">
        <f t="shared" si="10"/>
        <v>151.72597238974981</v>
      </c>
      <c r="W52" s="46">
        <f t="shared" si="10"/>
        <v>150.25496474486232</v>
      </c>
      <c r="X52" s="46">
        <f t="shared" si="10"/>
        <v>148.795480712114</v>
      </c>
      <c r="Y52" s="46">
        <f t="shared" si="10"/>
        <v>147.34736647448901</v>
      </c>
      <c r="Z52" s="46">
        <f t="shared" si="10"/>
        <v>145.91046884238267</v>
      </c>
      <c r="AA52" s="46">
        <f t="shared" si="10"/>
        <v>144.48463571462779</v>
      </c>
      <c r="AB52" s="46">
        <f t="shared" si="10"/>
        <v>143.06971367865611</v>
      </c>
      <c r="AC52" s="46">
        <f t="shared" si="10"/>
        <v>141.66555419388524</v>
      </c>
      <c r="AD52" s="46">
        <f t="shared" si="10"/>
        <v>140.27200690065703</v>
      </c>
      <c r="AE52" s="46">
        <f t="shared" si="10"/>
        <v>138.88892389658423</v>
      </c>
      <c r="AF52" s="46">
        <f t="shared" si="10"/>
        <v>137.51615638365445</v>
      </c>
      <c r="AG52" s="46">
        <f t="shared" si="10"/>
        <v>136.15355989855325</v>
      </c>
      <c r="AH52" s="46">
        <f t="shared" si="10"/>
        <v>134.80098666853286</v>
      </c>
      <c r="AI52" s="46">
        <f t="shared" si="10"/>
        <v>133.45829322621734</v>
      </c>
      <c r="AJ52" s="46">
        <f t="shared" si="10"/>
        <v>132.12533467311317</v>
      </c>
      <c r="AK52" s="46">
        <f t="shared" ref="AK52:BL52" si="11">AK51*AK44</f>
        <v>130.80196895684469</v>
      </c>
      <c r="AL52" s="46">
        <f t="shared" si="11"/>
        <v>129.48805399597498</v>
      </c>
      <c r="AM52" s="46">
        <f t="shared" si="11"/>
        <v>128.18344766599142</v>
      </c>
      <c r="AN52" s="46">
        <f t="shared" si="11"/>
        <v>126.88801016961716</v>
      </c>
      <c r="AO52" s="46">
        <f t="shared" si="11"/>
        <v>125.60160211572676</v>
      </c>
      <c r="AP52" s="46">
        <f t="shared" si="11"/>
        <v>124.32408450574809</v>
      </c>
      <c r="AQ52" s="46">
        <f t="shared" si="11"/>
        <v>123.05531919703705</v>
      </c>
      <c r="AR52" s="46">
        <f t="shared" si="11"/>
        <v>121.79516888955001</v>
      </c>
      <c r="AS52" s="46">
        <f t="shared" si="11"/>
        <v>120.54349711264945</v>
      </c>
      <c r="AT52" s="46">
        <f t="shared" si="11"/>
        <v>119.30016821204144</v>
      </c>
      <c r="AU52" s="46">
        <f t="shared" si="11"/>
        <v>118.06504733684393</v>
      </c>
      <c r="AV52" s="46">
        <f t="shared" si="11"/>
        <v>116.83800042678421</v>
      </c>
      <c r="AW52" s="46">
        <f t="shared" si="11"/>
        <v>0</v>
      </c>
      <c r="AX52" s="46">
        <f t="shared" si="11"/>
        <v>0</v>
      </c>
      <c r="AY52" s="46">
        <f t="shared" si="11"/>
        <v>0</v>
      </c>
      <c r="AZ52" s="46">
        <f t="shared" si="11"/>
        <v>0</v>
      </c>
      <c r="BA52" s="46">
        <f t="shared" si="11"/>
        <v>0</v>
      </c>
      <c r="BB52" s="46">
        <f t="shared" si="11"/>
        <v>0</v>
      </c>
      <c r="BC52" s="46">
        <f t="shared" si="11"/>
        <v>0</v>
      </c>
      <c r="BD52" s="46">
        <f t="shared" si="11"/>
        <v>0</v>
      </c>
      <c r="BE52" s="46">
        <f t="shared" si="11"/>
        <v>0</v>
      </c>
      <c r="BF52" s="46">
        <f t="shared" si="11"/>
        <v>0</v>
      </c>
      <c r="BG52" s="46">
        <f t="shared" si="11"/>
        <v>0</v>
      </c>
      <c r="BH52" s="46">
        <f t="shared" si="11"/>
        <v>0</v>
      </c>
      <c r="BI52" s="46">
        <f t="shared" si="11"/>
        <v>0</v>
      </c>
      <c r="BJ52" s="46">
        <f t="shared" si="11"/>
        <v>0</v>
      </c>
      <c r="BK52" s="46">
        <f t="shared" si="11"/>
        <v>0</v>
      </c>
      <c r="BL52" s="46">
        <f t="shared" si="11"/>
        <v>0</v>
      </c>
    </row>
    <row r="53" spans="1:64" x14ac:dyDescent="0.35">
      <c r="A53" s="1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</row>
    <row r="54" spans="1:64" x14ac:dyDescent="0.35">
      <c r="A54" s="1"/>
      <c r="C54" s="2" t="s">
        <v>171</v>
      </c>
      <c r="E54" s="4">
        <f>E147</f>
        <v>0</v>
      </c>
      <c r="F54" s="4">
        <f t="shared" ref="F54:BL54" si="12">F147</f>
        <v>0</v>
      </c>
      <c r="G54" s="4">
        <f t="shared" si="12"/>
        <v>0</v>
      </c>
      <c r="H54" s="4">
        <f t="shared" si="12"/>
        <v>0</v>
      </c>
      <c r="I54" s="4">
        <f t="shared" si="12"/>
        <v>0</v>
      </c>
      <c r="J54" s="4">
        <f t="shared" si="12"/>
        <v>0</v>
      </c>
      <c r="K54" s="4">
        <f t="shared" si="12"/>
        <v>0</v>
      </c>
      <c r="L54" s="4">
        <f t="shared" si="12"/>
        <v>0</v>
      </c>
      <c r="M54" s="4">
        <f t="shared" si="12"/>
        <v>0</v>
      </c>
      <c r="N54" s="4">
        <f t="shared" si="12"/>
        <v>0</v>
      </c>
      <c r="O54" s="4">
        <f t="shared" si="12"/>
        <v>0</v>
      </c>
      <c r="P54" s="4">
        <f t="shared" si="12"/>
        <v>0</v>
      </c>
      <c r="Q54" s="4">
        <f t="shared" si="12"/>
        <v>0</v>
      </c>
      <c r="R54" s="4">
        <f t="shared" si="12"/>
        <v>0</v>
      </c>
      <c r="S54" s="4">
        <f t="shared" si="12"/>
        <v>0</v>
      </c>
      <c r="T54" s="4">
        <f t="shared" si="12"/>
        <v>0</v>
      </c>
      <c r="U54" s="4">
        <f t="shared" si="12"/>
        <v>0</v>
      </c>
      <c r="V54" s="4">
        <f t="shared" si="12"/>
        <v>0</v>
      </c>
      <c r="W54" s="4">
        <f t="shared" si="12"/>
        <v>0</v>
      </c>
      <c r="X54" s="4">
        <f t="shared" si="12"/>
        <v>0</v>
      </c>
      <c r="Y54" s="4">
        <f t="shared" si="12"/>
        <v>0</v>
      </c>
      <c r="Z54" s="4">
        <f t="shared" si="12"/>
        <v>0</v>
      </c>
      <c r="AA54" s="4">
        <f t="shared" si="12"/>
        <v>0</v>
      </c>
      <c r="AB54" s="4">
        <f t="shared" si="12"/>
        <v>0</v>
      </c>
      <c r="AC54" s="4">
        <f t="shared" si="12"/>
        <v>0</v>
      </c>
      <c r="AD54" s="4">
        <f t="shared" si="12"/>
        <v>0</v>
      </c>
      <c r="AE54" s="4">
        <f t="shared" si="12"/>
        <v>0</v>
      </c>
      <c r="AF54" s="4">
        <f t="shared" si="12"/>
        <v>0</v>
      </c>
      <c r="AG54" s="4">
        <f t="shared" si="12"/>
        <v>0</v>
      </c>
      <c r="AH54" s="4">
        <f t="shared" si="12"/>
        <v>0</v>
      </c>
      <c r="AI54" s="4">
        <f t="shared" si="12"/>
        <v>0</v>
      </c>
      <c r="AJ54" s="4">
        <f t="shared" si="12"/>
        <v>0</v>
      </c>
      <c r="AK54" s="4">
        <f t="shared" si="12"/>
        <v>0</v>
      </c>
      <c r="AL54" s="4">
        <f t="shared" si="12"/>
        <v>0</v>
      </c>
      <c r="AM54" s="4">
        <f t="shared" si="12"/>
        <v>0</v>
      </c>
      <c r="AN54" s="4">
        <f t="shared" si="12"/>
        <v>0</v>
      </c>
      <c r="AO54" s="4">
        <f t="shared" si="12"/>
        <v>0</v>
      </c>
      <c r="AP54" s="4">
        <f t="shared" si="12"/>
        <v>0</v>
      </c>
      <c r="AQ54" s="4">
        <f t="shared" si="12"/>
        <v>0</v>
      </c>
      <c r="AR54" s="4">
        <f t="shared" si="12"/>
        <v>0</v>
      </c>
      <c r="AS54" s="4">
        <f t="shared" si="12"/>
        <v>0</v>
      </c>
      <c r="AT54" s="4">
        <f t="shared" si="12"/>
        <v>0</v>
      </c>
      <c r="AU54" s="4">
        <f t="shared" si="12"/>
        <v>0</v>
      </c>
      <c r="AV54" s="4">
        <f t="shared" si="12"/>
        <v>0</v>
      </c>
      <c r="AW54" s="4">
        <f t="shared" si="12"/>
        <v>0</v>
      </c>
      <c r="AX54" s="4">
        <f t="shared" si="12"/>
        <v>0</v>
      </c>
      <c r="AY54" s="4">
        <f t="shared" si="12"/>
        <v>0</v>
      </c>
      <c r="AZ54" s="4">
        <f t="shared" si="12"/>
        <v>0</v>
      </c>
      <c r="BA54" s="4">
        <f t="shared" si="12"/>
        <v>0</v>
      </c>
      <c r="BB54" s="4">
        <f t="shared" si="12"/>
        <v>0</v>
      </c>
      <c r="BC54" s="4">
        <f t="shared" si="12"/>
        <v>0</v>
      </c>
      <c r="BD54" s="4">
        <f t="shared" si="12"/>
        <v>0</v>
      </c>
      <c r="BE54" s="4">
        <f t="shared" si="12"/>
        <v>0</v>
      </c>
      <c r="BF54" s="4">
        <f t="shared" si="12"/>
        <v>0</v>
      </c>
      <c r="BG54" s="4">
        <f t="shared" si="12"/>
        <v>0</v>
      </c>
      <c r="BH54" s="4">
        <f t="shared" si="12"/>
        <v>0</v>
      </c>
      <c r="BI54" s="4">
        <f t="shared" si="12"/>
        <v>0</v>
      </c>
      <c r="BJ54" s="4">
        <f t="shared" si="12"/>
        <v>0</v>
      </c>
      <c r="BK54" s="4">
        <f t="shared" si="12"/>
        <v>0</v>
      </c>
      <c r="BL54" s="4">
        <f t="shared" si="12"/>
        <v>0</v>
      </c>
    </row>
    <row r="55" spans="1:64" x14ac:dyDescent="0.35">
      <c r="A55" s="1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</row>
    <row r="56" spans="1:64" x14ac:dyDescent="0.35">
      <c r="A56" s="1"/>
      <c r="C56" s="2" t="s">
        <v>72</v>
      </c>
      <c r="E56" s="12">
        <f t="shared" ref="E56:AJ56" si="13">LOOKUP(E43,10:10,11:11)/2</f>
        <v>1.4999999999999999E-2</v>
      </c>
      <c r="F56" s="12">
        <f t="shared" si="13"/>
        <v>1.4999999999999999E-2</v>
      </c>
      <c r="G56" s="12">
        <f t="shared" si="13"/>
        <v>1.4999999999999999E-2</v>
      </c>
      <c r="H56" s="12">
        <f t="shared" si="13"/>
        <v>1.4999999999999999E-2</v>
      </c>
      <c r="I56" s="12">
        <f t="shared" si="13"/>
        <v>1.4999999999999999E-2</v>
      </c>
      <c r="J56" s="12">
        <f t="shared" si="13"/>
        <v>1.4999999999999999E-2</v>
      </c>
      <c r="K56" s="12">
        <f t="shared" si="13"/>
        <v>1.4999999999999999E-2</v>
      </c>
      <c r="L56" s="12">
        <f t="shared" si="13"/>
        <v>1.4999999999999999E-2</v>
      </c>
      <c r="M56" s="12">
        <f t="shared" si="13"/>
        <v>1.4999999999999999E-2</v>
      </c>
      <c r="N56" s="12">
        <f t="shared" si="13"/>
        <v>1.4999999999999999E-2</v>
      </c>
      <c r="O56" s="12">
        <f t="shared" si="13"/>
        <v>1.4999999999999999E-2</v>
      </c>
      <c r="P56" s="12">
        <f t="shared" si="13"/>
        <v>1.4999999999999999E-2</v>
      </c>
      <c r="Q56" s="12">
        <f t="shared" si="13"/>
        <v>1.4999999999999999E-2</v>
      </c>
      <c r="R56" s="12">
        <f t="shared" si="13"/>
        <v>1.4999999999999999E-2</v>
      </c>
      <c r="S56" s="12">
        <f t="shared" si="13"/>
        <v>1.4999999999999999E-2</v>
      </c>
      <c r="T56" s="12">
        <f t="shared" si="13"/>
        <v>1.4999999999999999E-2</v>
      </c>
      <c r="U56" s="12">
        <f t="shared" si="13"/>
        <v>1.4999999999999999E-2</v>
      </c>
      <c r="V56" s="12">
        <f t="shared" si="13"/>
        <v>1.4999999999999999E-2</v>
      </c>
      <c r="W56" s="12">
        <f t="shared" si="13"/>
        <v>1.4999999999999999E-2</v>
      </c>
      <c r="X56" s="12">
        <f t="shared" si="13"/>
        <v>1.4999999999999999E-2</v>
      </c>
      <c r="Y56" s="12">
        <f t="shared" si="13"/>
        <v>1.4999999999999999E-2</v>
      </c>
      <c r="Z56" s="12">
        <f t="shared" si="13"/>
        <v>1.4999999999999999E-2</v>
      </c>
      <c r="AA56" s="12">
        <f t="shared" si="13"/>
        <v>1.4999999999999999E-2</v>
      </c>
      <c r="AB56" s="12">
        <f t="shared" si="13"/>
        <v>1.4999999999999999E-2</v>
      </c>
      <c r="AC56" s="12">
        <f t="shared" si="13"/>
        <v>1.4999999999999999E-2</v>
      </c>
      <c r="AD56" s="12">
        <f t="shared" si="13"/>
        <v>1.4999999999999999E-2</v>
      </c>
      <c r="AE56" s="12">
        <f t="shared" si="13"/>
        <v>1.4999999999999999E-2</v>
      </c>
      <c r="AF56" s="12">
        <f t="shared" si="13"/>
        <v>1.4999999999999999E-2</v>
      </c>
      <c r="AG56" s="12">
        <f t="shared" si="13"/>
        <v>1.4999999999999999E-2</v>
      </c>
      <c r="AH56" s="12">
        <f t="shared" si="13"/>
        <v>1.4999999999999999E-2</v>
      </c>
      <c r="AI56" s="12">
        <f t="shared" si="13"/>
        <v>1.4999999999999999E-2</v>
      </c>
      <c r="AJ56" s="12">
        <f t="shared" si="13"/>
        <v>1.4999999999999999E-2</v>
      </c>
      <c r="AK56" s="12">
        <f t="shared" ref="AK56:BL56" si="14">LOOKUP(AK43,10:10,11:11)/2</f>
        <v>1.4999999999999999E-2</v>
      </c>
      <c r="AL56" s="12">
        <f t="shared" si="14"/>
        <v>1.4999999999999999E-2</v>
      </c>
      <c r="AM56" s="12">
        <f t="shared" si="14"/>
        <v>1.4999999999999999E-2</v>
      </c>
      <c r="AN56" s="12">
        <f t="shared" si="14"/>
        <v>1.4999999999999999E-2</v>
      </c>
      <c r="AO56" s="12">
        <f t="shared" si="14"/>
        <v>1.4999999999999999E-2</v>
      </c>
      <c r="AP56" s="12">
        <f t="shared" si="14"/>
        <v>1.4999999999999999E-2</v>
      </c>
      <c r="AQ56" s="12">
        <f t="shared" si="14"/>
        <v>1.4999999999999999E-2</v>
      </c>
      <c r="AR56" s="12">
        <f t="shared" si="14"/>
        <v>1.4999999999999999E-2</v>
      </c>
      <c r="AS56" s="12">
        <f t="shared" si="14"/>
        <v>1.4999999999999999E-2</v>
      </c>
      <c r="AT56" s="12">
        <f t="shared" si="14"/>
        <v>1.4999999999999999E-2</v>
      </c>
      <c r="AU56" s="12">
        <f t="shared" si="14"/>
        <v>1.4999999999999999E-2</v>
      </c>
      <c r="AV56" s="12">
        <f t="shared" si="14"/>
        <v>1.4999999999999999E-2</v>
      </c>
      <c r="AW56" s="12">
        <f t="shared" si="14"/>
        <v>1.4999999999999999E-2</v>
      </c>
      <c r="AX56" s="12">
        <f t="shared" si="14"/>
        <v>1.4999999999999999E-2</v>
      </c>
      <c r="AY56" s="12">
        <f t="shared" si="14"/>
        <v>1.4999999999999999E-2</v>
      </c>
      <c r="AZ56" s="12">
        <f t="shared" si="14"/>
        <v>1.4999999999999999E-2</v>
      </c>
      <c r="BA56" s="12">
        <f t="shared" si="14"/>
        <v>1.4999999999999999E-2</v>
      </c>
      <c r="BB56" s="12">
        <f t="shared" si="14"/>
        <v>1.4999999999999999E-2</v>
      </c>
      <c r="BC56" s="12">
        <f t="shared" si="14"/>
        <v>1.4999999999999999E-2</v>
      </c>
      <c r="BD56" s="12">
        <f t="shared" si="14"/>
        <v>1.4999999999999999E-2</v>
      </c>
      <c r="BE56" s="12">
        <f t="shared" si="14"/>
        <v>1.4999999999999999E-2</v>
      </c>
      <c r="BF56" s="12">
        <f t="shared" si="14"/>
        <v>1.4999999999999999E-2</v>
      </c>
      <c r="BG56" s="12">
        <f t="shared" si="14"/>
        <v>1.4999999999999999E-2</v>
      </c>
      <c r="BH56" s="12">
        <f t="shared" si="14"/>
        <v>1.4999999999999999E-2</v>
      </c>
      <c r="BI56" s="12">
        <f t="shared" si="14"/>
        <v>1.4999999999999999E-2</v>
      </c>
      <c r="BJ56" s="12">
        <f t="shared" si="14"/>
        <v>1.4999999999999999E-2</v>
      </c>
      <c r="BK56" s="12">
        <f t="shared" si="14"/>
        <v>1.4999999999999999E-2</v>
      </c>
      <c r="BL56" s="12">
        <f t="shared" si="14"/>
        <v>1.4999999999999999E-2</v>
      </c>
    </row>
    <row r="57" spans="1:64" x14ac:dyDescent="0.35">
      <c r="A57" s="1"/>
      <c r="C57" s="2" t="s">
        <v>89</v>
      </c>
      <c r="D57" s="15">
        <v>1</v>
      </c>
      <c r="E57" s="4">
        <f t="shared" ref="E57:BL57" si="15">D57*(1+E56)</f>
        <v>1.0149999999999999</v>
      </c>
      <c r="F57" s="4">
        <f t="shared" si="15"/>
        <v>1.0302249999999997</v>
      </c>
      <c r="G57" s="4">
        <f t="shared" si="15"/>
        <v>1.0456783749999996</v>
      </c>
      <c r="H57" s="4">
        <f t="shared" si="15"/>
        <v>1.0613635506249994</v>
      </c>
      <c r="I57" s="4">
        <f t="shared" si="15"/>
        <v>1.0772840038843743</v>
      </c>
      <c r="J57" s="4">
        <f t="shared" si="15"/>
        <v>1.0934432639426397</v>
      </c>
      <c r="K57" s="4">
        <f t="shared" si="15"/>
        <v>1.1098449129017791</v>
      </c>
      <c r="L57" s="4">
        <f t="shared" si="15"/>
        <v>1.1264925865953057</v>
      </c>
      <c r="M57" s="4">
        <f t="shared" si="15"/>
        <v>1.1433899753942351</v>
      </c>
      <c r="N57" s="4">
        <f t="shared" si="15"/>
        <v>1.1605408250251485</v>
      </c>
      <c r="O57" s="4">
        <f t="shared" si="15"/>
        <v>1.1779489374005256</v>
      </c>
      <c r="P57" s="4">
        <f t="shared" si="15"/>
        <v>1.1956181714615335</v>
      </c>
      <c r="Q57" s="4">
        <f t="shared" si="15"/>
        <v>1.2135524440334564</v>
      </c>
      <c r="R57" s="4">
        <f t="shared" si="15"/>
        <v>1.2317557306939582</v>
      </c>
      <c r="S57" s="4">
        <f t="shared" si="15"/>
        <v>1.2502320666543674</v>
      </c>
      <c r="T57" s="4">
        <f t="shared" si="15"/>
        <v>1.2689855476541827</v>
      </c>
      <c r="U57" s="4">
        <f t="shared" si="15"/>
        <v>1.2880203308689953</v>
      </c>
      <c r="V57" s="4">
        <f t="shared" si="15"/>
        <v>1.3073406358320301</v>
      </c>
      <c r="W57" s="4">
        <f t="shared" si="15"/>
        <v>1.3269507453695104</v>
      </c>
      <c r="X57" s="4">
        <f t="shared" si="15"/>
        <v>1.3468550065500529</v>
      </c>
      <c r="Y57" s="4">
        <f t="shared" si="15"/>
        <v>1.3670578316483035</v>
      </c>
      <c r="Z57" s="4">
        <f t="shared" si="15"/>
        <v>1.387563699123028</v>
      </c>
      <c r="AA57" s="4">
        <f t="shared" si="15"/>
        <v>1.4083771546098733</v>
      </c>
      <c r="AB57" s="4">
        <f t="shared" si="15"/>
        <v>1.4295028119290214</v>
      </c>
      <c r="AC57" s="4">
        <f t="shared" si="15"/>
        <v>1.4509453541079567</v>
      </c>
      <c r="AD57" s="4">
        <f t="shared" si="15"/>
        <v>1.472709534419576</v>
      </c>
      <c r="AE57" s="4">
        <f t="shared" si="15"/>
        <v>1.4948001774358695</v>
      </c>
      <c r="AF57" s="4">
        <f t="shared" si="15"/>
        <v>1.5172221800974073</v>
      </c>
      <c r="AG57" s="4">
        <f t="shared" si="15"/>
        <v>1.5399805127988682</v>
      </c>
      <c r="AH57" s="4">
        <f t="shared" si="15"/>
        <v>1.5630802204908509</v>
      </c>
      <c r="AI57" s="4">
        <f t="shared" si="15"/>
        <v>1.5865264237982135</v>
      </c>
      <c r="AJ57" s="4">
        <f t="shared" si="15"/>
        <v>1.6103243201551867</v>
      </c>
      <c r="AK57" s="4">
        <f t="shared" si="15"/>
        <v>1.6344791849575142</v>
      </c>
      <c r="AL57" s="4">
        <f t="shared" si="15"/>
        <v>1.6589963727318768</v>
      </c>
      <c r="AM57" s="4">
        <f t="shared" si="15"/>
        <v>1.6838813183228549</v>
      </c>
      <c r="AN57" s="4">
        <f t="shared" si="15"/>
        <v>1.7091395380976975</v>
      </c>
      <c r="AO57" s="4">
        <f t="shared" si="15"/>
        <v>1.7347766311691628</v>
      </c>
      <c r="AP57" s="4">
        <f t="shared" si="15"/>
        <v>1.7607982806367002</v>
      </c>
      <c r="AQ57" s="4">
        <f t="shared" si="15"/>
        <v>1.7872102548462505</v>
      </c>
      <c r="AR57" s="4">
        <f t="shared" si="15"/>
        <v>1.8140184086689441</v>
      </c>
      <c r="AS57" s="4">
        <f t="shared" si="15"/>
        <v>1.8412286847989781</v>
      </c>
      <c r="AT57" s="4">
        <f t="shared" si="15"/>
        <v>1.8688471150709625</v>
      </c>
      <c r="AU57" s="4">
        <f t="shared" si="15"/>
        <v>1.8968798217970266</v>
      </c>
      <c r="AV57" s="4">
        <f t="shared" si="15"/>
        <v>1.9253330191239819</v>
      </c>
      <c r="AW57" s="4">
        <f t="shared" si="15"/>
        <v>1.9542130144108414</v>
      </c>
      <c r="AX57" s="4">
        <f t="shared" si="15"/>
        <v>1.9835262096270039</v>
      </c>
      <c r="AY57" s="4">
        <f t="shared" si="15"/>
        <v>2.0132791027714085</v>
      </c>
      <c r="AZ57" s="4">
        <f t="shared" si="15"/>
        <v>2.0434782893129793</v>
      </c>
      <c r="BA57" s="4">
        <f t="shared" si="15"/>
        <v>2.0741304636526738</v>
      </c>
      <c r="BB57" s="4">
        <f t="shared" si="15"/>
        <v>2.1052424206074636</v>
      </c>
      <c r="BC57" s="4">
        <f t="shared" si="15"/>
        <v>2.1368210569165753</v>
      </c>
      <c r="BD57" s="4">
        <f t="shared" si="15"/>
        <v>2.1688733727703235</v>
      </c>
      <c r="BE57" s="4">
        <f t="shared" si="15"/>
        <v>2.2014064733618781</v>
      </c>
      <c r="BF57" s="4">
        <f t="shared" si="15"/>
        <v>2.234427570462306</v>
      </c>
      <c r="BG57" s="4">
        <f t="shared" si="15"/>
        <v>2.2679439840192406</v>
      </c>
      <c r="BH57" s="4">
        <f t="shared" si="15"/>
        <v>2.3019631437795289</v>
      </c>
      <c r="BI57" s="4">
        <f t="shared" si="15"/>
        <v>2.3364925909362215</v>
      </c>
      <c r="BJ57" s="4">
        <f t="shared" si="15"/>
        <v>2.3715399798002648</v>
      </c>
      <c r="BK57" s="4">
        <f t="shared" si="15"/>
        <v>2.4071130794972686</v>
      </c>
      <c r="BL57" s="4">
        <f t="shared" si="15"/>
        <v>2.4432197756897276</v>
      </c>
    </row>
    <row r="58" spans="1:64" x14ac:dyDescent="0.35">
      <c r="A58" s="1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</row>
    <row r="59" spans="1:64" s="40" customFormat="1" x14ac:dyDescent="0.35">
      <c r="A59" s="40" t="s">
        <v>535</v>
      </c>
      <c r="E59" s="175"/>
      <c r="F59" s="175"/>
      <c r="G59" s="175"/>
      <c r="H59" s="175"/>
      <c r="I59" s="175"/>
      <c r="J59" s="175"/>
      <c r="K59" s="175"/>
      <c r="L59" s="175"/>
      <c r="M59" s="175"/>
      <c r="N59" s="175"/>
      <c r="O59" s="175"/>
      <c r="P59" s="175"/>
      <c r="Q59" s="175"/>
      <c r="R59" s="175"/>
      <c r="S59" s="175"/>
      <c r="T59" s="175"/>
      <c r="U59" s="175"/>
      <c r="V59" s="175"/>
      <c r="W59" s="175"/>
      <c r="X59" s="175"/>
      <c r="Y59" s="175"/>
      <c r="Z59" s="175"/>
      <c r="AA59" s="175"/>
      <c r="AB59" s="175"/>
      <c r="AC59" s="175"/>
      <c r="AD59" s="175"/>
      <c r="AE59" s="175"/>
      <c r="AF59" s="175"/>
      <c r="AG59" s="175"/>
      <c r="AH59" s="175"/>
      <c r="AI59" s="175"/>
      <c r="AJ59" s="175"/>
      <c r="AK59" s="175"/>
      <c r="AL59" s="175"/>
      <c r="AM59" s="175"/>
      <c r="AN59" s="175"/>
      <c r="AO59" s="175"/>
      <c r="AP59" s="175"/>
      <c r="AQ59" s="175"/>
      <c r="AR59" s="175"/>
      <c r="AS59" s="175"/>
      <c r="AT59" s="175"/>
      <c r="AU59" s="175"/>
      <c r="AV59" s="175"/>
      <c r="AW59" s="175"/>
      <c r="AX59" s="175"/>
      <c r="AY59" s="175"/>
      <c r="AZ59" s="175"/>
      <c r="BA59" s="175"/>
      <c r="BB59" s="175"/>
      <c r="BC59" s="175"/>
      <c r="BD59" s="175"/>
      <c r="BE59" s="175"/>
      <c r="BF59" s="175"/>
      <c r="BG59" s="175"/>
      <c r="BH59" s="175"/>
      <c r="BI59" s="175"/>
      <c r="BJ59" s="175"/>
      <c r="BK59" s="175"/>
      <c r="BL59" s="175"/>
    </row>
    <row r="60" spans="1:64" x14ac:dyDescent="0.35">
      <c r="A60" s="1"/>
      <c r="C60" s="2" t="s">
        <v>534</v>
      </c>
      <c r="E60" s="4">
        <f>E146</f>
        <v>107.59959411621094</v>
      </c>
      <c r="F60" s="4">
        <f t="shared" ref="F60:BL60" si="16">F146</f>
        <v>107.44382476806641</v>
      </c>
      <c r="G60" s="4">
        <f t="shared" si="16"/>
        <v>107.28612518310547</v>
      </c>
      <c r="H60" s="4">
        <f t="shared" si="16"/>
        <v>107.12648010253906</v>
      </c>
      <c r="I60" s="4">
        <f t="shared" si="16"/>
        <v>106.96485900878906</v>
      </c>
      <c r="J60" s="4">
        <f t="shared" si="16"/>
        <v>106.80123901367188</v>
      </c>
      <c r="K60" s="4">
        <f t="shared" si="16"/>
        <v>107.44775390625</v>
      </c>
      <c r="L60" s="4">
        <f t="shared" si="16"/>
        <v>108.09819030761719</v>
      </c>
      <c r="M60" s="4">
        <f t="shared" si="16"/>
        <v>108.7525634765625</v>
      </c>
      <c r="N60" s="4">
        <f t="shared" si="16"/>
        <v>109.41088104248047</v>
      </c>
      <c r="O60" s="4">
        <f t="shared" si="16"/>
        <v>108.38289642333984</v>
      </c>
      <c r="P60" s="4">
        <f t="shared" si="16"/>
        <v>107.36334228515625</v>
      </c>
      <c r="Q60" s="4">
        <f t="shared" si="16"/>
        <v>106.35210418701172</v>
      </c>
      <c r="R60" s="4">
        <f t="shared" si="16"/>
        <v>105.34908294677734</v>
      </c>
      <c r="S60" s="4">
        <f t="shared" si="16"/>
        <v>105.97780609130859</v>
      </c>
      <c r="T60" s="4">
        <f t="shared" si="16"/>
        <v>106.61024475097656</v>
      </c>
      <c r="U60" s="4">
        <f t="shared" si="16"/>
        <v>107.24639892578125</v>
      </c>
      <c r="V60" s="4">
        <f t="shared" si="16"/>
        <v>107.88627624511719</v>
      </c>
      <c r="W60" s="4">
        <f t="shared" si="16"/>
        <v>106.84030151367188</v>
      </c>
      <c r="X60" s="4">
        <f t="shared" si="16"/>
        <v>105.80252075195313</v>
      </c>
      <c r="Y60" s="4">
        <f t="shared" si="16"/>
        <v>104.77281951904297</v>
      </c>
      <c r="Z60" s="4">
        <f t="shared" si="16"/>
        <v>103.7510986328125</v>
      </c>
      <c r="AA60" s="4">
        <f t="shared" si="16"/>
        <v>102.73725128173828</v>
      </c>
      <c r="AB60" s="4">
        <f t="shared" si="16"/>
        <v>101.73115539550781</v>
      </c>
      <c r="AC60" s="4">
        <f t="shared" si="16"/>
        <v>100.73271179199219</v>
      </c>
      <c r="AD60" s="4">
        <f t="shared" si="16"/>
        <v>99.741813659667969</v>
      </c>
      <c r="AE60" s="4">
        <f t="shared" si="16"/>
        <v>98.75836181640625</v>
      </c>
      <c r="AF60" s="4">
        <f t="shared" si="16"/>
        <v>97.782241821289063</v>
      </c>
      <c r="AG60" s="4">
        <f t="shared" si="16"/>
        <v>96.8133544921875</v>
      </c>
      <c r="AH60" s="4">
        <f t="shared" si="16"/>
        <v>95.851593017578125</v>
      </c>
      <c r="AI60" s="4">
        <f t="shared" si="16"/>
        <v>94.896858215332031</v>
      </c>
      <c r="AJ60" s="4">
        <f t="shared" si="16"/>
        <v>93.949043273925781</v>
      </c>
      <c r="AK60" s="4">
        <f t="shared" si="16"/>
        <v>93.008049011230469</v>
      </c>
      <c r="AL60" s="4">
        <f t="shared" si="16"/>
        <v>92.073776245117188</v>
      </c>
      <c r="AM60" s="4">
        <f t="shared" si="16"/>
        <v>91.146125793457031</v>
      </c>
      <c r="AN60" s="4">
        <f t="shared" si="16"/>
        <v>90.224990844726563</v>
      </c>
      <c r="AO60" s="4">
        <f t="shared" si="16"/>
        <v>89.310279846191406</v>
      </c>
      <c r="AP60" s="4">
        <f t="shared" si="16"/>
        <v>88.401885986328125</v>
      </c>
      <c r="AQ60" s="4">
        <f t="shared" si="16"/>
        <v>87.499717712402344</v>
      </c>
      <c r="AR60" s="4">
        <f t="shared" si="16"/>
        <v>86.603675842285156</v>
      </c>
      <c r="AS60" s="4">
        <f t="shared" si="16"/>
        <v>85.713661193847656</v>
      </c>
      <c r="AT60" s="4">
        <f t="shared" si="16"/>
        <v>84.829582214355469</v>
      </c>
      <c r="AU60" s="4">
        <f t="shared" si="16"/>
        <v>83.951339721679688</v>
      </c>
      <c r="AV60" s="4">
        <f t="shared" si="16"/>
        <v>83.078834533691406</v>
      </c>
      <c r="AW60" s="4">
        <f t="shared" si="16"/>
        <v>0</v>
      </c>
      <c r="AX60" s="4">
        <f t="shared" si="16"/>
        <v>0</v>
      </c>
      <c r="AY60" s="4">
        <f t="shared" si="16"/>
        <v>0</v>
      </c>
      <c r="AZ60" s="4">
        <f t="shared" si="16"/>
        <v>0</v>
      </c>
      <c r="BA60" s="4">
        <f t="shared" si="16"/>
        <v>0</v>
      </c>
      <c r="BB60" s="4">
        <f t="shared" si="16"/>
        <v>0</v>
      </c>
      <c r="BC60" s="4">
        <f t="shared" si="16"/>
        <v>0</v>
      </c>
      <c r="BD60" s="4">
        <f t="shared" si="16"/>
        <v>0</v>
      </c>
      <c r="BE60" s="4">
        <f t="shared" si="16"/>
        <v>0</v>
      </c>
      <c r="BF60" s="4">
        <f t="shared" si="16"/>
        <v>0</v>
      </c>
      <c r="BG60" s="4">
        <f t="shared" si="16"/>
        <v>0</v>
      </c>
      <c r="BH60" s="4">
        <f t="shared" si="16"/>
        <v>0</v>
      </c>
      <c r="BI60" s="4">
        <f t="shared" si="16"/>
        <v>0</v>
      </c>
      <c r="BJ60" s="4">
        <f t="shared" si="16"/>
        <v>0</v>
      </c>
      <c r="BK60" s="4">
        <f t="shared" si="16"/>
        <v>0</v>
      </c>
      <c r="BL60" s="4">
        <f t="shared" si="16"/>
        <v>0</v>
      </c>
    </row>
    <row r="61" spans="1:64" x14ac:dyDescent="0.35">
      <c r="A61" s="1"/>
      <c r="C61" s="2" t="s">
        <v>82</v>
      </c>
      <c r="D61" s="2">
        <f>D20</f>
        <v>1</v>
      </c>
      <c r="E61" s="4">
        <f>$D$61</f>
        <v>1</v>
      </c>
      <c r="F61" s="4">
        <f t="shared" ref="F61:BL61" si="17">$D$61</f>
        <v>1</v>
      </c>
      <c r="G61" s="4">
        <f t="shared" si="17"/>
        <v>1</v>
      </c>
      <c r="H61" s="4">
        <f t="shared" si="17"/>
        <v>1</v>
      </c>
      <c r="I61" s="4">
        <f t="shared" si="17"/>
        <v>1</v>
      </c>
      <c r="J61" s="4">
        <f t="shared" si="17"/>
        <v>1</v>
      </c>
      <c r="K61" s="4">
        <f t="shared" si="17"/>
        <v>1</v>
      </c>
      <c r="L61" s="4">
        <f t="shared" si="17"/>
        <v>1</v>
      </c>
      <c r="M61" s="4">
        <f t="shared" si="17"/>
        <v>1</v>
      </c>
      <c r="N61" s="4">
        <f t="shared" si="17"/>
        <v>1</v>
      </c>
      <c r="O61" s="4">
        <f t="shared" si="17"/>
        <v>1</v>
      </c>
      <c r="P61" s="4">
        <f t="shared" si="17"/>
        <v>1</v>
      </c>
      <c r="Q61" s="4">
        <f t="shared" si="17"/>
        <v>1</v>
      </c>
      <c r="R61" s="4">
        <f t="shared" si="17"/>
        <v>1</v>
      </c>
      <c r="S61" s="4">
        <f t="shared" si="17"/>
        <v>1</v>
      </c>
      <c r="T61" s="4">
        <f t="shared" si="17"/>
        <v>1</v>
      </c>
      <c r="U61" s="4">
        <f t="shared" si="17"/>
        <v>1</v>
      </c>
      <c r="V61" s="4">
        <f t="shared" si="17"/>
        <v>1</v>
      </c>
      <c r="W61" s="4">
        <f t="shared" si="17"/>
        <v>1</v>
      </c>
      <c r="X61" s="4">
        <f t="shared" si="17"/>
        <v>1</v>
      </c>
      <c r="Y61" s="4">
        <f t="shared" si="17"/>
        <v>1</v>
      </c>
      <c r="Z61" s="4">
        <f t="shared" si="17"/>
        <v>1</v>
      </c>
      <c r="AA61" s="4">
        <f t="shared" si="17"/>
        <v>1</v>
      </c>
      <c r="AB61" s="4">
        <f t="shared" si="17"/>
        <v>1</v>
      </c>
      <c r="AC61" s="4">
        <f t="shared" si="17"/>
        <v>1</v>
      </c>
      <c r="AD61" s="4">
        <f t="shared" si="17"/>
        <v>1</v>
      </c>
      <c r="AE61" s="4">
        <f t="shared" si="17"/>
        <v>1</v>
      </c>
      <c r="AF61" s="4">
        <f t="shared" si="17"/>
        <v>1</v>
      </c>
      <c r="AG61" s="4">
        <f t="shared" si="17"/>
        <v>1</v>
      </c>
      <c r="AH61" s="4">
        <f t="shared" si="17"/>
        <v>1</v>
      </c>
      <c r="AI61" s="4">
        <f t="shared" si="17"/>
        <v>1</v>
      </c>
      <c r="AJ61" s="4">
        <f t="shared" si="17"/>
        <v>1</v>
      </c>
      <c r="AK61" s="4">
        <f t="shared" si="17"/>
        <v>1</v>
      </c>
      <c r="AL61" s="4">
        <f t="shared" si="17"/>
        <v>1</v>
      </c>
      <c r="AM61" s="4">
        <f t="shared" si="17"/>
        <v>1</v>
      </c>
      <c r="AN61" s="4">
        <f t="shared" si="17"/>
        <v>1</v>
      </c>
      <c r="AO61" s="4">
        <f t="shared" si="17"/>
        <v>1</v>
      </c>
      <c r="AP61" s="4">
        <f t="shared" si="17"/>
        <v>1</v>
      </c>
      <c r="AQ61" s="4">
        <f t="shared" si="17"/>
        <v>1</v>
      </c>
      <c r="AR61" s="4">
        <f t="shared" si="17"/>
        <v>1</v>
      </c>
      <c r="AS61" s="4">
        <f t="shared" si="17"/>
        <v>1</v>
      </c>
      <c r="AT61" s="4">
        <f t="shared" si="17"/>
        <v>1</v>
      </c>
      <c r="AU61" s="4">
        <f t="shared" si="17"/>
        <v>1</v>
      </c>
      <c r="AV61" s="4">
        <f t="shared" si="17"/>
        <v>1</v>
      </c>
      <c r="AW61" s="4">
        <f t="shared" si="17"/>
        <v>1</v>
      </c>
      <c r="AX61" s="4">
        <f t="shared" si="17"/>
        <v>1</v>
      </c>
      <c r="AY61" s="4">
        <f t="shared" si="17"/>
        <v>1</v>
      </c>
      <c r="AZ61" s="4">
        <f t="shared" si="17"/>
        <v>1</v>
      </c>
      <c r="BA61" s="4">
        <f t="shared" si="17"/>
        <v>1</v>
      </c>
      <c r="BB61" s="4">
        <f t="shared" si="17"/>
        <v>1</v>
      </c>
      <c r="BC61" s="4">
        <f t="shared" si="17"/>
        <v>1</v>
      </c>
      <c r="BD61" s="4">
        <f t="shared" si="17"/>
        <v>1</v>
      </c>
      <c r="BE61" s="4">
        <f t="shared" si="17"/>
        <v>1</v>
      </c>
      <c r="BF61" s="4">
        <f t="shared" si="17"/>
        <v>1</v>
      </c>
      <c r="BG61" s="4">
        <f t="shared" si="17"/>
        <v>1</v>
      </c>
      <c r="BH61" s="4">
        <f t="shared" si="17"/>
        <v>1</v>
      </c>
      <c r="BI61" s="4">
        <f t="shared" si="17"/>
        <v>1</v>
      </c>
      <c r="BJ61" s="4">
        <f t="shared" si="17"/>
        <v>1</v>
      </c>
      <c r="BK61" s="4">
        <f t="shared" si="17"/>
        <v>1</v>
      </c>
      <c r="BL61" s="4">
        <f t="shared" si="17"/>
        <v>1</v>
      </c>
    </row>
    <row r="62" spans="1:64" x14ac:dyDescent="0.35">
      <c r="A62" s="1"/>
      <c r="B62" s="1"/>
      <c r="C62" s="2" t="s">
        <v>573</v>
      </c>
      <c r="D62" s="29">
        <f ca="1">SUM(IF(D61&gt;0,OFFSET(D60,0,1,1,D61)))</f>
        <v>107.59959411621094</v>
      </c>
      <c r="E62" s="46">
        <f ca="1">SUM(IF(E61&gt;0,OFFSET(E60,0,1,1,E61)))</f>
        <v>107.44382476806641</v>
      </c>
      <c r="F62" s="46">
        <f t="shared" ref="F62:BL62" ca="1" si="18">SUM(IF(F61&gt;0,OFFSET(F60,0,1,1,F61)))</f>
        <v>107.28612518310547</v>
      </c>
      <c r="G62" s="46">
        <f t="shared" ca="1" si="18"/>
        <v>107.12648010253906</v>
      </c>
      <c r="H62" s="46">
        <f t="shared" ca="1" si="18"/>
        <v>106.96485900878906</v>
      </c>
      <c r="I62" s="46">
        <f t="shared" ca="1" si="18"/>
        <v>106.80123901367188</v>
      </c>
      <c r="J62" s="46">
        <f t="shared" ca="1" si="18"/>
        <v>107.44775390625</v>
      </c>
      <c r="K62" s="46">
        <f t="shared" ca="1" si="18"/>
        <v>108.09819030761719</v>
      </c>
      <c r="L62" s="46">
        <f t="shared" ca="1" si="18"/>
        <v>108.7525634765625</v>
      </c>
      <c r="M62" s="46">
        <f t="shared" ca="1" si="18"/>
        <v>109.41088104248047</v>
      </c>
      <c r="N62" s="46">
        <f t="shared" ca="1" si="18"/>
        <v>108.38289642333984</v>
      </c>
      <c r="O62" s="46">
        <f t="shared" ca="1" si="18"/>
        <v>107.36334228515625</v>
      </c>
      <c r="P62" s="46">
        <f t="shared" ca="1" si="18"/>
        <v>106.35210418701172</v>
      </c>
      <c r="Q62" s="46">
        <f t="shared" ca="1" si="18"/>
        <v>105.34908294677734</v>
      </c>
      <c r="R62" s="46">
        <f t="shared" ca="1" si="18"/>
        <v>105.97780609130859</v>
      </c>
      <c r="S62" s="46">
        <f t="shared" ca="1" si="18"/>
        <v>106.61024475097656</v>
      </c>
      <c r="T62" s="46">
        <f t="shared" ca="1" si="18"/>
        <v>107.24639892578125</v>
      </c>
      <c r="U62" s="46">
        <f t="shared" ca="1" si="18"/>
        <v>107.88627624511719</v>
      </c>
      <c r="V62" s="46">
        <f t="shared" ca="1" si="18"/>
        <v>106.84030151367188</v>
      </c>
      <c r="W62" s="46">
        <f t="shared" ca="1" si="18"/>
        <v>105.80252075195313</v>
      </c>
      <c r="X62" s="46">
        <f t="shared" ca="1" si="18"/>
        <v>104.77281951904297</v>
      </c>
      <c r="Y62" s="46">
        <f t="shared" ca="1" si="18"/>
        <v>103.7510986328125</v>
      </c>
      <c r="Z62" s="46">
        <f t="shared" ca="1" si="18"/>
        <v>102.73725128173828</v>
      </c>
      <c r="AA62" s="46">
        <f t="shared" ca="1" si="18"/>
        <v>101.73115539550781</v>
      </c>
      <c r="AB62" s="46">
        <f t="shared" ca="1" si="18"/>
        <v>100.73271179199219</v>
      </c>
      <c r="AC62" s="46">
        <f t="shared" ca="1" si="18"/>
        <v>99.741813659667969</v>
      </c>
      <c r="AD62" s="46">
        <f t="shared" ca="1" si="18"/>
        <v>98.75836181640625</v>
      </c>
      <c r="AE62" s="46">
        <f t="shared" ca="1" si="18"/>
        <v>97.782241821289063</v>
      </c>
      <c r="AF62" s="46">
        <f t="shared" ca="1" si="18"/>
        <v>96.8133544921875</v>
      </c>
      <c r="AG62" s="46">
        <f t="shared" ca="1" si="18"/>
        <v>95.851593017578125</v>
      </c>
      <c r="AH62" s="46">
        <f t="shared" ca="1" si="18"/>
        <v>94.896858215332031</v>
      </c>
      <c r="AI62" s="46">
        <f t="shared" ca="1" si="18"/>
        <v>93.949043273925781</v>
      </c>
      <c r="AJ62" s="46">
        <f t="shared" ca="1" si="18"/>
        <v>93.008049011230469</v>
      </c>
      <c r="AK62" s="46">
        <f t="shared" ca="1" si="18"/>
        <v>92.073776245117188</v>
      </c>
      <c r="AL62" s="46">
        <f t="shared" ca="1" si="18"/>
        <v>91.146125793457031</v>
      </c>
      <c r="AM62" s="46">
        <f t="shared" ca="1" si="18"/>
        <v>90.224990844726563</v>
      </c>
      <c r="AN62" s="46">
        <f t="shared" ca="1" si="18"/>
        <v>89.310279846191406</v>
      </c>
      <c r="AO62" s="46">
        <f t="shared" ca="1" si="18"/>
        <v>88.401885986328125</v>
      </c>
      <c r="AP62" s="46">
        <f t="shared" ca="1" si="18"/>
        <v>87.499717712402344</v>
      </c>
      <c r="AQ62" s="46">
        <f t="shared" ca="1" si="18"/>
        <v>86.603675842285156</v>
      </c>
      <c r="AR62" s="46">
        <f t="shared" ca="1" si="18"/>
        <v>85.713661193847656</v>
      </c>
      <c r="AS62" s="46">
        <f t="shared" ca="1" si="18"/>
        <v>84.829582214355469</v>
      </c>
      <c r="AT62" s="46">
        <f t="shared" ca="1" si="18"/>
        <v>83.951339721679688</v>
      </c>
      <c r="AU62" s="46">
        <f t="shared" ca="1" si="18"/>
        <v>83.078834533691406</v>
      </c>
      <c r="AV62" s="46">
        <f t="shared" ca="1" si="18"/>
        <v>0</v>
      </c>
      <c r="AW62" s="46">
        <f t="shared" ca="1" si="18"/>
        <v>0</v>
      </c>
      <c r="AX62" s="46">
        <f t="shared" ca="1" si="18"/>
        <v>0</v>
      </c>
      <c r="AY62" s="46">
        <f t="shared" ca="1" si="18"/>
        <v>0</v>
      </c>
      <c r="AZ62" s="46">
        <f t="shared" ca="1" si="18"/>
        <v>0</v>
      </c>
      <c r="BA62" s="46">
        <f t="shared" ca="1" si="18"/>
        <v>0</v>
      </c>
      <c r="BB62" s="46">
        <f t="shared" ca="1" si="18"/>
        <v>0</v>
      </c>
      <c r="BC62" s="46">
        <f t="shared" ca="1" si="18"/>
        <v>0</v>
      </c>
      <c r="BD62" s="46">
        <f t="shared" ca="1" si="18"/>
        <v>0</v>
      </c>
      <c r="BE62" s="46">
        <f t="shared" ca="1" si="18"/>
        <v>0</v>
      </c>
      <c r="BF62" s="46">
        <f t="shared" ca="1" si="18"/>
        <v>0</v>
      </c>
      <c r="BG62" s="46">
        <f t="shared" ca="1" si="18"/>
        <v>0</v>
      </c>
      <c r="BH62" s="46">
        <f t="shared" ca="1" si="18"/>
        <v>0</v>
      </c>
      <c r="BI62" s="46">
        <f t="shared" ca="1" si="18"/>
        <v>0</v>
      </c>
      <c r="BJ62" s="46">
        <f t="shared" ca="1" si="18"/>
        <v>0</v>
      </c>
      <c r="BK62" s="46">
        <f t="shared" ca="1" si="18"/>
        <v>0</v>
      </c>
      <c r="BL62" s="46">
        <f t="shared" ca="1" si="18"/>
        <v>0</v>
      </c>
    </row>
    <row r="63" spans="1:64" x14ac:dyDescent="0.35">
      <c r="A63" s="1"/>
      <c r="B63" s="1"/>
      <c r="C63" s="2" t="s">
        <v>525</v>
      </c>
      <c r="D63" s="105" t="b">
        <f>D15</f>
        <v>1</v>
      </c>
      <c r="E63" s="4">
        <f>E154*$D$63</f>
        <v>-0.15576934814453125</v>
      </c>
      <c r="F63" s="4">
        <f t="shared" ref="F63:BL63" si="19">F154*$D$63</f>
        <v>-0.1576995849609375</v>
      </c>
      <c r="G63" s="4">
        <f t="shared" si="19"/>
        <v>-0.15964508056640625</v>
      </c>
      <c r="H63" s="4">
        <f t="shared" si="19"/>
        <v>-0.16162109375</v>
      </c>
      <c r="I63" s="4">
        <f t="shared" si="19"/>
        <v>-0.1636199951171875</v>
      </c>
      <c r="J63" s="4">
        <f t="shared" si="19"/>
        <v>0.646514892578125</v>
      </c>
      <c r="K63" s="4">
        <f t="shared" si="19"/>
        <v>0.6504364013671875</v>
      </c>
      <c r="L63" s="4">
        <f t="shared" si="19"/>
        <v>0.6543731689453125</v>
      </c>
      <c r="M63" s="4">
        <f t="shared" si="19"/>
        <v>0.65831756591796875</v>
      </c>
      <c r="N63" s="4">
        <f t="shared" si="19"/>
        <v>-1.027984619140625</v>
      </c>
      <c r="O63" s="4">
        <f t="shared" si="19"/>
        <v>-1.0195541381835938</v>
      </c>
      <c r="P63" s="4">
        <f t="shared" si="19"/>
        <v>-1.0112380981445313</v>
      </c>
      <c r="Q63" s="4">
        <f t="shared" si="19"/>
        <v>-1.003021240234375</v>
      </c>
      <c r="R63" s="4">
        <f t="shared" si="19"/>
        <v>0.62872314453125</v>
      </c>
      <c r="S63" s="4">
        <f t="shared" si="19"/>
        <v>0.63243865966796875</v>
      </c>
      <c r="T63" s="4">
        <f t="shared" si="19"/>
        <v>0.6361541748046875</v>
      </c>
      <c r="U63" s="4">
        <f t="shared" si="19"/>
        <v>0.6398773193359375</v>
      </c>
      <c r="V63" s="4">
        <f t="shared" si="19"/>
        <v>-1.0459747314453125</v>
      </c>
      <c r="W63" s="4">
        <f t="shared" si="19"/>
        <v>-1.03778076171875</v>
      </c>
      <c r="X63" s="4">
        <f t="shared" si="19"/>
        <v>-1.0297012329101563</v>
      </c>
      <c r="Y63" s="4">
        <f t="shared" si="19"/>
        <v>-1.0217208862304688</v>
      </c>
      <c r="Z63" s="4">
        <f t="shared" si="19"/>
        <v>-1.0138473510742188</v>
      </c>
      <c r="AA63" s="4">
        <f t="shared" si="19"/>
        <v>-1.0060958862304688</v>
      </c>
      <c r="AB63" s="4">
        <f t="shared" si="19"/>
        <v>-0.998443603515625</v>
      </c>
      <c r="AC63" s="4">
        <f t="shared" si="19"/>
        <v>-0.99089813232421875</v>
      </c>
      <c r="AD63" s="4">
        <f t="shared" si="19"/>
        <v>-0.98345184326171875</v>
      </c>
      <c r="AE63" s="4">
        <f t="shared" si="19"/>
        <v>-0.9761199951171875</v>
      </c>
      <c r="AF63" s="4">
        <f t="shared" si="19"/>
        <v>-0.9688873291015625</v>
      </c>
      <c r="AG63" s="4">
        <f t="shared" si="19"/>
        <v>-0.961761474609375</v>
      </c>
      <c r="AH63" s="4">
        <f t="shared" si="19"/>
        <v>-0.95473480224609375</v>
      </c>
      <c r="AI63" s="4">
        <f t="shared" si="19"/>
        <v>-0.94781494140625</v>
      </c>
      <c r="AJ63" s="4">
        <f t="shared" si="19"/>
        <v>-0.9409942626953125</v>
      </c>
      <c r="AK63" s="4">
        <f t="shared" si="19"/>
        <v>-0.93427276611328125</v>
      </c>
      <c r="AL63" s="4">
        <f t="shared" si="19"/>
        <v>-0.92765045166015625</v>
      </c>
      <c r="AM63" s="4">
        <f t="shared" si="19"/>
        <v>-0.92113494873046875</v>
      </c>
      <c r="AN63" s="4">
        <f t="shared" si="19"/>
        <v>-0.91471099853515625</v>
      </c>
      <c r="AO63" s="4">
        <f t="shared" si="19"/>
        <v>-0.90839385986328125</v>
      </c>
      <c r="AP63" s="4">
        <f t="shared" si="19"/>
        <v>-0.90216827392578125</v>
      </c>
      <c r="AQ63" s="4">
        <f t="shared" si="19"/>
        <v>-0.8960418701171875</v>
      </c>
      <c r="AR63" s="4">
        <f t="shared" si="19"/>
        <v>-0.8900146484375</v>
      </c>
      <c r="AS63" s="4">
        <f t="shared" si="19"/>
        <v>-0.8840789794921875</v>
      </c>
      <c r="AT63" s="4">
        <f t="shared" si="19"/>
        <v>-0.87824249267578125</v>
      </c>
      <c r="AU63" s="4">
        <f t="shared" si="19"/>
        <v>-0.87250518798828125</v>
      </c>
      <c r="AV63" s="4">
        <f t="shared" si="19"/>
        <v>-83.078834533691406</v>
      </c>
      <c r="AW63" s="4">
        <f t="shared" si="19"/>
        <v>0</v>
      </c>
      <c r="AX63" s="4">
        <f t="shared" si="19"/>
        <v>0</v>
      </c>
      <c r="AY63" s="4">
        <f t="shared" si="19"/>
        <v>0</v>
      </c>
      <c r="AZ63" s="4">
        <f t="shared" si="19"/>
        <v>0</v>
      </c>
      <c r="BA63" s="4">
        <f t="shared" si="19"/>
        <v>0</v>
      </c>
      <c r="BB63" s="4">
        <f t="shared" si="19"/>
        <v>0</v>
      </c>
      <c r="BC63" s="4">
        <f t="shared" si="19"/>
        <v>0</v>
      </c>
      <c r="BD63" s="4">
        <f t="shared" si="19"/>
        <v>0</v>
      </c>
      <c r="BE63" s="4">
        <f t="shared" si="19"/>
        <v>0</v>
      </c>
      <c r="BF63" s="4">
        <f t="shared" si="19"/>
        <v>0</v>
      </c>
      <c r="BG63" s="4">
        <f t="shared" si="19"/>
        <v>0</v>
      </c>
      <c r="BH63" s="4">
        <f t="shared" si="19"/>
        <v>0</v>
      </c>
      <c r="BI63" s="4">
        <f t="shared" si="19"/>
        <v>0</v>
      </c>
      <c r="BJ63" s="4">
        <f t="shared" si="19"/>
        <v>0</v>
      </c>
      <c r="BK63" s="4">
        <f t="shared" si="19"/>
        <v>0</v>
      </c>
      <c r="BL63" s="4">
        <f t="shared" si="19"/>
        <v>0</v>
      </c>
    </row>
    <row r="64" spans="1:64" x14ac:dyDescent="0.35">
      <c r="A64" s="1"/>
      <c r="B64" s="1"/>
      <c r="C64" s="2" t="s">
        <v>536</v>
      </c>
      <c r="D64" s="105"/>
      <c r="E64" s="4">
        <f t="shared" ref="E64:AJ64" si="20">-E63/E91</f>
        <v>0.11076134658250858</v>
      </c>
      <c r="F64" s="4">
        <f t="shared" si="20"/>
        <v>0.11213386069748016</v>
      </c>
      <c r="G64" s="4">
        <f t="shared" si="20"/>
        <v>0.11351722472640408</v>
      </c>
      <c r="H64" s="4">
        <f t="shared" si="20"/>
        <v>0.1149222885832327</v>
      </c>
      <c r="I64" s="4">
        <f t="shared" si="20"/>
        <v>0.11634362731098982</v>
      </c>
      <c r="J64" s="4">
        <f t="shared" si="20"/>
        <v>-0.45971085416083546</v>
      </c>
      <c r="K64" s="4">
        <f t="shared" si="20"/>
        <v>-0.46249928204658797</v>
      </c>
      <c r="L64" s="4">
        <f t="shared" si="20"/>
        <v>-0.46529855984629287</v>
      </c>
      <c r="M64" s="4">
        <f t="shared" si="20"/>
        <v>-0.46810326260297391</v>
      </c>
      <c r="N64" s="4">
        <f t="shared" si="20"/>
        <v>0.73095870296944732</v>
      </c>
      <c r="O64" s="4">
        <f t="shared" si="20"/>
        <v>0.72496412551077705</v>
      </c>
      <c r="P64" s="4">
        <f t="shared" si="20"/>
        <v>0.71905092240674928</v>
      </c>
      <c r="Q64" s="4">
        <f t="shared" si="20"/>
        <v>0.71320824374341174</v>
      </c>
      <c r="R64" s="4">
        <f t="shared" si="20"/>
        <v>-0.44705985449240176</v>
      </c>
      <c r="S64" s="4">
        <f t="shared" si="20"/>
        <v>-0.44970180853979769</v>
      </c>
      <c r="T64" s="4">
        <f t="shared" si="20"/>
        <v>-0.45234376258719355</v>
      </c>
      <c r="U64" s="4">
        <f t="shared" si="20"/>
        <v>-0.45499114159156562</v>
      </c>
      <c r="V64" s="4">
        <f t="shared" si="20"/>
        <v>0.74375075151926151</v>
      </c>
      <c r="W64" s="4">
        <f t="shared" si="20"/>
        <v>0.73792434772685245</v>
      </c>
      <c r="X64" s="4">
        <f t="shared" si="20"/>
        <v>0.73217931828908611</v>
      </c>
      <c r="Y64" s="4">
        <f t="shared" si="20"/>
        <v>0.72650481329200989</v>
      </c>
      <c r="Z64" s="4">
        <f t="shared" si="20"/>
        <v>0.72090625769260019</v>
      </c>
      <c r="AA64" s="4">
        <f t="shared" si="20"/>
        <v>0.7153945014048092</v>
      </c>
      <c r="AB64" s="4">
        <f t="shared" si="20"/>
        <v>0.70995326955770843</v>
      </c>
      <c r="AC64" s="4">
        <f t="shared" si="20"/>
        <v>0.70458798710827408</v>
      </c>
      <c r="AD64" s="4">
        <f t="shared" si="20"/>
        <v>0.69929322909952996</v>
      </c>
      <c r="AE64" s="4">
        <f t="shared" si="20"/>
        <v>0.69407984544542844</v>
      </c>
      <c r="AF64" s="4">
        <f t="shared" si="20"/>
        <v>0.68893698623201716</v>
      </c>
      <c r="AG64" s="4">
        <f t="shared" si="20"/>
        <v>0.68387007641627229</v>
      </c>
      <c r="AH64" s="4">
        <f t="shared" si="20"/>
        <v>0.67887369104121764</v>
      </c>
      <c r="AI64" s="4">
        <f t="shared" si="20"/>
        <v>0.67395325506382942</v>
      </c>
      <c r="AJ64" s="4">
        <f t="shared" si="20"/>
        <v>0.66910334352713152</v>
      </c>
      <c r="AK64" s="4">
        <f t="shared" ref="AK64:BL64" si="21">-AK63/AK91</f>
        <v>0.66432395643112374</v>
      </c>
      <c r="AL64" s="4">
        <f t="shared" si="21"/>
        <v>0.65961509377580629</v>
      </c>
      <c r="AM64" s="4">
        <f t="shared" si="21"/>
        <v>0.65498218051815515</v>
      </c>
      <c r="AN64" s="4">
        <f t="shared" si="21"/>
        <v>0.65041436674421815</v>
      </c>
      <c r="AO64" s="4">
        <f t="shared" si="21"/>
        <v>0.64592250236794757</v>
      </c>
      <c r="AP64" s="4">
        <f t="shared" si="21"/>
        <v>0.64149573747539101</v>
      </c>
      <c r="AQ64" s="4">
        <f t="shared" si="21"/>
        <v>0.63713949702352468</v>
      </c>
      <c r="AR64" s="4">
        <f t="shared" si="21"/>
        <v>0.63285378101234857</v>
      </c>
      <c r="AS64" s="4">
        <f t="shared" si="21"/>
        <v>0.6286331644848866</v>
      </c>
      <c r="AT64" s="4">
        <f t="shared" si="21"/>
        <v>0.62448307239811485</v>
      </c>
      <c r="AU64" s="4">
        <f t="shared" si="21"/>
        <v>0.62040350475203332</v>
      </c>
      <c r="AV64" s="4">
        <f t="shared" si="21"/>
        <v>59.074032825245133</v>
      </c>
      <c r="AW64" s="4">
        <f t="shared" si="21"/>
        <v>0</v>
      </c>
      <c r="AX64" s="4">
        <f t="shared" si="21"/>
        <v>0</v>
      </c>
      <c r="AY64" s="4">
        <f t="shared" si="21"/>
        <v>0</v>
      </c>
      <c r="AZ64" s="4">
        <f t="shared" si="21"/>
        <v>0</v>
      </c>
      <c r="BA64" s="4">
        <f t="shared" si="21"/>
        <v>0</v>
      </c>
      <c r="BB64" s="4">
        <f t="shared" si="21"/>
        <v>0</v>
      </c>
      <c r="BC64" s="4">
        <f t="shared" si="21"/>
        <v>0</v>
      </c>
      <c r="BD64" s="4">
        <f t="shared" si="21"/>
        <v>0</v>
      </c>
      <c r="BE64" s="4">
        <f t="shared" si="21"/>
        <v>0</v>
      </c>
      <c r="BF64" s="4">
        <f t="shared" si="21"/>
        <v>0</v>
      </c>
      <c r="BG64" s="4">
        <f t="shared" si="21"/>
        <v>0</v>
      </c>
      <c r="BH64" s="4">
        <f t="shared" si="21"/>
        <v>0</v>
      </c>
      <c r="BI64" s="4">
        <f t="shared" si="21"/>
        <v>0</v>
      </c>
      <c r="BJ64" s="4">
        <f t="shared" si="21"/>
        <v>0</v>
      </c>
      <c r="BK64" s="4">
        <f t="shared" si="21"/>
        <v>0</v>
      </c>
      <c r="BL64" s="4">
        <f t="shared" si="21"/>
        <v>0</v>
      </c>
    </row>
    <row r="65" spans="1:64" x14ac:dyDescent="0.35">
      <c r="A65" s="1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</row>
    <row r="66" spans="1:64" x14ac:dyDescent="0.35">
      <c r="A66" s="1"/>
      <c r="C66" s="27" t="s">
        <v>537</v>
      </c>
      <c r="D66" s="30">
        <f>E157</f>
        <v>41.90774899150162</v>
      </c>
      <c r="E66" s="28">
        <f>SUMPRODUCT(E64:BL64/E57:BL57)</f>
        <v>41.90774846677968</v>
      </c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</row>
    <row r="67" spans="1:64" x14ac:dyDescent="0.35">
      <c r="A67" s="1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</row>
    <row r="68" spans="1:64" x14ac:dyDescent="0.35">
      <c r="A68" s="1"/>
      <c r="C68" s="2" t="s">
        <v>15</v>
      </c>
      <c r="D68" s="4">
        <f>SUMPRODUCT(E52:BL52/E57:BL57)</f>
        <v>4562.4449487197862</v>
      </c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</row>
    <row r="69" spans="1:64" x14ac:dyDescent="0.35">
      <c r="A69" s="1"/>
      <c r="C69" s="2" t="s">
        <v>566</v>
      </c>
      <c r="D69" s="4">
        <f>D66*0</f>
        <v>0</v>
      </c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</row>
    <row r="70" spans="1:64" ht="15" thickBot="1" x14ac:dyDescent="0.4">
      <c r="A70" s="1"/>
      <c r="C70" s="24" t="s">
        <v>544</v>
      </c>
      <c r="D70" s="25">
        <f>SUM(D68:D69)</f>
        <v>4562.4449487197862</v>
      </c>
      <c r="G70" s="32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</row>
    <row r="71" spans="1:64" x14ac:dyDescent="0.35">
      <c r="A71" s="1"/>
      <c r="C71" s="2" t="s">
        <v>330</v>
      </c>
      <c r="D71" s="4">
        <f>D37</f>
        <v>3286.0796752929691</v>
      </c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</row>
    <row r="72" spans="1:64" x14ac:dyDescent="0.35">
      <c r="A72" s="1"/>
      <c r="C72" s="2" t="s">
        <v>562</v>
      </c>
      <c r="D72" s="4">
        <f>D98</f>
        <v>0</v>
      </c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</row>
    <row r="73" spans="1:64" ht="15" thickBot="1" x14ac:dyDescent="0.4">
      <c r="A73" s="1"/>
      <c r="C73" s="24" t="s">
        <v>538</v>
      </c>
      <c r="D73" s="25">
        <f>SUM(D71:D72)</f>
        <v>3286.0796752929691</v>
      </c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</row>
    <row r="74" spans="1:64" x14ac:dyDescent="0.35">
      <c r="A74" s="1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</row>
    <row r="75" spans="1:64" x14ac:dyDescent="0.35">
      <c r="A75" s="1"/>
      <c r="C75" s="172" t="s">
        <v>348</v>
      </c>
      <c r="D75" s="4">
        <f>D70/D71</f>
        <v>1.3884158022775339</v>
      </c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</row>
    <row r="76" spans="1:64" x14ac:dyDescent="0.35">
      <c r="A76" s="1"/>
      <c r="C76" s="172" t="s">
        <v>123</v>
      </c>
      <c r="D76" s="4">
        <f>D70/(D73-D66)</f>
        <v>1.4063511590525419</v>
      </c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</row>
    <row r="77" spans="1:64" x14ac:dyDescent="0.35">
      <c r="A77" s="1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</row>
    <row r="78" spans="1:64" x14ac:dyDescent="0.35">
      <c r="A78" s="1"/>
      <c r="C78" s="2" t="s">
        <v>539</v>
      </c>
      <c r="D78" s="4" t="b">
        <f>D76&gt;D12</f>
        <v>1</v>
      </c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</row>
    <row r="79" spans="1:64" x14ac:dyDescent="0.35">
      <c r="A79" s="1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</row>
    <row r="80" spans="1:64" s="40" customFormat="1" x14ac:dyDescent="0.35">
      <c r="A80" s="40" t="s">
        <v>3</v>
      </c>
      <c r="D80" s="175"/>
      <c r="E80" s="175"/>
      <c r="F80" s="175"/>
      <c r="G80" s="175"/>
      <c r="H80" s="175"/>
      <c r="I80" s="175"/>
      <c r="J80" s="175"/>
      <c r="K80" s="175"/>
      <c r="L80" s="175"/>
      <c r="M80" s="175"/>
      <c r="N80" s="175"/>
      <c r="O80" s="175"/>
      <c r="P80" s="175"/>
      <c r="Q80" s="175"/>
      <c r="R80" s="175"/>
      <c r="S80" s="175"/>
      <c r="T80" s="175"/>
      <c r="U80" s="175"/>
      <c r="V80" s="175"/>
      <c r="W80" s="175"/>
      <c r="X80" s="175"/>
      <c r="Y80" s="175"/>
      <c r="Z80" s="175"/>
      <c r="AA80" s="175"/>
      <c r="AB80" s="175"/>
      <c r="AC80" s="175"/>
      <c r="AD80" s="175"/>
      <c r="AE80" s="175"/>
      <c r="AF80" s="175"/>
      <c r="AG80" s="175"/>
      <c r="AH80" s="175"/>
      <c r="AI80" s="175"/>
      <c r="AJ80" s="175"/>
      <c r="AK80" s="175"/>
      <c r="AL80" s="175"/>
      <c r="AM80" s="175"/>
      <c r="AN80" s="175"/>
      <c r="AO80" s="175"/>
      <c r="AP80" s="175"/>
      <c r="AQ80" s="175"/>
      <c r="AR80" s="175"/>
      <c r="AS80" s="175"/>
      <c r="AT80" s="175"/>
      <c r="AU80" s="175"/>
      <c r="AV80" s="175"/>
      <c r="AW80" s="175"/>
      <c r="AX80" s="175"/>
      <c r="AY80" s="175"/>
      <c r="AZ80" s="175"/>
      <c r="BA80" s="175"/>
      <c r="BB80" s="175"/>
      <c r="BC80" s="175"/>
      <c r="BD80" s="175"/>
      <c r="BE80" s="175"/>
      <c r="BF80" s="175"/>
      <c r="BG80" s="175"/>
      <c r="BH80" s="175"/>
      <c r="BI80" s="175"/>
      <c r="BJ80" s="175"/>
      <c r="BK80" s="175"/>
      <c r="BL80" s="175"/>
    </row>
    <row r="81" spans="1:64" x14ac:dyDescent="0.35">
      <c r="A81" s="1"/>
      <c r="B81" s="2" t="s">
        <v>545</v>
      </c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</row>
    <row r="82" spans="1:64" x14ac:dyDescent="0.35">
      <c r="A82" s="1"/>
      <c r="C82" s="2" t="s">
        <v>583</v>
      </c>
      <c r="D82" s="4"/>
      <c r="E82" s="4">
        <f>E156</f>
        <v>151.32279968261719</v>
      </c>
      <c r="F82" s="4">
        <f t="shared" ref="F82:BL82" si="22">F156</f>
        <v>151.10372924804688</v>
      </c>
      <c r="G82" s="4">
        <f t="shared" si="22"/>
        <v>150.88194274902344</v>
      </c>
      <c r="H82" s="4">
        <f t="shared" si="22"/>
        <v>150.65742492675781</v>
      </c>
      <c r="I82" s="4">
        <f t="shared" si="22"/>
        <v>150.43013000488281</v>
      </c>
      <c r="J82" s="4">
        <f t="shared" si="22"/>
        <v>150.20002746582031</v>
      </c>
      <c r="K82" s="4">
        <f t="shared" si="22"/>
        <v>151.1092529296875</v>
      </c>
      <c r="L82" s="4">
        <f t="shared" si="22"/>
        <v>152.02400207519531</v>
      </c>
      <c r="M82" s="4">
        <f t="shared" si="22"/>
        <v>152.94427490234375</v>
      </c>
      <c r="N82" s="4">
        <f t="shared" si="22"/>
        <v>153.87010192871094</v>
      </c>
      <c r="O82" s="4">
        <f t="shared" si="22"/>
        <v>152.42440795898438</v>
      </c>
      <c r="P82" s="4">
        <f t="shared" si="22"/>
        <v>150.99055480957031</v>
      </c>
      <c r="Q82" s="4">
        <f t="shared" si="22"/>
        <v>149.56838989257813</v>
      </c>
      <c r="R82" s="4">
        <f t="shared" si="22"/>
        <v>148.15779113769531</v>
      </c>
      <c r="S82" s="4">
        <f t="shared" si="22"/>
        <v>149.04200744628906</v>
      </c>
      <c r="T82" s="4">
        <f t="shared" si="22"/>
        <v>149.93142700195313</v>
      </c>
      <c r="U82" s="4">
        <f t="shared" si="22"/>
        <v>150.82608032226563</v>
      </c>
      <c r="V82" s="4">
        <f t="shared" si="22"/>
        <v>151.72596740722656</v>
      </c>
      <c r="W82" s="4">
        <f t="shared" si="22"/>
        <v>150.25495910644531</v>
      </c>
      <c r="X82" s="4">
        <f t="shared" si="22"/>
        <v>148.79548645019531</v>
      </c>
      <c r="Y82" s="4">
        <f t="shared" si="22"/>
        <v>147.34736633300781</v>
      </c>
      <c r="Z82" s="4">
        <f t="shared" si="22"/>
        <v>145.91046142578125</v>
      </c>
      <c r="AA82" s="4">
        <f t="shared" si="22"/>
        <v>144.48463439941406</v>
      </c>
      <c r="AB82" s="4">
        <f t="shared" si="22"/>
        <v>143.06971740722656</v>
      </c>
      <c r="AC82" s="4">
        <f t="shared" si="22"/>
        <v>141.66555786132813</v>
      </c>
      <c r="AD82" s="4">
        <f t="shared" si="22"/>
        <v>140.27200317382813</v>
      </c>
      <c r="AE82" s="4">
        <f t="shared" si="22"/>
        <v>138.88893127441406</v>
      </c>
      <c r="AF82" s="4">
        <f t="shared" si="22"/>
        <v>137.51615905761719</v>
      </c>
      <c r="AG82" s="4">
        <f t="shared" si="22"/>
        <v>136.153564453125</v>
      </c>
      <c r="AH82" s="4">
        <f t="shared" si="22"/>
        <v>134.80097961425781</v>
      </c>
      <c r="AI82" s="4">
        <f t="shared" si="22"/>
        <v>133.45829772949219</v>
      </c>
      <c r="AJ82" s="4">
        <f t="shared" si="22"/>
        <v>132.12533569335938</v>
      </c>
      <c r="AK82" s="4">
        <f t="shared" si="22"/>
        <v>130.80197143554688</v>
      </c>
      <c r="AL82" s="4">
        <f t="shared" si="22"/>
        <v>129.48805236816406</v>
      </c>
      <c r="AM82" s="4">
        <f t="shared" si="22"/>
        <v>128.18344116210938</v>
      </c>
      <c r="AN82" s="4">
        <f t="shared" si="22"/>
        <v>126.88800811767578</v>
      </c>
      <c r="AO82" s="4">
        <f t="shared" si="22"/>
        <v>125.60160064697266</v>
      </c>
      <c r="AP82" s="4">
        <f t="shared" si="22"/>
        <v>124.32408142089844</v>
      </c>
      <c r="AQ82" s="4">
        <f t="shared" si="22"/>
        <v>123.05532073974609</v>
      </c>
      <c r="AR82" s="4">
        <f t="shared" si="22"/>
        <v>121.795166015625</v>
      </c>
      <c r="AS82" s="4">
        <f t="shared" si="22"/>
        <v>120.54349517822266</v>
      </c>
      <c r="AT82" s="4">
        <f t="shared" si="22"/>
        <v>119.3001708984375</v>
      </c>
      <c r="AU82" s="4">
        <f t="shared" si="22"/>
        <v>118.06504821777344</v>
      </c>
      <c r="AV82" s="4">
        <f t="shared" si="22"/>
        <v>116.83799743652344</v>
      </c>
      <c r="AW82" s="4">
        <f t="shared" si="22"/>
        <v>0</v>
      </c>
      <c r="AX82" s="4">
        <f t="shared" si="22"/>
        <v>0</v>
      </c>
      <c r="AY82" s="4">
        <f t="shared" si="22"/>
        <v>0</v>
      </c>
      <c r="AZ82" s="4">
        <f t="shared" si="22"/>
        <v>0</v>
      </c>
      <c r="BA82" s="4">
        <f t="shared" si="22"/>
        <v>0</v>
      </c>
      <c r="BB82" s="4">
        <f t="shared" si="22"/>
        <v>0</v>
      </c>
      <c r="BC82" s="4">
        <f t="shared" si="22"/>
        <v>0</v>
      </c>
      <c r="BD82" s="4">
        <f t="shared" si="22"/>
        <v>0</v>
      </c>
      <c r="BE82" s="4">
        <f t="shared" si="22"/>
        <v>0</v>
      </c>
      <c r="BF82" s="4">
        <f t="shared" si="22"/>
        <v>0</v>
      </c>
      <c r="BG82" s="4">
        <f t="shared" si="22"/>
        <v>0</v>
      </c>
      <c r="BH82" s="4">
        <f t="shared" si="22"/>
        <v>0</v>
      </c>
      <c r="BI82" s="4">
        <f t="shared" si="22"/>
        <v>0</v>
      </c>
      <c r="BJ82" s="4">
        <f t="shared" si="22"/>
        <v>0</v>
      </c>
      <c r="BK82" s="4">
        <f t="shared" si="22"/>
        <v>0</v>
      </c>
      <c r="BL82" s="4">
        <f t="shared" si="22"/>
        <v>0</v>
      </c>
    </row>
    <row r="83" spans="1:64" x14ac:dyDescent="0.35">
      <c r="A83" s="1"/>
      <c r="C83" s="2" t="s">
        <v>351</v>
      </c>
      <c r="D83" s="4">
        <f>D12</f>
        <v>1.2</v>
      </c>
      <c r="E83" s="4">
        <f>E82/$D$83</f>
        <v>126.10233306884766</v>
      </c>
      <c r="F83" s="4">
        <f t="shared" ref="F83:BL83" si="23">F82/$D$83</f>
        <v>125.91977437337241</v>
      </c>
      <c r="G83" s="4">
        <f t="shared" si="23"/>
        <v>125.73495229085287</v>
      </c>
      <c r="H83" s="4">
        <f t="shared" si="23"/>
        <v>125.54785410563152</v>
      </c>
      <c r="I83" s="4">
        <f t="shared" si="23"/>
        <v>125.35844167073569</v>
      </c>
      <c r="J83" s="4">
        <f t="shared" si="23"/>
        <v>125.16668955485027</v>
      </c>
      <c r="K83" s="4">
        <f t="shared" si="23"/>
        <v>125.92437744140625</v>
      </c>
      <c r="L83" s="4">
        <f t="shared" si="23"/>
        <v>126.68666839599609</v>
      </c>
      <c r="M83" s="4">
        <f t="shared" si="23"/>
        <v>127.4535624186198</v>
      </c>
      <c r="N83" s="4">
        <f t="shared" si="23"/>
        <v>128.22508494059247</v>
      </c>
      <c r="O83" s="4">
        <f t="shared" si="23"/>
        <v>127.02033996582031</v>
      </c>
      <c r="P83" s="4">
        <f t="shared" si="23"/>
        <v>125.82546234130859</v>
      </c>
      <c r="Q83" s="4">
        <f t="shared" si="23"/>
        <v>124.64032491048178</v>
      </c>
      <c r="R83" s="4">
        <f t="shared" si="23"/>
        <v>123.46482594807944</v>
      </c>
      <c r="S83" s="4">
        <f t="shared" si="23"/>
        <v>124.20167287190756</v>
      </c>
      <c r="T83" s="4">
        <f t="shared" si="23"/>
        <v>124.94285583496094</v>
      </c>
      <c r="U83" s="4">
        <f t="shared" si="23"/>
        <v>125.68840026855469</v>
      </c>
      <c r="V83" s="4">
        <f t="shared" si="23"/>
        <v>126.43830617268881</v>
      </c>
      <c r="W83" s="4">
        <f t="shared" si="23"/>
        <v>125.21246592203777</v>
      </c>
      <c r="X83" s="4">
        <f t="shared" si="23"/>
        <v>123.99623870849609</v>
      </c>
      <c r="Y83" s="4">
        <f t="shared" si="23"/>
        <v>122.78947194417319</v>
      </c>
      <c r="Z83" s="4">
        <f t="shared" si="23"/>
        <v>121.59205118815105</v>
      </c>
      <c r="AA83" s="4">
        <f t="shared" si="23"/>
        <v>120.40386199951172</v>
      </c>
      <c r="AB83" s="4">
        <f t="shared" si="23"/>
        <v>119.22476450602214</v>
      </c>
      <c r="AC83" s="4">
        <f t="shared" si="23"/>
        <v>118.05463155110678</v>
      </c>
      <c r="AD83" s="4">
        <f t="shared" si="23"/>
        <v>116.89333597819011</v>
      </c>
      <c r="AE83" s="4">
        <f t="shared" si="23"/>
        <v>115.74077606201172</v>
      </c>
      <c r="AF83" s="4">
        <f t="shared" si="23"/>
        <v>114.596799214681</v>
      </c>
      <c r="AG83" s="4">
        <f t="shared" si="23"/>
        <v>113.4613037109375</v>
      </c>
      <c r="AH83" s="4">
        <f t="shared" si="23"/>
        <v>112.33414967854819</v>
      </c>
      <c r="AI83" s="4">
        <f t="shared" si="23"/>
        <v>111.21524810791016</v>
      </c>
      <c r="AJ83" s="4">
        <f t="shared" si="23"/>
        <v>110.10444641113281</v>
      </c>
      <c r="AK83" s="4">
        <f t="shared" si="23"/>
        <v>109.00164286295573</v>
      </c>
      <c r="AL83" s="4">
        <f t="shared" si="23"/>
        <v>107.90671030680339</v>
      </c>
      <c r="AM83" s="4">
        <f t="shared" si="23"/>
        <v>106.81953430175781</v>
      </c>
      <c r="AN83" s="4">
        <f t="shared" si="23"/>
        <v>105.74000676472983</v>
      </c>
      <c r="AO83" s="4">
        <f t="shared" si="23"/>
        <v>104.66800053914389</v>
      </c>
      <c r="AP83" s="4">
        <f t="shared" si="23"/>
        <v>103.60340118408203</v>
      </c>
      <c r="AQ83" s="4">
        <f t="shared" si="23"/>
        <v>102.54610061645508</v>
      </c>
      <c r="AR83" s="4">
        <f t="shared" si="23"/>
        <v>101.4959716796875</v>
      </c>
      <c r="AS83" s="4">
        <f t="shared" si="23"/>
        <v>100.45291264851889</v>
      </c>
      <c r="AT83" s="4">
        <f t="shared" si="23"/>
        <v>99.41680908203125</v>
      </c>
      <c r="AU83" s="4">
        <f t="shared" si="23"/>
        <v>98.387540181477874</v>
      </c>
      <c r="AV83" s="4">
        <f t="shared" si="23"/>
        <v>97.364997863769531</v>
      </c>
      <c r="AW83" s="4">
        <f t="shared" si="23"/>
        <v>0</v>
      </c>
      <c r="AX83" s="4">
        <f t="shared" si="23"/>
        <v>0</v>
      </c>
      <c r="AY83" s="4">
        <f t="shared" si="23"/>
        <v>0</v>
      </c>
      <c r="AZ83" s="4">
        <f t="shared" si="23"/>
        <v>0</v>
      </c>
      <c r="BA83" s="4">
        <f t="shared" si="23"/>
        <v>0</v>
      </c>
      <c r="BB83" s="4">
        <f t="shared" si="23"/>
        <v>0</v>
      </c>
      <c r="BC83" s="4">
        <f t="shared" si="23"/>
        <v>0</v>
      </c>
      <c r="BD83" s="4">
        <f t="shared" si="23"/>
        <v>0</v>
      </c>
      <c r="BE83" s="4">
        <f t="shared" si="23"/>
        <v>0</v>
      </c>
      <c r="BF83" s="4">
        <f t="shared" si="23"/>
        <v>0</v>
      </c>
      <c r="BG83" s="4">
        <f t="shared" si="23"/>
        <v>0</v>
      </c>
      <c r="BH83" s="4">
        <f t="shared" si="23"/>
        <v>0</v>
      </c>
      <c r="BI83" s="4">
        <f t="shared" si="23"/>
        <v>0</v>
      </c>
      <c r="BJ83" s="4">
        <f t="shared" si="23"/>
        <v>0</v>
      </c>
      <c r="BK83" s="4">
        <f t="shared" si="23"/>
        <v>0</v>
      </c>
      <c r="BL83" s="4">
        <f t="shared" si="23"/>
        <v>0</v>
      </c>
    </row>
    <row r="84" spans="1:64" x14ac:dyDescent="0.35">
      <c r="A84" s="1"/>
      <c r="C84" s="2" t="s">
        <v>563</v>
      </c>
      <c r="D84" s="4">
        <f>SUMPRODUCT(E83:BL83/E57:BL57)</f>
        <v>3802.0374338054253</v>
      </c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</row>
    <row r="85" spans="1:64" x14ac:dyDescent="0.35">
      <c r="A85" s="1"/>
      <c r="C85" s="2" t="s">
        <v>566</v>
      </c>
      <c r="D85" s="4">
        <f>D66</f>
        <v>41.90774899150162</v>
      </c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</row>
    <row r="86" spans="1:64" x14ac:dyDescent="0.35">
      <c r="A86" s="1"/>
      <c r="C86" s="2" t="s">
        <v>564</v>
      </c>
      <c r="D86" s="4">
        <f>D72</f>
        <v>0</v>
      </c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</row>
    <row r="87" spans="1:64" ht="15" thickBot="1" x14ac:dyDescent="0.4">
      <c r="A87" s="1"/>
      <c r="C87" s="24" t="s">
        <v>565</v>
      </c>
      <c r="D87" s="25">
        <f>D84-D86+D85</f>
        <v>3843.9451827969269</v>
      </c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</row>
    <row r="88" spans="1:64" x14ac:dyDescent="0.35">
      <c r="A88" s="1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</row>
    <row r="89" spans="1:64" x14ac:dyDescent="0.35">
      <c r="A89" s="1"/>
      <c r="C89" s="2" t="s">
        <v>567</v>
      </c>
      <c r="D89" s="4" t="b">
        <f>D87&lt;D71</f>
        <v>0</v>
      </c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</row>
    <row r="90" spans="1:64" x14ac:dyDescent="0.35">
      <c r="A90" s="1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</row>
    <row r="91" spans="1:64" x14ac:dyDescent="0.35">
      <c r="A91" s="1"/>
      <c r="C91" s="27" t="s">
        <v>317</v>
      </c>
      <c r="D91" s="30">
        <f>IF(D89,D12,D76)</f>
        <v>1.4063511590525419</v>
      </c>
      <c r="E91" s="30">
        <f t="shared" ref="E91:BL91" si="24">D91</f>
        <v>1.4063511590525419</v>
      </c>
      <c r="F91" s="30">
        <f t="shared" si="24"/>
        <v>1.4063511590525419</v>
      </c>
      <c r="G91" s="30">
        <f t="shared" si="24"/>
        <v>1.4063511590525419</v>
      </c>
      <c r="H91" s="30">
        <f t="shared" si="24"/>
        <v>1.4063511590525419</v>
      </c>
      <c r="I91" s="30">
        <f t="shared" si="24"/>
        <v>1.4063511590525419</v>
      </c>
      <c r="J91" s="30">
        <f t="shared" si="24"/>
        <v>1.4063511590525419</v>
      </c>
      <c r="K91" s="30">
        <f t="shared" si="24"/>
        <v>1.4063511590525419</v>
      </c>
      <c r="L91" s="30">
        <f t="shared" si="24"/>
        <v>1.4063511590525419</v>
      </c>
      <c r="M91" s="30">
        <f t="shared" si="24"/>
        <v>1.4063511590525419</v>
      </c>
      <c r="N91" s="30">
        <f t="shared" si="24"/>
        <v>1.4063511590525419</v>
      </c>
      <c r="O91" s="30">
        <f t="shared" si="24"/>
        <v>1.4063511590525419</v>
      </c>
      <c r="P91" s="30">
        <f t="shared" si="24"/>
        <v>1.4063511590525419</v>
      </c>
      <c r="Q91" s="30">
        <f t="shared" si="24"/>
        <v>1.4063511590525419</v>
      </c>
      <c r="R91" s="30">
        <f t="shared" si="24"/>
        <v>1.4063511590525419</v>
      </c>
      <c r="S91" s="30">
        <f t="shared" si="24"/>
        <v>1.4063511590525419</v>
      </c>
      <c r="T91" s="30">
        <f t="shared" si="24"/>
        <v>1.4063511590525419</v>
      </c>
      <c r="U91" s="30">
        <f t="shared" si="24"/>
        <v>1.4063511590525419</v>
      </c>
      <c r="V91" s="30">
        <f t="shared" si="24"/>
        <v>1.4063511590525419</v>
      </c>
      <c r="W91" s="30">
        <f t="shared" si="24"/>
        <v>1.4063511590525419</v>
      </c>
      <c r="X91" s="30">
        <f t="shared" si="24"/>
        <v>1.4063511590525419</v>
      </c>
      <c r="Y91" s="30">
        <f t="shared" si="24"/>
        <v>1.4063511590525419</v>
      </c>
      <c r="Z91" s="30">
        <f t="shared" si="24"/>
        <v>1.4063511590525419</v>
      </c>
      <c r="AA91" s="30">
        <f t="shared" si="24"/>
        <v>1.4063511590525419</v>
      </c>
      <c r="AB91" s="30">
        <f t="shared" si="24"/>
        <v>1.4063511590525419</v>
      </c>
      <c r="AC91" s="30">
        <f t="shared" si="24"/>
        <v>1.4063511590525419</v>
      </c>
      <c r="AD91" s="30">
        <f t="shared" si="24"/>
        <v>1.4063511590525419</v>
      </c>
      <c r="AE91" s="30">
        <f t="shared" si="24"/>
        <v>1.4063511590525419</v>
      </c>
      <c r="AF91" s="30">
        <f t="shared" si="24"/>
        <v>1.4063511590525419</v>
      </c>
      <c r="AG91" s="30">
        <f t="shared" si="24"/>
        <v>1.4063511590525419</v>
      </c>
      <c r="AH91" s="30">
        <f t="shared" si="24"/>
        <v>1.4063511590525419</v>
      </c>
      <c r="AI91" s="30">
        <f t="shared" si="24"/>
        <v>1.4063511590525419</v>
      </c>
      <c r="AJ91" s="30">
        <f t="shared" si="24"/>
        <v>1.4063511590525419</v>
      </c>
      <c r="AK91" s="30">
        <f t="shared" si="24"/>
        <v>1.4063511590525419</v>
      </c>
      <c r="AL91" s="30">
        <f t="shared" si="24"/>
        <v>1.4063511590525419</v>
      </c>
      <c r="AM91" s="30">
        <f t="shared" si="24"/>
        <v>1.4063511590525419</v>
      </c>
      <c r="AN91" s="30">
        <f t="shared" si="24"/>
        <v>1.4063511590525419</v>
      </c>
      <c r="AO91" s="30">
        <f t="shared" si="24"/>
        <v>1.4063511590525419</v>
      </c>
      <c r="AP91" s="30">
        <f t="shared" si="24"/>
        <v>1.4063511590525419</v>
      </c>
      <c r="AQ91" s="30">
        <f t="shared" si="24"/>
        <v>1.4063511590525419</v>
      </c>
      <c r="AR91" s="30">
        <f t="shared" si="24"/>
        <v>1.4063511590525419</v>
      </c>
      <c r="AS91" s="30">
        <f t="shared" si="24"/>
        <v>1.4063511590525419</v>
      </c>
      <c r="AT91" s="30">
        <f t="shared" si="24"/>
        <v>1.4063511590525419</v>
      </c>
      <c r="AU91" s="30">
        <f t="shared" si="24"/>
        <v>1.4063511590525419</v>
      </c>
      <c r="AV91" s="30">
        <f t="shared" si="24"/>
        <v>1.4063511590525419</v>
      </c>
      <c r="AW91" s="30">
        <f t="shared" si="24"/>
        <v>1.4063511590525419</v>
      </c>
      <c r="AX91" s="30">
        <f t="shared" si="24"/>
        <v>1.4063511590525419</v>
      </c>
      <c r="AY91" s="30">
        <f t="shared" si="24"/>
        <v>1.4063511590525419</v>
      </c>
      <c r="AZ91" s="30">
        <f t="shared" si="24"/>
        <v>1.4063511590525419</v>
      </c>
      <c r="BA91" s="30">
        <f t="shared" si="24"/>
        <v>1.4063511590525419</v>
      </c>
      <c r="BB91" s="30">
        <f t="shared" si="24"/>
        <v>1.4063511590525419</v>
      </c>
      <c r="BC91" s="30">
        <f t="shared" si="24"/>
        <v>1.4063511590525419</v>
      </c>
      <c r="BD91" s="30">
        <f t="shared" si="24"/>
        <v>1.4063511590525419</v>
      </c>
      <c r="BE91" s="30">
        <f t="shared" si="24"/>
        <v>1.4063511590525419</v>
      </c>
      <c r="BF91" s="30">
        <f t="shared" si="24"/>
        <v>1.4063511590525419</v>
      </c>
      <c r="BG91" s="30">
        <f t="shared" si="24"/>
        <v>1.4063511590525419</v>
      </c>
      <c r="BH91" s="30">
        <f t="shared" si="24"/>
        <v>1.4063511590525419</v>
      </c>
      <c r="BI91" s="30">
        <f t="shared" si="24"/>
        <v>1.4063511590525419</v>
      </c>
      <c r="BJ91" s="30">
        <f t="shared" si="24"/>
        <v>1.4063511590525419</v>
      </c>
      <c r="BK91" s="30">
        <f t="shared" si="24"/>
        <v>1.4063511590525419</v>
      </c>
      <c r="BL91" s="28">
        <f t="shared" si="24"/>
        <v>1.4063511590525419</v>
      </c>
    </row>
    <row r="92" spans="1:64" x14ac:dyDescent="0.35">
      <c r="A92" s="1"/>
      <c r="C92" s="10" t="s">
        <v>318</v>
      </c>
      <c r="D92" s="105"/>
      <c r="E92" s="46">
        <f t="shared" ref="E92:AJ92" si="25">E52/E91*E44</f>
        <v>107.59958468568945</v>
      </c>
      <c r="F92" s="46">
        <f t="shared" si="25"/>
        <v>107.44381111483639</v>
      </c>
      <c r="G92" s="46">
        <f t="shared" si="25"/>
        <v>107.28611304049605</v>
      </c>
      <c r="H92" s="46">
        <f t="shared" si="25"/>
        <v>107.12646672848163</v>
      </c>
      <c r="I92" s="46">
        <f t="shared" si="25"/>
        <v>106.96484708836712</v>
      </c>
      <c r="J92" s="46">
        <f t="shared" si="25"/>
        <v>106.80123038596578</v>
      </c>
      <c r="K92" s="46">
        <f t="shared" si="25"/>
        <v>107.44773981442899</v>
      </c>
      <c r="L92" s="46">
        <f t="shared" si="25"/>
        <v>108.09817833932036</v>
      </c>
      <c r="M92" s="46">
        <f t="shared" si="25"/>
        <v>108.75255198475085</v>
      </c>
      <c r="N92" s="46">
        <f t="shared" si="25"/>
        <v>109.41086955094156</v>
      </c>
      <c r="O92" s="46">
        <f t="shared" si="25"/>
        <v>108.38288927717349</v>
      </c>
      <c r="P92" s="46">
        <f t="shared" si="25"/>
        <v>107.36333397266577</v>
      </c>
      <c r="Q92" s="46">
        <f t="shared" si="25"/>
        <v>106.35209710132443</v>
      </c>
      <c r="R92" s="46">
        <f t="shared" si="25"/>
        <v>105.34907189551262</v>
      </c>
      <c r="S92" s="46">
        <f t="shared" si="25"/>
        <v>105.97779971289442</v>
      </c>
      <c r="T92" s="46">
        <f t="shared" si="25"/>
        <v>106.61023750971798</v>
      </c>
      <c r="U92" s="46">
        <f t="shared" si="25"/>
        <v>107.24639092780848</v>
      </c>
      <c r="V92" s="46">
        <f t="shared" si="25"/>
        <v>107.88626397689147</v>
      </c>
      <c r="W92" s="46">
        <f t="shared" si="25"/>
        <v>106.84028933860944</v>
      </c>
      <c r="X92" s="46">
        <f t="shared" si="25"/>
        <v>105.80250867952314</v>
      </c>
      <c r="Y92" s="46">
        <f t="shared" si="25"/>
        <v>104.77281262651132</v>
      </c>
      <c r="Z92" s="46">
        <f t="shared" si="25"/>
        <v>103.75109225257971</v>
      </c>
      <c r="AA92" s="46">
        <f t="shared" si="25"/>
        <v>102.73723940467828</v>
      </c>
      <c r="AB92" s="46">
        <f t="shared" si="25"/>
        <v>101.73114499727231</v>
      </c>
      <c r="AC92" s="46">
        <f t="shared" si="25"/>
        <v>100.73270340910108</v>
      </c>
      <c r="AD92" s="46">
        <f t="shared" si="25"/>
        <v>99.741807725431968</v>
      </c>
      <c r="AE92" s="46">
        <f t="shared" si="25"/>
        <v>98.758352778799306</v>
      </c>
      <c r="AF92" s="46">
        <f t="shared" si="25"/>
        <v>97.782232764894232</v>
      </c>
      <c r="AG92" s="46">
        <f t="shared" si="25"/>
        <v>96.813344961638052</v>
      </c>
      <c r="AH92" s="46">
        <f t="shared" si="25"/>
        <v>95.851584293746527</v>
      </c>
      <c r="AI92" s="46">
        <f t="shared" si="25"/>
        <v>94.896848747312958</v>
      </c>
      <c r="AJ92" s="46">
        <f t="shared" si="25"/>
        <v>93.94903529082022</v>
      </c>
      <c r="AK92" s="46">
        <f t="shared" ref="AK92:BL92" si="26">AK52/AK91*AK44</f>
        <v>93.008042916511627</v>
      </c>
      <c r="AL92" s="46">
        <f t="shared" si="26"/>
        <v>92.073770595966238</v>
      </c>
      <c r="AM92" s="46">
        <f t="shared" si="26"/>
        <v>91.146117270133686</v>
      </c>
      <c r="AN92" s="46">
        <f t="shared" si="26"/>
        <v>90.224983534767773</v>
      </c>
      <c r="AO92" s="46">
        <f t="shared" si="26"/>
        <v>89.31027027442029</v>
      </c>
      <c r="AP92" s="46">
        <f t="shared" si="26"/>
        <v>88.401878652772012</v>
      </c>
      <c r="AQ92" s="46">
        <f t="shared" si="26"/>
        <v>87.499710442119849</v>
      </c>
      <c r="AR92" s="46">
        <f t="shared" si="26"/>
        <v>86.603668013900133</v>
      </c>
      <c r="AS92" s="46">
        <f t="shared" si="26"/>
        <v>85.713654329306735</v>
      </c>
      <c r="AT92" s="46">
        <f t="shared" si="26"/>
        <v>84.829572930002712</v>
      </c>
      <c r="AU92" s="46">
        <f t="shared" si="26"/>
        <v>83.951327928925153</v>
      </c>
      <c r="AV92" s="46">
        <f t="shared" si="26"/>
        <v>83.078824001181829</v>
      </c>
      <c r="AW92" s="46">
        <f t="shared" si="26"/>
        <v>0</v>
      </c>
      <c r="AX92" s="46">
        <f t="shared" si="26"/>
        <v>0</v>
      </c>
      <c r="AY92" s="46">
        <f t="shared" si="26"/>
        <v>0</v>
      </c>
      <c r="AZ92" s="46">
        <f t="shared" si="26"/>
        <v>0</v>
      </c>
      <c r="BA92" s="46">
        <f t="shared" si="26"/>
        <v>0</v>
      </c>
      <c r="BB92" s="46">
        <f t="shared" si="26"/>
        <v>0</v>
      </c>
      <c r="BC92" s="46">
        <f t="shared" si="26"/>
        <v>0</v>
      </c>
      <c r="BD92" s="46">
        <f t="shared" si="26"/>
        <v>0</v>
      </c>
      <c r="BE92" s="46">
        <f t="shared" si="26"/>
        <v>0</v>
      </c>
      <c r="BF92" s="46">
        <f t="shared" si="26"/>
        <v>0</v>
      </c>
      <c r="BG92" s="46">
        <f t="shared" si="26"/>
        <v>0</v>
      </c>
      <c r="BH92" s="46">
        <f t="shared" si="26"/>
        <v>0</v>
      </c>
      <c r="BI92" s="46">
        <f t="shared" si="26"/>
        <v>0</v>
      </c>
      <c r="BJ92" s="46">
        <f t="shared" si="26"/>
        <v>0</v>
      </c>
      <c r="BK92" s="46">
        <f t="shared" si="26"/>
        <v>0</v>
      </c>
      <c r="BL92" s="46">
        <f t="shared" si="26"/>
        <v>0</v>
      </c>
    </row>
    <row r="93" spans="1:64" x14ac:dyDescent="0.35">
      <c r="A93" s="1"/>
      <c r="C93" s="10" t="s">
        <v>319</v>
      </c>
      <c r="D93" s="105"/>
      <c r="E93" s="46">
        <f t="shared" ref="E93:AJ93" ca="1" si="27">E124*$D$16</f>
        <v>0</v>
      </c>
      <c r="F93" s="46">
        <f t="shared" ca="1" si="27"/>
        <v>0</v>
      </c>
      <c r="G93" s="46">
        <f t="shared" ca="1" si="27"/>
        <v>0</v>
      </c>
      <c r="H93" s="46">
        <f t="shared" ca="1" si="27"/>
        <v>0</v>
      </c>
      <c r="I93" s="46">
        <f t="shared" ca="1" si="27"/>
        <v>0</v>
      </c>
      <c r="J93" s="46">
        <f t="shared" ca="1" si="27"/>
        <v>0</v>
      </c>
      <c r="K93" s="46">
        <f t="shared" ca="1" si="27"/>
        <v>0</v>
      </c>
      <c r="L93" s="46">
        <f t="shared" ca="1" si="27"/>
        <v>0</v>
      </c>
      <c r="M93" s="46">
        <f t="shared" ca="1" si="27"/>
        <v>0</v>
      </c>
      <c r="N93" s="46">
        <f t="shared" ca="1" si="27"/>
        <v>0</v>
      </c>
      <c r="O93" s="46">
        <f t="shared" ca="1" si="27"/>
        <v>0</v>
      </c>
      <c r="P93" s="46">
        <f t="shared" ca="1" si="27"/>
        <v>0</v>
      </c>
      <c r="Q93" s="46">
        <f t="shared" ca="1" si="27"/>
        <v>0</v>
      </c>
      <c r="R93" s="46">
        <f t="shared" ca="1" si="27"/>
        <v>0</v>
      </c>
      <c r="S93" s="46">
        <f t="shared" ca="1" si="27"/>
        <v>0</v>
      </c>
      <c r="T93" s="46">
        <f t="shared" ca="1" si="27"/>
        <v>0</v>
      </c>
      <c r="U93" s="46">
        <f t="shared" ca="1" si="27"/>
        <v>0</v>
      </c>
      <c r="V93" s="46">
        <f t="shared" ca="1" si="27"/>
        <v>0</v>
      </c>
      <c r="W93" s="46">
        <f t="shared" ca="1" si="27"/>
        <v>0</v>
      </c>
      <c r="X93" s="46">
        <f t="shared" ca="1" si="27"/>
        <v>0</v>
      </c>
      <c r="Y93" s="46">
        <f t="shared" ca="1" si="27"/>
        <v>0</v>
      </c>
      <c r="Z93" s="46">
        <f t="shared" ca="1" si="27"/>
        <v>0</v>
      </c>
      <c r="AA93" s="46">
        <f t="shared" ca="1" si="27"/>
        <v>0</v>
      </c>
      <c r="AB93" s="46">
        <f t="shared" ca="1" si="27"/>
        <v>0</v>
      </c>
      <c r="AC93" s="46">
        <f t="shared" ca="1" si="27"/>
        <v>0</v>
      </c>
      <c r="AD93" s="46">
        <f t="shared" ca="1" si="27"/>
        <v>0</v>
      </c>
      <c r="AE93" s="46">
        <f t="shared" ca="1" si="27"/>
        <v>0</v>
      </c>
      <c r="AF93" s="46">
        <f t="shared" ca="1" si="27"/>
        <v>0</v>
      </c>
      <c r="AG93" s="46">
        <f t="shared" ca="1" si="27"/>
        <v>0</v>
      </c>
      <c r="AH93" s="46">
        <f t="shared" ca="1" si="27"/>
        <v>0</v>
      </c>
      <c r="AI93" s="46">
        <f t="shared" ca="1" si="27"/>
        <v>0</v>
      </c>
      <c r="AJ93" s="46">
        <f t="shared" ca="1" si="27"/>
        <v>0</v>
      </c>
      <c r="AK93" s="46">
        <f t="shared" ref="AK93:BL93" ca="1" si="28">AK124*$D$16</f>
        <v>0</v>
      </c>
      <c r="AL93" s="46">
        <f t="shared" ca="1" si="28"/>
        <v>0</v>
      </c>
      <c r="AM93" s="46">
        <f t="shared" ca="1" si="28"/>
        <v>0</v>
      </c>
      <c r="AN93" s="46">
        <f t="shared" ca="1" si="28"/>
        <v>0</v>
      </c>
      <c r="AO93" s="46">
        <f t="shared" ca="1" si="28"/>
        <v>0</v>
      </c>
      <c r="AP93" s="46">
        <f t="shared" ca="1" si="28"/>
        <v>0</v>
      </c>
      <c r="AQ93" s="46">
        <f t="shared" ca="1" si="28"/>
        <v>0</v>
      </c>
      <c r="AR93" s="46">
        <f t="shared" ca="1" si="28"/>
        <v>0</v>
      </c>
      <c r="AS93" s="46">
        <f t="shared" ca="1" si="28"/>
        <v>0</v>
      </c>
      <c r="AT93" s="46">
        <f t="shared" ca="1" si="28"/>
        <v>0</v>
      </c>
      <c r="AU93" s="46">
        <f t="shared" ca="1" si="28"/>
        <v>0</v>
      </c>
      <c r="AV93" s="46">
        <f t="shared" ca="1" si="28"/>
        <v>0</v>
      </c>
      <c r="AW93" s="46">
        <f t="shared" ca="1" si="28"/>
        <v>0</v>
      </c>
      <c r="AX93" s="46">
        <f t="shared" ca="1" si="28"/>
        <v>0</v>
      </c>
      <c r="AY93" s="46">
        <f t="shared" ca="1" si="28"/>
        <v>0</v>
      </c>
      <c r="AZ93" s="46">
        <f t="shared" ca="1" si="28"/>
        <v>0</v>
      </c>
      <c r="BA93" s="46">
        <f t="shared" ca="1" si="28"/>
        <v>0</v>
      </c>
      <c r="BB93" s="46">
        <f t="shared" ca="1" si="28"/>
        <v>0</v>
      </c>
      <c r="BC93" s="46">
        <f t="shared" ca="1" si="28"/>
        <v>0</v>
      </c>
      <c r="BD93" s="46">
        <f t="shared" ca="1" si="28"/>
        <v>0</v>
      </c>
      <c r="BE93" s="46">
        <f t="shared" ca="1" si="28"/>
        <v>0</v>
      </c>
      <c r="BF93" s="46">
        <f t="shared" ca="1" si="28"/>
        <v>0</v>
      </c>
      <c r="BG93" s="46">
        <f t="shared" ca="1" si="28"/>
        <v>0</v>
      </c>
      <c r="BH93" s="46">
        <f t="shared" ca="1" si="28"/>
        <v>0</v>
      </c>
      <c r="BI93" s="46">
        <f t="shared" ca="1" si="28"/>
        <v>0</v>
      </c>
      <c r="BJ93" s="46">
        <f t="shared" ca="1" si="28"/>
        <v>0</v>
      </c>
      <c r="BK93" s="46">
        <f t="shared" ca="1" si="28"/>
        <v>0</v>
      </c>
      <c r="BL93" s="46">
        <f t="shared" ca="1" si="28"/>
        <v>0</v>
      </c>
    </row>
    <row r="94" spans="1:64" x14ac:dyDescent="0.35">
      <c r="A94" s="1"/>
      <c r="C94" s="2" t="s">
        <v>576</v>
      </c>
      <c r="E94" s="4">
        <f ca="1">E92-E93</f>
        <v>107.59958468568945</v>
      </c>
      <c r="F94" s="4">
        <f t="shared" ref="F94:BL94" ca="1" si="29">F92-F93</f>
        <v>107.44381111483639</v>
      </c>
      <c r="G94" s="4">
        <f t="shared" ca="1" si="29"/>
        <v>107.28611304049605</v>
      </c>
      <c r="H94" s="4">
        <f t="shared" ca="1" si="29"/>
        <v>107.12646672848163</v>
      </c>
      <c r="I94" s="4">
        <f t="shared" ca="1" si="29"/>
        <v>106.96484708836712</v>
      </c>
      <c r="J94" s="4">
        <f t="shared" ca="1" si="29"/>
        <v>106.80123038596578</v>
      </c>
      <c r="K94" s="4">
        <f t="shared" ca="1" si="29"/>
        <v>107.44773981442899</v>
      </c>
      <c r="L94" s="4">
        <f t="shared" ca="1" si="29"/>
        <v>108.09817833932036</v>
      </c>
      <c r="M94" s="4">
        <f t="shared" ca="1" si="29"/>
        <v>108.75255198475085</v>
      </c>
      <c r="N94" s="4">
        <f t="shared" ca="1" si="29"/>
        <v>109.41086955094156</v>
      </c>
      <c r="O94" s="4">
        <f t="shared" ca="1" si="29"/>
        <v>108.38288927717349</v>
      </c>
      <c r="P94" s="4">
        <f t="shared" ca="1" si="29"/>
        <v>107.36333397266577</v>
      </c>
      <c r="Q94" s="4">
        <f t="shared" ca="1" si="29"/>
        <v>106.35209710132443</v>
      </c>
      <c r="R94" s="4">
        <f t="shared" ca="1" si="29"/>
        <v>105.34907189551262</v>
      </c>
      <c r="S94" s="4">
        <f t="shared" ca="1" si="29"/>
        <v>105.97779971289442</v>
      </c>
      <c r="T94" s="4">
        <f t="shared" ca="1" si="29"/>
        <v>106.61023750971798</v>
      </c>
      <c r="U94" s="4">
        <f t="shared" ca="1" si="29"/>
        <v>107.24639092780848</v>
      </c>
      <c r="V94" s="4">
        <f t="shared" ca="1" si="29"/>
        <v>107.88626397689147</v>
      </c>
      <c r="W94" s="4">
        <f t="shared" ca="1" si="29"/>
        <v>106.84028933860944</v>
      </c>
      <c r="X94" s="4">
        <f t="shared" ca="1" si="29"/>
        <v>105.80250867952314</v>
      </c>
      <c r="Y94" s="4">
        <f t="shared" ca="1" si="29"/>
        <v>104.77281262651132</v>
      </c>
      <c r="Z94" s="4">
        <f t="shared" ca="1" si="29"/>
        <v>103.75109225257971</v>
      </c>
      <c r="AA94" s="4">
        <f t="shared" ca="1" si="29"/>
        <v>102.73723940467828</v>
      </c>
      <c r="AB94" s="4">
        <f t="shared" ca="1" si="29"/>
        <v>101.73114499727231</v>
      </c>
      <c r="AC94" s="4">
        <f t="shared" ca="1" si="29"/>
        <v>100.73270340910108</v>
      </c>
      <c r="AD94" s="4">
        <f t="shared" ca="1" si="29"/>
        <v>99.741807725431968</v>
      </c>
      <c r="AE94" s="4">
        <f t="shared" ca="1" si="29"/>
        <v>98.758352778799306</v>
      </c>
      <c r="AF94" s="4">
        <f t="shared" ca="1" si="29"/>
        <v>97.782232764894232</v>
      </c>
      <c r="AG94" s="4">
        <f t="shared" ca="1" si="29"/>
        <v>96.813344961638052</v>
      </c>
      <c r="AH94" s="4">
        <f t="shared" ca="1" si="29"/>
        <v>95.851584293746527</v>
      </c>
      <c r="AI94" s="4">
        <f t="shared" ca="1" si="29"/>
        <v>94.896848747312958</v>
      </c>
      <c r="AJ94" s="4">
        <f t="shared" ca="1" si="29"/>
        <v>93.94903529082022</v>
      </c>
      <c r="AK94" s="4">
        <f t="shared" ca="1" si="29"/>
        <v>93.008042916511627</v>
      </c>
      <c r="AL94" s="4">
        <f t="shared" ca="1" si="29"/>
        <v>92.073770595966238</v>
      </c>
      <c r="AM94" s="4">
        <f t="shared" ca="1" si="29"/>
        <v>91.146117270133686</v>
      </c>
      <c r="AN94" s="4">
        <f t="shared" ca="1" si="29"/>
        <v>90.224983534767773</v>
      </c>
      <c r="AO94" s="4">
        <f t="shared" ca="1" si="29"/>
        <v>89.31027027442029</v>
      </c>
      <c r="AP94" s="4">
        <f t="shared" ca="1" si="29"/>
        <v>88.401878652772012</v>
      </c>
      <c r="AQ94" s="4">
        <f t="shared" ca="1" si="29"/>
        <v>87.499710442119849</v>
      </c>
      <c r="AR94" s="4">
        <f t="shared" ca="1" si="29"/>
        <v>86.603668013900133</v>
      </c>
      <c r="AS94" s="4">
        <f t="shared" ca="1" si="29"/>
        <v>85.713654329306735</v>
      </c>
      <c r="AT94" s="4">
        <f t="shared" ca="1" si="29"/>
        <v>84.829572930002712</v>
      </c>
      <c r="AU94" s="4">
        <f t="shared" ca="1" si="29"/>
        <v>83.951327928925153</v>
      </c>
      <c r="AV94" s="4">
        <f t="shared" ca="1" si="29"/>
        <v>83.078824001181829</v>
      </c>
      <c r="AW94" s="4">
        <f t="shared" ca="1" si="29"/>
        <v>0</v>
      </c>
      <c r="AX94" s="4">
        <f t="shared" ca="1" si="29"/>
        <v>0</v>
      </c>
      <c r="AY94" s="4">
        <f t="shared" ca="1" si="29"/>
        <v>0</v>
      </c>
      <c r="AZ94" s="4">
        <f t="shared" ca="1" si="29"/>
        <v>0</v>
      </c>
      <c r="BA94" s="4">
        <f t="shared" ca="1" si="29"/>
        <v>0</v>
      </c>
      <c r="BB94" s="4">
        <f t="shared" ca="1" si="29"/>
        <v>0</v>
      </c>
      <c r="BC94" s="4">
        <f t="shared" ca="1" si="29"/>
        <v>0</v>
      </c>
      <c r="BD94" s="4">
        <f t="shared" ca="1" si="29"/>
        <v>0</v>
      </c>
      <c r="BE94" s="4">
        <f t="shared" ca="1" si="29"/>
        <v>0</v>
      </c>
      <c r="BF94" s="4">
        <f t="shared" ca="1" si="29"/>
        <v>0</v>
      </c>
      <c r="BG94" s="4">
        <f t="shared" ca="1" si="29"/>
        <v>0</v>
      </c>
      <c r="BH94" s="4">
        <f t="shared" ca="1" si="29"/>
        <v>0</v>
      </c>
      <c r="BI94" s="4">
        <f t="shared" ca="1" si="29"/>
        <v>0</v>
      </c>
      <c r="BJ94" s="4">
        <f t="shared" ca="1" si="29"/>
        <v>0</v>
      </c>
      <c r="BK94" s="4">
        <f t="shared" ca="1" si="29"/>
        <v>0</v>
      </c>
      <c r="BL94" s="4">
        <f t="shared" ca="1" si="29"/>
        <v>0</v>
      </c>
    </row>
    <row r="95" spans="1:64" x14ac:dyDescent="0.35">
      <c r="A95" s="1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</row>
    <row r="96" spans="1:64" x14ac:dyDescent="0.35">
      <c r="A96" s="1"/>
      <c r="B96" s="2" t="s">
        <v>546</v>
      </c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</row>
    <row r="97" spans="1:64" x14ac:dyDescent="0.35">
      <c r="A97" s="1"/>
      <c r="C97" s="2" t="s">
        <v>549</v>
      </c>
      <c r="D97" s="4">
        <f ca="1">SUMPRODUCT(E94:BL94/E57:BL57)</f>
        <v>3244.1719263014688</v>
      </c>
    </row>
    <row r="98" spans="1:64" x14ac:dyDescent="0.35">
      <c r="A98" s="1"/>
      <c r="C98" s="2" t="s">
        <v>547</v>
      </c>
      <c r="D98" s="4"/>
    </row>
    <row r="99" spans="1:64" x14ac:dyDescent="0.35">
      <c r="A99" s="1"/>
      <c r="C99" s="2" t="s">
        <v>552</v>
      </c>
      <c r="D99" s="4">
        <f>D66</f>
        <v>41.90774899150162</v>
      </c>
    </row>
    <row r="100" spans="1:64" x14ac:dyDescent="0.35">
      <c r="A100" s="1"/>
      <c r="C100" s="27" t="s">
        <v>548</v>
      </c>
      <c r="D100" s="28">
        <f ca="1">D97+D99</f>
        <v>3286.0796752929705</v>
      </c>
    </row>
    <row r="101" spans="1:64" x14ac:dyDescent="0.35">
      <c r="A101" s="1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4"/>
      <c r="AV101" s="4"/>
      <c r="AW101" s="4"/>
      <c r="AX101" s="4"/>
      <c r="AY101" s="4"/>
      <c r="AZ101" s="4"/>
      <c r="BA101" s="4"/>
      <c r="BB101" s="4"/>
      <c r="BC101" s="4"/>
      <c r="BD101" s="4"/>
      <c r="BE101" s="4"/>
      <c r="BF101" s="4"/>
      <c r="BG101" s="4"/>
      <c r="BH101" s="4"/>
      <c r="BI101" s="4"/>
      <c r="BJ101" s="4"/>
      <c r="BK101" s="4"/>
      <c r="BL101" s="4"/>
    </row>
    <row r="102" spans="1:64" s="40" customFormat="1" x14ac:dyDescent="0.35">
      <c r="A102" s="40" t="s">
        <v>68</v>
      </c>
      <c r="E102" s="175"/>
      <c r="F102" s="175"/>
      <c r="G102" s="175"/>
      <c r="H102" s="175"/>
      <c r="I102" s="175"/>
      <c r="J102" s="175"/>
      <c r="K102" s="175"/>
      <c r="L102" s="175"/>
      <c r="M102" s="175"/>
      <c r="N102" s="175"/>
      <c r="O102" s="175"/>
      <c r="P102" s="175"/>
      <c r="Q102" s="175"/>
      <c r="R102" s="175"/>
      <c r="S102" s="175"/>
      <c r="T102" s="175"/>
      <c r="U102" s="175"/>
      <c r="V102" s="175"/>
      <c r="W102" s="175"/>
      <c r="X102" s="175"/>
      <c r="Y102" s="175"/>
      <c r="Z102" s="175"/>
      <c r="AA102" s="175"/>
      <c r="AB102" s="175"/>
      <c r="AC102" s="175"/>
      <c r="AD102" s="175"/>
      <c r="AE102" s="175"/>
      <c r="AF102" s="175"/>
      <c r="AG102" s="175"/>
      <c r="AH102" s="175"/>
      <c r="AI102" s="175"/>
      <c r="AJ102" s="175"/>
      <c r="AK102" s="175"/>
      <c r="AL102" s="175"/>
      <c r="AM102" s="175"/>
      <c r="AN102" s="175"/>
      <c r="AO102" s="175"/>
      <c r="AP102" s="175"/>
      <c r="AQ102" s="175"/>
      <c r="AR102" s="175"/>
      <c r="AS102" s="175"/>
      <c r="AT102" s="175"/>
      <c r="AU102" s="175"/>
      <c r="AV102" s="175"/>
      <c r="AW102" s="175"/>
      <c r="AX102" s="175"/>
      <c r="AY102" s="175"/>
      <c r="AZ102" s="175"/>
      <c r="BA102" s="175"/>
      <c r="BB102" s="175"/>
      <c r="BC102" s="175"/>
      <c r="BD102" s="175"/>
      <c r="BE102" s="175"/>
      <c r="BF102" s="175"/>
      <c r="BG102" s="175"/>
      <c r="BH102" s="175"/>
      <c r="BI102" s="175"/>
      <c r="BJ102" s="175"/>
      <c r="BK102" s="175"/>
      <c r="BL102" s="175"/>
    </row>
    <row r="103" spans="1:64" x14ac:dyDescent="0.35">
      <c r="A103" s="1"/>
      <c r="C103" s="2" t="s">
        <v>91</v>
      </c>
      <c r="E103" s="4">
        <f t="shared" ref="E103:BL103" ca="1" si="30">D106</f>
        <v>3286.0796752929705</v>
      </c>
      <c r="F103" s="4">
        <f t="shared" ca="1" si="30"/>
        <v>3227.6605243900931</v>
      </c>
      <c r="G103" s="4">
        <f t="shared" ca="1" si="30"/>
        <v>3168.5194872804104</v>
      </c>
      <c r="H103" s="4">
        <f t="shared" ca="1" si="30"/>
        <v>3108.647649324394</v>
      </c>
      <c r="I103" s="4">
        <f t="shared" ca="1" si="30"/>
        <v>3048.0359750471948</v>
      </c>
      <c r="J103" s="4">
        <f t="shared" ca="1" si="30"/>
        <v>2986.6753239572249</v>
      </c>
      <c r="K103" s="4">
        <f t="shared" ca="1" si="30"/>
        <v>2925.1339342847782</v>
      </c>
      <c r="L103" s="4">
        <f t="shared" ca="1" si="30"/>
        <v>2862.0257027666676</v>
      </c>
      <c r="M103" s="4">
        <f t="shared" ca="1" si="30"/>
        <v>2797.3232085286936</v>
      </c>
      <c r="N103" s="4">
        <f t="shared" ca="1" si="30"/>
        <v>2730.9986079344762</v>
      </c>
      <c r="O103" s="4">
        <f t="shared" ca="1" si="30"/>
        <v>2661.8217587995823</v>
      </c>
      <c r="P103" s="4">
        <f t="shared" ca="1" si="30"/>
        <v>2592.6412317788918</v>
      </c>
      <c r="Q103" s="4">
        <f t="shared" ca="1" si="30"/>
        <v>2523.4484653605023</v>
      </c>
      <c r="R103" s="4">
        <f t="shared" ca="1" si="30"/>
        <v>2454.2348869958419</v>
      </c>
      <c r="S103" s="4">
        <f t="shared" ca="1" si="30"/>
        <v>2386.1463982597588</v>
      </c>
      <c r="T103" s="4">
        <f t="shared" ca="1" si="30"/>
        <v>2316.4104963293007</v>
      </c>
      <c r="U103" s="4">
        <f t="shared" ca="1" si="30"/>
        <v>2244.9987600271093</v>
      </c>
      <c r="V103" s="4">
        <f t="shared" ca="1" si="30"/>
        <v>2171.8823416412988</v>
      </c>
      <c r="W103" s="4">
        <f t="shared" ca="1" si="30"/>
        <v>2095.8305620375077</v>
      </c>
      <c r="X103" s="4">
        <f t="shared" ca="1" si="30"/>
        <v>2019.689806781734</v>
      </c>
      <c r="Y103" s="4">
        <f t="shared" ca="1" si="30"/>
        <v>1943.4504658856476</v>
      </c>
      <c r="Z103" s="4">
        <f t="shared" ca="1" si="30"/>
        <v>1867.1029054341291</v>
      </c>
      <c r="AA103" s="4">
        <f t="shared" ca="1" si="30"/>
        <v>1790.6374505053686</v>
      </c>
      <c r="AB103" s="4">
        <f t="shared" ca="1" si="30"/>
        <v>1714.0443783568662</v>
      </c>
      <c r="AC103" s="4">
        <f t="shared" ca="1" si="30"/>
        <v>1637.3139457653892</v>
      </c>
      <c r="AD103" s="4">
        <f t="shared" ca="1" si="30"/>
        <v>1560.4363635556608</v>
      </c>
      <c r="AE103" s="4">
        <f t="shared" ca="1" si="30"/>
        <v>1483.4018080544643</v>
      </c>
      <c r="AF103" s="4">
        <f t="shared" ca="1" si="30"/>
        <v>1406.2004025510364</v>
      </c>
      <c r="AG103" s="4">
        <f t="shared" ca="1" si="30"/>
        <v>1328.8222388381757</v>
      </c>
      <c r="AH103" s="4">
        <f t="shared" ca="1" si="30"/>
        <v>1251.257357382694</v>
      </c>
      <c r="AI103" s="4">
        <f t="shared" ca="1" si="30"/>
        <v>1173.4957597586467</v>
      </c>
      <c r="AJ103" s="4">
        <f t="shared" ca="1" si="30"/>
        <v>1095.5273941526495</v>
      </c>
      <c r="AK103" s="4">
        <f t="shared" ca="1" si="30"/>
        <v>1017.342166430592</v>
      </c>
      <c r="AL103" s="4">
        <f t="shared" ca="1" si="30"/>
        <v>938.92993205410812</v>
      </c>
      <c r="AM103" s="4">
        <f t="shared" ca="1" si="30"/>
        <v>860.28049534517777</v>
      </c>
      <c r="AN103" s="4">
        <f t="shared" ca="1" si="30"/>
        <v>781.38360332470359</v>
      </c>
      <c r="AO103" s="4">
        <f t="shared" ca="1" si="30"/>
        <v>702.2289594730621</v>
      </c>
      <c r="AP103" s="4">
        <f t="shared" ca="1" si="30"/>
        <v>622.80620108836979</v>
      </c>
      <c r="AQ103" s="4">
        <f t="shared" ca="1" si="30"/>
        <v>543.10491971444799</v>
      </c>
      <c r="AR103" s="4">
        <f t="shared" ca="1" si="30"/>
        <v>463.11464357102136</v>
      </c>
      <c r="AS103" s="4">
        <f t="shared" ca="1" si="30"/>
        <v>382.82484142967422</v>
      </c>
      <c r="AT103" s="4">
        <f t="shared" ca="1" si="30"/>
        <v>302.22492655732771</v>
      </c>
      <c r="AU103" s="4">
        <f t="shared" ca="1" si="30"/>
        <v>221.3042444532868</v>
      </c>
      <c r="AV103" s="4">
        <f t="shared" ca="1" si="30"/>
        <v>140.05207668640892</v>
      </c>
      <c r="AW103" s="4">
        <f t="shared" ca="1" si="30"/>
        <v>1.0102780905185682E-6</v>
      </c>
      <c r="AX103" s="4">
        <f t="shared" ca="1" si="30"/>
        <v>1.0254322618763466E-6</v>
      </c>
      <c r="AY103" s="4">
        <f t="shared" ca="1" si="30"/>
        <v>1.0408137458044918E-6</v>
      </c>
      <c r="AZ103" s="4">
        <f t="shared" ca="1" si="30"/>
        <v>1.0564259519915592E-6</v>
      </c>
      <c r="BA103" s="4">
        <f t="shared" ca="1" si="30"/>
        <v>1.0722723412714326E-6</v>
      </c>
      <c r="BB103" s="4">
        <f t="shared" ca="1" si="30"/>
        <v>1.0883564263905042E-6</v>
      </c>
      <c r="BC103" s="4">
        <f t="shared" ca="1" si="30"/>
        <v>1.1046817727863618E-6</v>
      </c>
      <c r="BD103" s="4">
        <f t="shared" ca="1" si="30"/>
        <v>1.1212519993781572E-6</v>
      </c>
      <c r="BE103" s="4">
        <f t="shared" ca="1" si="30"/>
        <v>1.1380707793688296E-6</v>
      </c>
      <c r="BF103" s="4">
        <f t="shared" ca="1" si="30"/>
        <v>1.155141841059362E-6</v>
      </c>
      <c r="BG103" s="4">
        <f t="shared" ca="1" si="30"/>
        <v>1.1724689686752524E-6</v>
      </c>
      <c r="BH103" s="4">
        <f t="shared" ca="1" si="30"/>
        <v>1.1900560032053811E-6</v>
      </c>
      <c r="BI103" s="4">
        <f t="shared" ca="1" si="30"/>
        <v>1.207906843253462E-6</v>
      </c>
      <c r="BJ103" s="4">
        <f t="shared" ca="1" si="30"/>
        <v>1.2260254459022638E-6</v>
      </c>
      <c r="BK103" s="4">
        <f t="shared" ca="1" si="30"/>
        <v>1.2444158275907977E-6</v>
      </c>
      <c r="BL103" s="4">
        <f t="shared" ca="1" si="30"/>
        <v>1.2630820650046596E-6</v>
      </c>
    </row>
    <row r="104" spans="1:64" x14ac:dyDescent="0.35">
      <c r="A104" s="1"/>
      <c r="C104" s="2" t="s">
        <v>541</v>
      </c>
      <c r="E104" s="4">
        <f t="shared" ref="E104:AJ104" ca="1" si="31">E92-E108-E93</f>
        <v>58.308389556294898</v>
      </c>
      <c r="F104" s="4">
        <f t="shared" ca="1" si="31"/>
        <v>59.028903248984996</v>
      </c>
      <c r="G104" s="4">
        <f t="shared" ca="1" si="31"/>
        <v>59.758320731289892</v>
      </c>
      <c r="H104" s="4">
        <f t="shared" ca="1" si="31"/>
        <v>60.496751988615721</v>
      </c>
      <c r="I104" s="4">
        <f t="shared" ca="1" si="31"/>
        <v>61.244307462659201</v>
      </c>
      <c r="J104" s="4">
        <f t="shared" ca="1" si="31"/>
        <v>62.001100526607409</v>
      </c>
      <c r="K104" s="4">
        <f t="shared" ca="1" si="31"/>
        <v>63.570730800157314</v>
      </c>
      <c r="L104" s="4">
        <f t="shared" ca="1" si="31"/>
        <v>65.16779279782034</v>
      </c>
      <c r="M104" s="4">
        <f t="shared" ca="1" si="31"/>
        <v>66.792703856820452</v>
      </c>
      <c r="N104" s="4">
        <f t="shared" ca="1" si="31"/>
        <v>68.445890431924411</v>
      </c>
      <c r="O104" s="4">
        <f t="shared" ca="1" si="31"/>
        <v>68.455562895179753</v>
      </c>
      <c r="P104" s="4">
        <f t="shared" ca="1" si="31"/>
        <v>68.47371549598239</v>
      </c>
      <c r="Q104" s="4">
        <f t="shared" ca="1" si="31"/>
        <v>68.500370120916898</v>
      </c>
      <c r="R104" s="4">
        <f t="shared" ca="1" si="31"/>
        <v>68.53554859057499</v>
      </c>
      <c r="S104" s="4">
        <f t="shared" ca="1" si="31"/>
        <v>70.18560373899804</v>
      </c>
      <c r="T104" s="4">
        <f t="shared" ca="1" si="31"/>
        <v>71.864080064778477</v>
      </c>
      <c r="U104" s="4">
        <f t="shared" ca="1" si="31"/>
        <v>73.57140952740184</v>
      </c>
      <c r="V104" s="4">
        <f t="shared" ca="1" si="31"/>
        <v>75.308028852271988</v>
      </c>
      <c r="W104" s="4">
        <f t="shared" ca="1" si="31"/>
        <v>75.402830908046823</v>
      </c>
      <c r="X104" s="4">
        <f t="shared" ca="1" si="31"/>
        <v>75.507161577797135</v>
      </c>
      <c r="Y104" s="4">
        <f t="shared" ca="1" si="31"/>
        <v>75.621055638226608</v>
      </c>
      <c r="Z104" s="4">
        <f t="shared" ca="1" si="31"/>
        <v>75.744548671067776</v>
      </c>
      <c r="AA104" s="4">
        <f t="shared" ca="1" si="31"/>
        <v>75.877677647097755</v>
      </c>
      <c r="AB104" s="4">
        <f t="shared" ca="1" si="31"/>
        <v>76.020479321919311</v>
      </c>
      <c r="AC104" s="4">
        <f t="shared" ca="1" si="31"/>
        <v>76.172994222620247</v>
      </c>
      <c r="AD104" s="4">
        <f t="shared" ca="1" si="31"/>
        <v>76.335262272097054</v>
      </c>
      <c r="AE104" s="4">
        <f t="shared" ca="1" si="31"/>
        <v>76.507325657982335</v>
      </c>
      <c r="AF104" s="4">
        <f t="shared" ca="1" si="31"/>
        <v>76.689226726628689</v>
      </c>
      <c r="AG104" s="4">
        <f t="shared" ca="1" si="31"/>
        <v>76.881011379065413</v>
      </c>
      <c r="AH104" s="4">
        <f t="shared" ca="1" si="31"/>
        <v>77.082723933006122</v>
      </c>
      <c r="AI104" s="4">
        <f t="shared" ca="1" si="31"/>
        <v>77.294412350933257</v>
      </c>
      <c r="AJ104" s="4">
        <f t="shared" ca="1" si="31"/>
        <v>77.516124378530478</v>
      </c>
      <c r="AK104" s="4">
        <f t="shared" ref="AK104:BL104" ca="1" si="32">AK92-AK108-AK93</f>
        <v>77.747910420052747</v>
      </c>
      <c r="AL104" s="4">
        <f t="shared" ca="1" si="32"/>
        <v>77.989821615154611</v>
      </c>
      <c r="AM104" s="4">
        <f t="shared" ca="1" si="32"/>
        <v>78.241909839956023</v>
      </c>
      <c r="AN104" s="4">
        <f t="shared" ca="1" si="32"/>
        <v>78.504229484897223</v>
      </c>
      <c r="AO104" s="4">
        <f t="shared" ca="1" si="32"/>
        <v>78.776835882324363</v>
      </c>
      <c r="AP104" s="4">
        <f t="shared" ca="1" si="32"/>
        <v>79.059785636446463</v>
      </c>
      <c r="AQ104" s="4">
        <f t="shared" ca="1" si="32"/>
        <v>79.353136646403129</v>
      </c>
      <c r="AR104" s="4">
        <f t="shared" ca="1" si="32"/>
        <v>79.656948360334809</v>
      </c>
      <c r="AS104" s="4">
        <f t="shared" ca="1" si="32"/>
        <v>79.971281707861621</v>
      </c>
      <c r="AT104" s="4">
        <f t="shared" ca="1" si="32"/>
        <v>80.2961990316428</v>
      </c>
      <c r="AU104" s="4">
        <f t="shared" ca="1" si="32"/>
        <v>80.631764262125856</v>
      </c>
      <c r="AV104" s="4">
        <f t="shared" ca="1" si="32"/>
        <v>80.9780428508857</v>
      </c>
      <c r="AW104" s="4">
        <f t="shared" ca="1" si="32"/>
        <v>-1.5154171357778524E-8</v>
      </c>
      <c r="AX104" s="4">
        <f t="shared" ca="1" si="32"/>
        <v>-1.5381483928145198E-8</v>
      </c>
      <c r="AY104" s="4">
        <f t="shared" ca="1" si="32"/>
        <v>-1.5612206187067376E-8</v>
      </c>
      <c r="AZ104" s="4">
        <f t="shared" ca="1" si="32"/>
        <v>-1.5846389279873387E-8</v>
      </c>
      <c r="BA104" s="4">
        <f t="shared" ca="1" si="32"/>
        <v>-1.6084085119071489E-8</v>
      </c>
      <c r="BB104" s="4">
        <f t="shared" ca="1" si="32"/>
        <v>-1.6325346395857562E-8</v>
      </c>
      <c r="BC104" s="4">
        <f t="shared" ca="1" si="32"/>
        <v>-1.6570226591795425E-8</v>
      </c>
      <c r="BD104" s="4">
        <f t="shared" ca="1" si="32"/>
        <v>-1.6818779990672357E-8</v>
      </c>
      <c r="BE104" s="4">
        <f t="shared" ca="1" si="32"/>
        <v>-1.7071061690532444E-8</v>
      </c>
      <c r="BF104" s="4">
        <f t="shared" ca="1" si="32"/>
        <v>-1.7327127615890429E-8</v>
      </c>
      <c r="BG104" s="4">
        <f t="shared" ca="1" si="32"/>
        <v>-1.7587034530128787E-8</v>
      </c>
      <c r="BH104" s="4">
        <f t="shared" ca="1" si="32"/>
        <v>-1.7850840048080718E-8</v>
      </c>
      <c r="BI104" s="4">
        <f t="shared" ca="1" si="32"/>
        <v>-1.811860264880193E-8</v>
      </c>
      <c r="BJ104" s="4">
        <f t="shared" ca="1" si="32"/>
        <v>-1.8390381688533955E-8</v>
      </c>
      <c r="BK104" s="4">
        <f t="shared" ca="1" si="32"/>
        <v>-1.8666237413861965E-8</v>
      </c>
      <c r="BL104" s="4">
        <f t="shared" ca="1" si="32"/>
        <v>-1.8946230975069892E-8</v>
      </c>
    </row>
    <row r="105" spans="1:64" x14ac:dyDescent="0.35">
      <c r="A105" s="1"/>
      <c r="C105" s="2" t="s">
        <v>542</v>
      </c>
      <c r="D105" s="2" t="b">
        <f>D15</f>
        <v>1</v>
      </c>
      <c r="E105" s="4">
        <f>E64*$D$105</f>
        <v>0.11076134658250858</v>
      </c>
      <c r="F105" s="4">
        <f t="shared" ref="F105:BL105" si="33">F64*$D$105</f>
        <v>0.11213386069748016</v>
      </c>
      <c r="G105" s="4">
        <f t="shared" si="33"/>
        <v>0.11351722472640408</v>
      </c>
      <c r="H105" s="4">
        <f t="shared" si="33"/>
        <v>0.1149222885832327</v>
      </c>
      <c r="I105" s="4">
        <f t="shared" si="33"/>
        <v>0.11634362731098982</v>
      </c>
      <c r="J105" s="4">
        <f t="shared" si="33"/>
        <v>-0.45971085416083546</v>
      </c>
      <c r="K105" s="4">
        <f t="shared" si="33"/>
        <v>-0.46249928204658797</v>
      </c>
      <c r="L105" s="4">
        <f t="shared" si="33"/>
        <v>-0.46529855984629287</v>
      </c>
      <c r="M105" s="4">
        <f t="shared" si="33"/>
        <v>-0.46810326260297391</v>
      </c>
      <c r="N105" s="4">
        <f t="shared" si="33"/>
        <v>0.73095870296944732</v>
      </c>
      <c r="O105" s="4">
        <f t="shared" si="33"/>
        <v>0.72496412551077705</v>
      </c>
      <c r="P105" s="4">
        <f t="shared" si="33"/>
        <v>0.71905092240674928</v>
      </c>
      <c r="Q105" s="4">
        <f t="shared" si="33"/>
        <v>0.71320824374341174</v>
      </c>
      <c r="R105" s="4">
        <f t="shared" si="33"/>
        <v>-0.44705985449240176</v>
      </c>
      <c r="S105" s="4">
        <f t="shared" si="33"/>
        <v>-0.44970180853979769</v>
      </c>
      <c r="T105" s="4">
        <f t="shared" si="33"/>
        <v>-0.45234376258719355</v>
      </c>
      <c r="U105" s="4">
        <f t="shared" si="33"/>
        <v>-0.45499114159156562</v>
      </c>
      <c r="V105" s="4">
        <f t="shared" si="33"/>
        <v>0.74375075151926151</v>
      </c>
      <c r="W105" s="4">
        <f t="shared" si="33"/>
        <v>0.73792434772685245</v>
      </c>
      <c r="X105" s="4">
        <f t="shared" si="33"/>
        <v>0.73217931828908611</v>
      </c>
      <c r="Y105" s="4">
        <f t="shared" si="33"/>
        <v>0.72650481329200989</v>
      </c>
      <c r="Z105" s="4">
        <f t="shared" si="33"/>
        <v>0.72090625769260019</v>
      </c>
      <c r="AA105" s="4">
        <f t="shared" si="33"/>
        <v>0.7153945014048092</v>
      </c>
      <c r="AB105" s="4">
        <f t="shared" si="33"/>
        <v>0.70995326955770843</v>
      </c>
      <c r="AC105" s="4">
        <f t="shared" si="33"/>
        <v>0.70458798710827408</v>
      </c>
      <c r="AD105" s="4">
        <f t="shared" si="33"/>
        <v>0.69929322909952996</v>
      </c>
      <c r="AE105" s="4">
        <f t="shared" si="33"/>
        <v>0.69407984544542844</v>
      </c>
      <c r="AF105" s="4">
        <f t="shared" si="33"/>
        <v>0.68893698623201716</v>
      </c>
      <c r="AG105" s="4">
        <f t="shared" si="33"/>
        <v>0.68387007641627229</v>
      </c>
      <c r="AH105" s="4">
        <f t="shared" si="33"/>
        <v>0.67887369104121764</v>
      </c>
      <c r="AI105" s="4">
        <f t="shared" si="33"/>
        <v>0.67395325506382942</v>
      </c>
      <c r="AJ105" s="4">
        <f t="shared" si="33"/>
        <v>0.66910334352713152</v>
      </c>
      <c r="AK105" s="4">
        <f t="shared" si="33"/>
        <v>0.66432395643112374</v>
      </c>
      <c r="AL105" s="4">
        <f t="shared" si="33"/>
        <v>0.65961509377580629</v>
      </c>
      <c r="AM105" s="4">
        <f t="shared" si="33"/>
        <v>0.65498218051815515</v>
      </c>
      <c r="AN105" s="4">
        <f t="shared" si="33"/>
        <v>0.65041436674421815</v>
      </c>
      <c r="AO105" s="4">
        <f t="shared" si="33"/>
        <v>0.64592250236794757</v>
      </c>
      <c r="AP105" s="4">
        <f t="shared" si="33"/>
        <v>0.64149573747539101</v>
      </c>
      <c r="AQ105" s="4">
        <f t="shared" si="33"/>
        <v>0.63713949702352468</v>
      </c>
      <c r="AR105" s="4">
        <f t="shared" si="33"/>
        <v>0.63285378101234857</v>
      </c>
      <c r="AS105" s="4">
        <f t="shared" si="33"/>
        <v>0.6286331644848866</v>
      </c>
      <c r="AT105" s="4">
        <f t="shared" si="33"/>
        <v>0.62448307239811485</v>
      </c>
      <c r="AU105" s="4">
        <f t="shared" si="33"/>
        <v>0.62040350475203332</v>
      </c>
      <c r="AV105" s="4">
        <f t="shared" si="33"/>
        <v>59.074032825245133</v>
      </c>
      <c r="AW105" s="4">
        <f t="shared" si="33"/>
        <v>0</v>
      </c>
      <c r="AX105" s="4">
        <f t="shared" si="33"/>
        <v>0</v>
      </c>
      <c r="AY105" s="4">
        <f t="shared" si="33"/>
        <v>0</v>
      </c>
      <c r="AZ105" s="4">
        <f t="shared" si="33"/>
        <v>0</v>
      </c>
      <c r="BA105" s="4">
        <f t="shared" si="33"/>
        <v>0</v>
      </c>
      <c r="BB105" s="4">
        <f t="shared" si="33"/>
        <v>0</v>
      </c>
      <c r="BC105" s="4">
        <f t="shared" si="33"/>
        <v>0</v>
      </c>
      <c r="BD105" s="4">
        <f t="shared" si="33"/>
        <v>0</v>
      </c>
      <c r="BE105" s="4">
        <f t="shared" si="33"/>
        <v>0</v>
      </c>
      <c r="BF105" s="4">
        <f t="shared" si="33"/>
        <v>0</v>
      </c>
      <c r="BG105" s="4">
        <f t="shared" si="33"/>
        <v>0</v>
      </c>
      <c r="BH105" s="4">
        <f t="shared" si="33"/>
        <v>0</v>
      </c>
      <c r="BI105" s="4">
        <f t="shared" si="33"/>
        <v>0</v>
      </c>
      <c r="BJ105" s="4">
        <f t="shared" si="33"/>
        <v>0</v>
      </c>
      <c r="BK105" s="4">
        <f t="shared" si="33"/>
        <v>0</v>
      </c>
      <c r="BL105" s="4">
        <f t="shared" si="33"/>
        <v>0</v>
      </c>
    </row>
    <row r="106" spans="1:64" x14ac:dyDescent="0.35">
      <c r="A106" s="1"/>
      <c r="C106" s="2" t="s">
        <v>559</v>
      </c>
      <c r="D106" s="4">
        <f ca="1">D100</f>
        <v>3286.0796752929705</v>
      </c>
      <c r="E106" s="4">
        <f ca="1">E103-E104-E105</f>
        <v>3227.6605243900931</v>
      </c>
      <c r="F106" s="4">
        <f t="shared" ref="F106:BL106" ca="1" si="34">F103-F104-F105</f>
        <v>3168.5194872804104</v>
      </c>
      <c r="G106" s="4">
        <f t="shared" ca="1" si="34"/>
        <v>3108.647649324394</v>
      </c>
      <c r="H106" s="4">
        <f t="shared" ca="1" si="34"/>
        <v>3048.0359750471948</v>
      </c>
      <c r="I106" s="4">
        <f t="shared" ca="1" si="34"/>
        <v>2986.6753239572249</v>
      </c>
      <c r="J106" s="4">
        <f t="shared" ca="1" si="34"/>
        <v>2925.1339342847782</v>
      </c>
      <c r="K106" s="4">
        <f t="shared" ca="1" si="34"/>
        <v>2862.0257027666676</v>
      </c>
      <c r="L106" s="4">
        <f t="shared" ca="1" si="34"/>
        <v>2797.3232085286936</v>
      </c>
      <c r="M106" s="4">
        <f t="shared" ca="1" si="34"/>
        <v>2730.9986079344762</v>
      </c>
      <c r="N106" s="4">
        <f t="shared" ca="1" si="34"/>
        <v>2661.8217587995823</v>
      </c>
      <c r="O106" s="4">
        <f t="shared" ca="1" si="34"/>
        <v>2592.6412317788918</v>
      </c>
      <c r="P106" s="4">
        <f t="shared" ca="1" si="34"/>
        <v>2523.4484653605023</v>
      </c>
      <c r="Q106" s="4">
        <f t="shared" ca="1" si="34"/>
        <v>2454.2348869958419</v>
      </c>
      <c r="R106" s="4">
        <f t="shared" ca="1" si="34"/>
        <v>2386.1463982597588</v>
      </c>
      <c r="S106" s="4">
        <f t="shared" ca="1" si="34"/>
        <v>2316.4104963293007</v>
      </c>
      <c r="T106" s="4">
        <f t="shared" ca="1" si="34"/>
        <v>2244.9987600271093</v>
      </c>
      <c r="U106" s="4">
        <f t="shared" ca="1" si="34"/>
        <v>2171.8823416412988</v>
      </c>
      <c r="V106" s="4">
        <f t="shared" ca="1" si="34"/>
        <v>2095.8305620375077</v>
      </c>
      <c r="W106" s="4">
        <f t="shared" ca="1" si="34"/>
        <v>2019.689806781734</v>
      </c>
      <c r="X106" s="4">
        <f t="shared" ca="1" si="34"/>
        <v>1943.4504658856476</v>
      </c>
      <c r="Y106" s="4">
        <f t="shared" ca="1" si="34"/>
        <v>1867.1029054341291</v>
      </c>
      <c r="Z106" s="4">
        <f t="shared" ca="1" si="34"/>
        <v>1790.6374505053686</v>
      </c>
      <c r="AA106" s="4">
        <f t="shared" ca="1" si="34"/>
        <v>1714.0443783568662</v>
      </c>
      <c r="AB106" s="4">
        <f t="shared" ca="1" si="34"/>
        <v>1637.3139457653892</v>
      </c>
      <c r="AC106" s="4">
        <f t="shared" ca="1" si="34"/>
        <v>1560.4363635556608</v>
      </c>
      <c r="AD106" s="4">
        <f t="shared" ca="1" si="34"/>
        <v>1483.4018080544643</v>
      </c>
      <c r="AE106" s="4">
        <f t="shared" ca="1" si="34"/>
        <v>1406.2004025510364</v>
      </c>
      <c r="AF106" s="4">
        <f t="shared" ca="1" si="34"/>
        <v>1328.8222388381757</v>
      </c>
      <c r="AG106" s="4">
        <f t="shared" ca="1" si="34"/>
        <v>1251.257357382694</v>
      </c>
      <c r="AH106" s="4">
        <f t="shared" ca="1" si="34"/>
        <v>1173.4957597586467</v>
      </c>
      <c r="AI106" s="4">
        <f t="shared" ca="1" si="34"/>
        <v>1095.5273941526495</v>
      </c>
      <c r="AJ106" s="4">
        <f t="shared" ca="1" si="34"/>
        <v>1017.342166430592</v>
      </c>
      <c r="AK106" s="4">
        <f t="shared" ca="1" si="34"/>
        <v>938.92993205410812</v>
      </c>
      <c r="AL106" s="4">
        <f t="shared" ca="1" si="34"/>
        <v>860.28049534517777</v>
      </c>
      <c r="AM106" s="4">
        <f t="shared" ca="1" si="34"/>
        <v>781.38360332470359</v>
      </c>
      <c r="AN106" s="4">
        <f t="shared" ca="1" si="34"/>
        <v>702.2289594730621</v>
      </c>
      <c r="AO106" s="4">
        <f t="shared" ca="1" si="34"/>
        <v>622.80620108836979</v>
      </c>
      <c r="AP106" s="4">
        <f t="shared" ca="1" si="34"/>
        <v>543.10491971444799</v>
      </c>
      <c r="AQ106" s="4">
        <f t="shared" ca="1" si="34"/>
        <v>463.11464357102136</v>
      </c>
      <c r="AR106" s="4">
        <f t="shared" ca="1" si="34"/>
        <v>382.82484142967422</v>
      </c>
      <c r="AS106" s="4">
        <f t="shared" ca="1" si="34"/>
        <v>302.22492655732771</v>
      </c>
      <c r="AT106" s="4">
        <f t="shared" ca="1" si="34"/>
        <v>221.3042444532868</v>
      </c>
      <c r="AU106" s="4">
        <f t="shared" ca="1" si="34"/>
        <v>140.05207668640892</v>
      </c>
      <c r="AV106" s="4">
        <f t="shared" ca="1" si="34"/>
        <v>1.0102780905185682E-6</v>
      </c>
      <c r="AW106" s="4">
        <f t="shared" ca="1" si="34"/>
        <v>1.0254322618763466E-6</v>
      </c>
      <c r="AX106" s="4">
        <f t="shared" ca="1" si="34"/>
        <v>1.0408137458044918E-6</v>
      </c>
      <c r="AY106" s="4">
        <f t="shared" ca="1" si="34"/>
        <v>1.0564259519915592E-6</v>
      </c>
      <c r="AZ106" s="4">
        <f t="shared" ca="1" si="34"/>
        <v>1.0722723412714326E-6</v>
      </c>
      <c r="BA106" s="4">
        <f t="shared" ca="1" si="34"/>
        <v>1.0883564263905042E-6</v>
      </c>
      <c r="BB106" s="4">
        <f t="shared" ca="1" si="34"/>
        <v>1.1046817727863618E-6</v>
      </c>
      <c r="BC106" s="4">
        <f t="shared" ca="1" si="34"/>
        <v>1.1212519993781572E-6</v>
      </c>
      <c r="BD106" s="4">
        <f t="shared" ca="1" si="34"/>
        <v>1.1380707793688296E-6</v>
      </c>
      <c r="BE106" s="4">
        <f t="shared" ca="1" si="34"/>
        <v>1.155141841059362E-6</v>
      </c>
      <c r="BF106" s="4">
        <f t="shared" ca="1" si="34"/>
        <v>1.1724689686752524E-6</v>
      </c>
      <c r="BG106" s="4">
        <f t="shared" ca="1" si="34"/>
        <v>1.1900560032053811E-6</v>
      </c>
      <c r="BH106" s="4">
        <f t="shared" ca="1" si="34"/>
        <v>1.207906843253462E-6</v>
      </c>
      <c r="BI106" s="4">
        <f t="shared" ca="1" si="34"/>
        <v>1.2260254459022638E-6</v>
      </c>
      <c r="BJ106" s="4">
        <f t="shared" ca="1" si="34"/>
        <v>1.2444158275907977E-6</v>
      </c>
      <c r="BK106" s="4">
        <f t="shared" ca="1" si="34"/>
        <v>1.2630820650046596E-6</v>
      </c>
      <c r="BL106" s="4">
        <f t="shared" ca="1" si="34"/>
        <v>1.2820282959797296E-6</v>
      </c>
    </row>
    <row r="107" spans="1:64" x14ac:dyDescent="0.35">
      <c r="A107" s="1"/>
      <c r="C107" s="2" t="s">
        <v>72</v>
      </c>
      <c r="D107" s="4"/>
      <c r="E107" s="12">
        <f t="shared" ref="E107:AJ107" si="35">E56</f>
        <v>1.4999999999999999E-2</v>
      </c>
      <c r="F107" s="12">
        <f t="shared" si="35"/>
        <v>1.4999999999999999E-2</v>
      </c>
      <c r="G107" s="12">
        <f t="shared" si="35"/>
        <v>1.4999999999999999E-2</v>
      </c>
      <c r="H107" s="12">
        <f t="shared" si="35"/>
        <v>1.4999999999999999E-2</v>
      </c>
      <c r="I107" s="12">
        <f t="shared" si="35"/>
        <v>1.4999999999999999E-2</v>
      </c>
      <c r="J107" s="12">
        <f t="shared" si="35"/>
        <v>1.4999999999999999E-2</v>
      </c>
      <c r="K107" s="12">
        <f t="shared" si="35"/>
        <v>1.4999999999999999E-2</v>
      </c>
      <c r="L107" s="12">
        <f t="shared" si="35"/>
        <v>1.4999999999999999E-2</v>
      </c>
      <c r="M107" s="12">
        <f t="shared" si="35"/>
        <v>1.4999999999999999E-2</v>
      </c>
      <c r="N107" s="12">
        <f t="shared" si="35"/>
        <v>1.4999999999999999E-2</v>
      </c>
      <c r="O107" s="12">
        <f t="shared" si="35"/>
        <v>1.4999999999999999E-2</v>
      </c>
      <c r="P107" s="12">
        <f t="shared" si="35"/>
        <v>1.4999999999999999E-2</v>
      </c>
      <c r="Q107" s="12">
        <f t="shared" si="35"/>
        <v>1.4999999999999999E-2</v>
      </c>
      <c r="R107" s="12">
        <f t="shared" si="35"/>
        <v>1.4999999999999999E-2</v>
      </c>
      <c r="S107" s="12">
        <f t="shared" si="35"/>
        <v>1.4999999999999999E-2</v>
      </c>
      <c r="T107" s="12">
        <f t="shared" si="35"/>
        <v>1.4999999999999999E-2</v>
      </c>
      <c r="U107" s="12">
        <f t="shared" si="35"/>
        <v>1.4999999999999999E-2</v>
      </c>
      <c r="V107" s="12">
        <f t="shared" si="35"/>
        <v>1.4999999999999999E-2</v>
      </c>
      <c r="W107" s="12">
        <f t="shared" si="35"/>
        <v>1.4999999999999999E-2</v>
      </c>
      <c r="X107" s="12">
        <f t="shared" si="35"/>
        <v>1.4999999999999999E-2</v>
      </c>
      <c r="Y107" s="12">
        <f t="shared" si="35"/>
        <v>1.4999999999999999E-2</v>
      </c>
      <c r="Z107" s="12">
        <f t="shared" si="35"/>
        <v>1.4999999999999999E-2</v>
      </c>
      <c r="AA107" s="12">
        <f t="shared" si="35"/>
        <v>1.4999999999999999E-2</v>
      </c>
      <c r="AB107" s="12">
        <f t="shared" si="35"/>
        <v>1.4999999999999999E-2</v>
      </c>
      <c r="AC107" s="12">
        <f t="shared" si="35"/>
        <v>1.4999999999999999E-2</v>
      </c>
      <c r="AD107" s="12">
        <f t="shared" si="35"/>
        <v>1.4999999999999999E-2</v>
      </c>
      <c r="AE107" s="12">
        <f t="shared" si="35"/>
        <v>1.4999999999999999E-2</v>
      </c>
      <c r="AF107" s="12">
        <f t="shared" si="35"/>
        <v>1.4999999999999999E-2</v>
      </c>
      <c r="AG107" s="12">
        <f t="shared" si="35"/>
        <v>1.4999999999999999E-2</v>
      </c>
      <c r="AH107" s="12">
        <f t="shared" si="35"/>
        <v>1.4999999999999999E-2</v>
      </c>
      <c r="AI107" s="12">
        <f t="shared" si="35"/>
        <v>1.4999999999999999E-2</v>
      </c>
      <c r="AJ107" s="12">
        <f t="shared" si="35"/>
        <v>1.4999999999999999E-2</v>
      </c>
      <c r="AK107" s="12">
        <f t="shared" ref="AK107:BL107" si="36">AK56</f>
        <v>1.4999999999999999E-2</v>
      </c>
      <c r="AL107" s="12">
        <f t="shared" si="36"/>
        <v>1.4999999999999999E-2</v>
      </c>
      <c r="AM107" s="12">
        <f t="shared" si="36"/>
        <v>1.4999999999999999E-2</v>
      </c>
      <c r="AN107" s="12">
        <f t="shared" si="36"/>
        <v>1.4999999999999999E-2</v>
      </c>
      <c r="AO107" s="12">
        <f t="shared" si="36"/>
        <v>1.4999999999999999E-2</v>
      </c>
      <c r="AP107" s="12">
        <f t="shared" si="36"/>
        <v>1.4999999999999999E-2</v>
      </c>
      <c r="AQ107" s="12">
        <f t="shared" si="36"/>
        <v>1.4999999999999999E-2</v>
      </c>
      <c r="AR107" s="12">
        <f t="shared" si="36"/>
        <v>1.4999999999999999E-2</v>
      </c>
      <c r="AS107" s="12">
        <f t="shared" si="36"/>
        <v>1.4999999999999999E-2</v>
      </c>
      <c r="AT107" s="12">
        <f t="shared" si="36"/>
        <v>1.4999999999999999E-2</v>
      </c>
      <c r="AU107" s="12">
        <f t="shared" si="36"/>
        <v>1.4999999999999999E-2</v>
      </c>
      <c r="AV107" s="12">
        <f t="shared" si="36"/>
        <v>1.4999999999999999E-2</v>
      </c>
      <c r="AW107" s="12">
        <f t="shared" si="36"/>
        <v>1.4999999999999999E-2</v>
      </c>
      <c r="AX107" s="12">
        <f t="shared" si="36"/>
        <v>1.4999999999999999E-2</v>
      </c>
      <c r="AY107" s="12">
        <f t="shared" si="36"/>
        <v>1.4999999999999999E-2</v>
      </c>
      <c r="AZ107" s="12">
        <f t="shared" si="36"/>
        <v>1.4999999999999999E-2</v>
      </c>
      <c r="BA107" s="12">
        <f t="shared" si="36"/>
        <v>1.4999999999999999E-2</v>
      </c>
      <c r="BB107" s="12">
        <f t="shared" si="36"/>
        <v>1.4999999999999999E-2</v>
      </c>
      <c r="BC107" s="12">
        <f t="shared" si="36"/>
        <v>1.4999999999999999E-2</v>
      </c>
      <c r="BD107" s="12">
        <f t="shared" si="36"/>
        <v>1.4999999999999999E-2</v>
      </c>
      <c r="BE107" s="12">
        <f t="shared" si="36"/>
        <v>1.4999999999999999E-2</v>
      </c>
      <c r="BF107" s="12">
        <f t="shared" si="36"/>
        <v>1.4999999999999999E-2</v>
      </c>
      <c r="BG107" s="12">
        <f t="shared" si="36"/>
        <v>1.4999999999999999E-2</v>
      </c>
      <c r="BH107" s="12">
        <f t="shared" si="36"/>
        <v>1.4999999999999999E-2</v>
      </c>
      <c r="BI107" s="12">
        <f t="shared" si="36"/>
        <v>1.4999999999999999E-2</v>
      </c>
      <c r="BJ107" s="12">
        <f t="shared" si="36"/>
        <v>1.4999999999999999E-2</v>
      </c>
      <c r="BK107" s="12">
        <f t="shared" si="36"/>
        <v>1.4999999999999999E-2</v>
      </c>
      <c r="BL107" s="12">
        <f t="shared" si="36"/>
        <v>1.4999999999999999E-2</v>
      </c>
    </row>
    <row r="108" spans="1:64" x14ac:dyDescent="0.35">
      <c r="A108" s="1"/>
      <c r="C108" s="2" t="s">
        <v>310</v>
      </c>
      <c r="E108" s="4">
        <f ca="1">E103*E107</f>
        <v>49.291195129394552</v>
      </c>
      <c r="F108" s="4">
        <f t="shared" ref="F108:BL108" ca="1" si="37">F103*F107</f>
        <v>48.414907865851397</v>
      </c>
      <c r="G108" s="4">
        <f t="shared" ca="1" si="37"/>
        <v>47.527792309206156</v>
      </c>
      <c r="H108" s="4">
        <f t="shared" ca="1" si="37"/>
        <v>46.629714739865911</v>
      </c>
      <c r="I108" s="4">
        <f t="shared" ca="1" si="37"/>
        <v>45.720539625707922</v>
      </c>
      <c r="J108" s="4">
        <f t="shared" ca="1" si="37"/>
        <v>44.800129859358371</v>
      </c>
      <c r="K108" s="4">
        <f t="shared" ca="1" si="37"/>
        <v>43.877009014271671</v>
      </c>
      <c r="L108" s="4">
        <f t="shared" ca="1" si="37"/>
        <v>42.930385541500009</v>
      </c>
      <c r="M108" s="4">
        <f t="shared" ca="1" si="37"/>
        <v>41.9598481279304</v>
      </c>
      <c r="N108" s="4">
        <f t="shared" ca="1" si="37"/>
        <v>40.964979119017144</v>
      </c>
      <c r="O108" s="4">
        <f t="shared" ca="1" si="37"/>
        <v>39.92732638199373</v>
      </c>
      <c r="P108" s="4">
        <f t="shared" ca="1" si="37"/>
        <v>38.889618476683374</v>
      </c>
      <c r="Q108" s="4">
        <f t="shared" ca="1" si="37"/>
        <v>37.851726980407534</v>
      </c>
      <c r="R108" s="4">
        <f t="shared" ca="1" si="37"/>
        <v>36.813523304937625</v>
      </c>
      <c r="S108" s="4">
        <f t="shared" ca="1" si="37"/>
        <v>35.792195973896384</v>
      </c>
      <c r="T108" s="4">
        <f t="shared" ca="1" si="37"/>
        <v>34.746157444939506</v>
      </c>
      <c r="U108" s="4">
        <f t="shared" ca="1" si="37"/>
        <v>33.674981400406637</v>
      </c>
      <c r="V108" s="4">
        <f t="shared" ca="1" si="37"/>
        <v>32.578235124619482</v>
      </c>
      <c r="W108" s="4">
        <f t="shared" ca="1" si="37"/>
        <v>31.437458430562614</v>
      </c>
      <c r="X108" s="4">
        <f t="shared" ca="1" si="37"/>
        <v>30.295347101726009</v>
      </c>
      <c r="Y108" s="4">
        <f t="shared" ca="1" si="37"/>
        <v>29.151756988284713</v>
      </c>
      <c r="Z108" s="4">
        <f t="shared" ca="1" si="37"/>
        <v>28.006543581511934</v>
      </c>
      <c r="AA108" s="4">
        <f t="shared" ca="1" si="37"/>
        <v>26.859561757580529</v>
      </c>
      <c r="AB108" s="4">
        <f t="shared" ca="1" si="37"/>
        <v>25.710665675352992</v>
      </c>
      <c r="AC108" s="4">
        <f t="shared" ca="1" si="37"/>
        <v>24.559709186480838</v>
      </c>
      <c r="AD108" s="4">
        <f t="shared" ca="1" si="37"/>
        <v>23.40654545333491</v>
      </c>
      <c r="AE108" s="4">
        <f t="shared" ca="1" si="37"/>
        <v>22.251027120816964</v>
      </c>
      <c r="AF108" s="4">
        <f t="shared" ca="1" si="37"/>
        <v>21.093006038265546</v>
      </c>
      <c r="AG108" s="4">
        <f t="shared" ca="1" si="37"/>
        <v>19.932333582572635</v>
      </c>
      <c r="AH108" s="4">
        <f t="shared" ca="1" si="37"/>
        <v>18.768860360740408</v>
      </c>
      <c r="AI108" s="4">
        <f t="shared" ca="1" si="37"/>
        <v>17.602436396379701</v>
      </c>
      <c r="AJ108" s="4">
        <f t="shared" ca="1" si="37"/>
        <v>16.432910912289742</v>
      </c>
      <c r="AK108" s="4">
        <f t="shared" ca="1" si="37"/>
        <v>15.26013249645888</v>
      </c>
      <c r="AL108" s="4">
        <f t="shared" ca="1" si="37"/>
        <v>14.083948980811622</v>
      </c>
      <c r="AM108" s="4">
        <f t="shared" ca="1" si="37"/>
        <v>12.904207430177665</v>
      </c>
      <c r="AN108" s="4">
        <f t="shared" ca="1" si="37"/>
        <v>11.720754049870553</v>
      </c>
      <c r="AO108" s="4">
        <f t="shared" ca="1" si="37"/>
        <v>10.533434392095931</v>
      </c>
      <c r="AP108" s="4">
        <f t="shared" ca="1" si="37"/>
        <v>9.3420930163255473</v>
      </c>
      <c r="AQ108" s="4">
        <f t="shared" ca="1" si="37"/>
        <v>8.1465737957167192</v>
      </c>
      <c r="AR108" s="4">
        <f t="shared" ca="1" si="37"/>
        <v>6.94671965356532</v>
      </c>
      <c r="AS108" s="4">
        <f t="shared" ca="1" si="37"/>
        <v>5.7423726214451127</v>
      </c>
      <c r="AT108" s="4">
        <f t="shared" ca="1" si="37"/>
        <v>4.5333738983599154</v>
      </c>
      <c r="AU108" s="4">
        <f t="shared" ca="1" si="37"/>
        <v>3.319563666799302</v>
      </c>
      <c r="AV108" s="4">
        <f t="shared" ca="1" si="37"/>
        <v>2.1007811502961338</v>
      </c>
      <c r="AW108" s="4">
        <f t="shared" ca="1" si="37"/>
        <v>1.5154171357778524E-8</v>
      </c>
      <c r="AX108" s="4">
        <f t="shared" ca="1" si="37"/>
        <v>1.5381483928145198E-8</v>
      </c>
      <c r="AY108" s="4">
        <f t="shared" ca="1" si="37"/>
        <v>1.5612206187067376E-8</v>
      </c>
      <c r="AZ108" s="4">
        <f t="shared" ca="1" si="37"/>
        <v>1.5846389279873387E-8</v>
      </c>
      <c r="BA108" s="4">
        <f t="shared" ca="1" si="37"/>
        <v>1.6084085119071489E-8</v>
      </c>
      <c r="BB108" s="4">
        <f t="shared" ca="1" si="37"/>
        <v>1.6325346395857562E-8</v>
      </c>
      <c r="BC108" s="4">
        <f t="shared" ca="1" si="37"/>
        <v>1.6570226591795425E-8</v>
      </c>
      <c r="BD108" s="4">
        <f t="shared" ca="1" si="37"/>
        <v>1.6818779990672357E-8</v>
      </c>
      <c r="BE108" s="4">
        <f t="shared" ca="1" si="37"/>
        <v>1.7071061690532444E-8</v>
      </c>
      <c r="BF108" s="4">
        <f t="shared" ca="1" si="37"/>
        <v>1.7327127615890429E-8</v>
      </c>
      <c r="BG108" s="4">
        <f t="shared" ca="1" si="37"/>
        <v>1.7587034530128787E-8</v>
      </c>
      <c r="BH108" s="4">
        <f t="shared" ca="1" si="37"/>
        <v>1.7850840048080718E-8</v>
      </c>
      <c r="BI108" s="4">
        <f t="shared" ca="1" si="37"/>
        <v>1.811860264880193E-8</v>
      </c>
      <c r="BJ108" s="4">
        <f t="shared" ca="1" si="37"/>
        <v>1.8390381688533955E-8</v>
      </c>
      <c r="BK108" s="4">
        <f t="shared" ca="1" si="37"/>
        <v>1.8666237413861965E-8</v>
      </c>
      <c r="BL108" s="4">
        <f t="shared" ca="1" si="37"/>
        <v>1.8946230975069892E-8</v>
      </c>
    </row>
    <row r="109" spans="1:64" x14ac:dyDescent="0.35">
      <c r="A109" s="1"/>
      <c r="E109" s="26"/>
      <c r="F109" s="26"/>
      <c r="G109" s="26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/>
      <c r="BF109" s="4"/>
      <c r="BG109" s="4"/>
      <c r="BH109" s="4"/>
      <c r="BI109" s="4"/>
      <c r="BJ109" s="4"/>
      <c r="BK109" s="4"/>
      <c r="BL109" s="4"/>
    </row>
    <row r="110" spans="1:64" x14ac:dyDescent="0.35">
      <c r="A110" s="1"/>
      <c r="C110" s="2" t="s">
        <v>302</v>
      </c>
      <c r="D110" s="4">
        <f ca="1">SUMIF(44:44,FALSE,103:103)</f>
        <v>1.8116680364077428E-5</v>
      </c>
    </row>
    <row r="111" spans="1:64" x14ac:dyDescent="0.35">
      <c r="A111" s="1"/>
      <c r="C111" s="2" t="s">
        <v>303</v>
      </c>
      <c r="D111" s="4">
        <f ca="1">SUMIF(42:42,D14*2,106:106)</f>
        <v>1.0102780905185682E-6</v>
      </c>
    </row>
    <row r="112" spans="1:64" x14ac:dyDescent="0.35">
      <c r="A112" s="1"/>
    </row>
    <row r="113" spans="1:64" s="40" customFormat="1" x14ac:dyDescent="0.35">
      <c r="A113" s="40" t="s">
        <v>553</v>
      </c>
    </row>
    <row r="114" spans="1:64" x14ac:dyDescent="0.35">
      <c r="A114" s="1"/>
      <c r="C114" s="2" t="s">
        <v>555</v>
      </c>
      <c r="D114" s="2" t="b">
        <f>D16</f>
        <v>0</v>
      </c>
      <c r="E114" s="2" t="b">
        <f>$D$114</f>
        <v>0</v>
      </c>
      <c r="F114" s="2" t="b">
        <f t="shared" ref="F114:BL114" si="38">$D$114</f>
        <v>0</v>
      </c>
      <c r="G114" s="2" t="b">
        <f t="shared" si="38"/>
        <v>0</v>
      </c>
      <c r="H114" s="2" t="b">
        <f t="shared" si="38"/>
        <v>0</v>
      </c>
      <c r="I114" s="2" t="b">
        <f t="shared" si="38"/>
        <v>0</v>
      </c>
      <c r="J114" s="2" t="b">
        <f t="shared" si="38"/>
        <v>0</v>
      </c>
      <c r="K114" s="2" t="b">
        <f t="shared" si="38"/>
        <v>0</v>
      </c>
      <c r="L114" s="2" t="b">
        <f t="shared" si="38"/>
        <v>0</v>
      </c>
      <c r="M114" s="2" t="b">
        <f t="shared" si="38"/>
        <v>0</v>
      </c>
      <c r="N114" s="2" t="b">
        <f t="shared" si="38"/>
        <v>0</v>
      </c>
      <c r="O114" s="2" t="b">
        <f t="shared" si="38"/>
        <v>0</v>
      </c>
      <c r="P114" s="2" t="b">
        <f t="shared" si="38"/>
        <v>0</v>
      </c>
      <c r="Q114" s="2" t="b">
        <f t="shared" si="38"/>
        <v>0</v>
      </c>
      <c r="R114" s="2" t="b">
        <f t="shared" si="38"/>
        <v>0</v>
      </c>
      <c r="S114" s="2" t="b">
        <f t="shared" si="38"/>
        <v>0</v>
      </c>
      <c r="T114" s="2" t="b">
        <f t="shared" si="38"/>
        <v>0</v>
      </c>
      <c r="U114" s="2" t="b">
        <f t="shared" si="38"/>
        <v>0</v>
      </c>
      <c r="V114" s="2" t="b">
        <f t="shared" si="38"/>
        <v>0</v>
      </c>
      <c r="W114" s="2" t="b">
        <f t="shared" si="38"/>
        <v>0</v>
      </c>
      <c r="X114" s="2" t="b">
        <f t="shared" si="38"/>
        <v>0</v>
      </c>
      <c r="Y114" s="2" t="b">
        <f t="shared" si="38"/>
        <v>0</v>
      </c>
      <c r="Z114" s="2" t="b">
        <f t="shared" si="38"/>
        <v>0</v>
      </c>
      <c r="AA114" s="2" t="b">
        <f t="shared" si="38"/>
        <v>0</v>
      </c>
      <c r="AB114" s="2" t="b">
        <f t="shared" si="38"/>
        <v>0</v>
      </c>
      <c r="AC114" s="2" t="b">
        <f t="shared" si="38"/>
        <v>0</v>
      </c>
      <c r="AD114" s="2" t="b">
        <f t="shared" si="38"/>
        <v>0</v>
      </c>
      <c r="AE114" s="2" t="b">
        <f t="shared" si="38"/>
        <v>0</v>
      </c>
      <c r="AF114" s="2" t="b">
        <f t="shared" si="38"/>
        <v>0</v>
      </c>
      <c r="AG114" s="2" t="b">
        <f t="shared" si="38"/>
        <v>0</v>
      </c>
      <c r="AH114" s="2" t="b">
        <f t="shared" si="38"/>
        <v>0</v>
      </c>
      <c r="AI114" s="2" t="b">
        <f t="shared" si="38"/>
        <v>0</v>
      </c>
      <c r="AJ114" s="2" t="b">
        <f t="shared" si="38"/>
        <v>0</v>
      </c>
      <c r="AK114" s="2" t="b">
        <f t="shared" si="38"/>
        <v>0</v>
      </c>
      <c r="AL114" s="2" t="b">
        <f t="shared" si="38"/>
        <v>0</v>
      </c>
      <c r="AM114" s="2" t="b">
        <f t="shared" si="38"/>
        <v>0</v>
      </c>
      <c r="AN114" s="2" t="b">
        <f t="shared" si="38"/>
        <v>0</v>
      </c>
      <c r="AO114" s="2" t="b">
        <f t="shared" si="38"/>
        <v>0</v>
      </c>
      <c r="AP114" s="2" t="b">
        <f t="shared" si="38"/>
        <v>0</v>
      </c>
      <c r="AQ114" s="2" t="b">
        <f t="shared" si="38"/>
        <v>0</v>
      </c>
      <c r="AR114" s="2" t="b">
        <f t="shared" si="38"/>
        <v>0</v>
      </c>
      <c r="AS114" s="2" t="b">
        <f t="shared" si="38"/>
        <v>0</v>
      </c>
      <c r="AT114" s="2" t="b">
        <f t="shared" si="38"/>
        <v>0</v>
      </c>
      <c r="AU114" s="2" t="b">
        <f t="shared" si="38"/>
        <v>0</v>
      </c>
      <c r="AV114" s="2" t="b">
        <f t="shared" si="38"/>
        <v>0</v>
      </c>
      <c r="AW114" s="2" t="b">
        <f t="shared" si="38"/>
        <v>0</v>
      </c>
      <c r="AX114" s="2" t="b">
        <f t="shared" si="38"/>
        <v>0</v>
      </c>
      <c r="AY114" s="2" t="b">
        <f t="shared" si="38"/>
        <v>0</v>
      </c>
      <c r="AZ114" s="2" t="b">
        <f t="shared" si="38"/>
        <v>0</v>
      </c>
      <c r="BA114" s="2" t="b">
        <f t="shared" si="38"/>
        <v>0</v>
      </c>
      <c r="BB114" s="2" t="b">
        <f t="shared" si="38"/>
        <v>0</v>
      </c>
      <c r="BC114" s="2" t="b">
        <f t="shared" si="38"/>
        <v>0</v>
      </c>
      <c r="BD114" s="2" t="b">
        <f t="shared" si="38"/>
        <v>0</v>
      </c>
      <c r="BE114" s="2" t="b">
        <f t="shared" si="38"/>
        <v>0</v>
      </c>
      <c r="BF114" s="2" t="b">
        <f t="shared" si="38"/>
        <v>0</v>
      </c>
      <c r="BG114" s="2" t="b">
        <f t="shared" si="38"/>
        <v>0</v>
      </c>
      <c r="BH114" s="2" t="b">
        <f t="shared" si="38"/>
        <v>0</v>
      </c>
      <c r="BI114" s="2" t="b">
        <f t="shared" si="38"/>
        <v>0</v>
      </c>
      <c r="BJ114" s="2" t="b">
        <f t="shared" si="38"/>
        <v>0</v>
      </c>
      <c r="BK114" s="2" t="b">
        <f t="shared" si="38"/>
        <v>0</v>
      </c>
      <c r="BL114" s="2" t="b">
        <f t="shared" si="38"/>
        <v>0</v>
      </c>
    </row>
    <row r="115" spans="1:64" x14ac:dyDescent="0.35">
      <c r="A115" s="1"/>
    </row>
    <row r="116" spans="1:64" x14ac:dyDescent="0.35">
      <c r="A116" s="1"/>
      <c r="C116" s="2" t="s">
        <v>5</v>
      </c>
      <c r="E116" s="4">
        <f>D118</f>
        <v>107.59959411621094</v>
      </c>
      <c r="F116" s="4">
        <f t="shared" ref="F116:BL116" si="39">E118</f>
        <v>107.44382476806641</v>
      </c>
      <c r="G116" s="4">
        <f t="shared" si="39"/>
        <v>107.28612518310547</v>
      </c>
      <c r="H116" s="4">
        <f t="shared" si="39"/>
        <v>107.12648010253906</v>
      </c>
      <c r="I116" s="4">
        <f t="shared" si="39"/>
        <v>106.96485900878906</v>
      </c>
      <c r="J116" s="4">
        <f t="shared" si="39"/>
        <v>106.80123901367188</v>
      </c>
      <c r="K116" s="4">
        <f t="shared" si="39"/>
        <v>107.44775390625</v>
      </c>
      <c r="L116" s="4">
        <f t="shared" si="39"/>
        <v>108.09819030761719</v>
      </c>
      <c r="M116" s="4">
        <f t="shared" si="39"/>
        <v>108.7525634765625</v>
      </c>
      <c r="N116" s="4">
        <f t="shared" si="39"/>
        <v>109.41088104248047</v>
      </c>
      <c r="O116" s="4">
        <f t="shared" si="39"/>
        <v>108.38289642333984</v>
      </c>
      <c r="P116" s="4">
        <f t="shared" si="39"/>
        <v>107.36334228515625</v>
      </c>
      <c r="Q116" s="4">
        <f t="shared" si="39"/>
        <v>106.35210418701172</v>
      </c>
      <c r="R116" s="4">
        <f t="shared" si="39"/>
        <v>105.34908294677734</v>
      </c>
      <c r="S116" s="4">
        <f t="shared" si="39"/>
        <v>105.97780609130859</v>
      </c>
      <c r="T116" s="4">
        <f t="shared" si="39"/>
        <v>106.61024475097656</v>
      </c>
      <c r="U116" s="4">
        <f t="shared" si="39"/>
        <v>107.24639892578125</v>
      </c>
      <c r="V116" s="4">
        <f t="shared" si="39"/>
        <v>107.88627624511719</v>
      </c>
      <c r="W116" s="4">
        <f t="shared" si="39"/>
        <v>106.84030151367188</v>
      </c>
      <c r="X116" s="4">
        <f t="shared" si="39"/>
        <v>105.80252075195313</v>
      </c>
      <c r="Y116" s="4">
        <f t="shared" si="39"/>
        <v>104.77281951904297</v>
      </c>
      <c r="Z116" s="4">
        <f t="shared" si="39"/>
        <v>103.7510986328125</v>
      </c>
      <c r="AA116" s="4">
        <f t="shared" si="39"/>
        <v>102.73725128173828</v>
      </c>
      <c r="AB116" s="4">
        <f t="shared" si="39"/>
        <v>101.73115539550781</v>
      </c>
      <c r="AC116" s="4">
        <f t="shared" si="39"/>
        <v>100.73271179199219</v>
      </c>
      <c r="AD116" s="4">
        <f t="shared" si="39"/>
        <v>99.741813659667969</v>
      </c>
      <c r="AE116" s="4">
        <f t="shared" si="39"/>
        <v>98.75836181640625</v>
      </c>
      <c r="AF116" s="4">
        <f t="shared" si="39"/>
        <v>97.782241821289063</v>
      </c>
      <c r="AG116" s="4">
        <f t="shared" si="39"/>
        <v>96.8133544921875</v>
      </c>
      <c r="AH116" s="4">
        <f t="shared" si="39"/>
        <v>95.851593017578125</v>
      </c>
      <c r="AI116" s="4">
        <f t="shared" si="39"/>
        <v>94.896858215332031</v>
      </c>
      <c r="AJ116" s="4">
        <f t="shared" si="39"/>
        <v>93.949043273925781</v>
      </c>
      <c r="AK116" s="4">
        <f t="shared" si="39"/>
        <v>93.008049011230469</v>
      </c>
      <c r="AL116" s="4">
        <f t="shared" si="39"/>
        <v>92.073776245117188</v>
      </c>
      <c r="AM116" s="4">
        <f t="shared" si="39"/>
        <v>91.146125793457031</v>
      </c>
      <c r="AN116" s="4">
        <f t="shared" si="39"/>
        <v>90.224990844726563</v>
      </c>
      <c r="AO116" s="4">
        <f t="shared" si="39"/>
        <v>89.310279846191406</v>
      </c>
      <c r="AP116" s="4">
        <f t="shared" si="39"/>
        <v>88.401885986328125</v>
      </c>
      <c r="AQ116" s="4">
        <f t="shared" si="39"/>
        <v>87.499717712402344</v>
      </c>
      <c r="AR116" s="4">
        <f t="shared" si="39"/>
        <v>86.603675842285156</v>
      </c>
      <c r="AS116" s="4">
        <f t="shared" si="39"/>
        <v>85.713661193847656</v>
      </c>
      <c r="AT116" s="4">
        <f t="shared" si="39"/>
        <v>84.829582214355469</v>
      </c>
      <c r="AU116" s="4">
        <f t="shared" si="39"/>
        <v>83.951339721679688</v>
      </c>
      <c r="AV116" s="4">
        <f t="shared" si="39"/>
        <v>83.078834533691406</v>
      </c>
      <c r="AW116" s="4">
        <f t="shared" si="39"/>
        <v>0</v>
      </c>
      <c r="AX116" s="4">
        <f t="shared" si="39"/>
        <v>0</v>
      </c>
      <c r="AY116" s="4">
        <f t="shared" si="39"/>
        <v>0</v>
      </c>
      <c r="AZ116" s="4">
        <f t="shared" si="39"/>
        <v>0</v>
      </c>
      <c r="BA116" s="4">
        <f t="shared" si="39"/>
        <v>0</v>
      </c>
      <c r="BB116" s="4">
        <f t="shared" si="39"/>
        <v>0</v>
      </c>
      <c r="BC116" s="4">
        <f t="shared" si="39"/>
        <v>0</v>
      </c>
      <c r="BD116" s="4">
        <f t="shared" si="39"/>
        <v>0</v>
      </c>
      <c r="BE116" s="4">
        <f t="shared" si="39"/>
        <v>0</v>
      </c>
      <c r="BF116" s="4">
        <f t="shared" si="39"/>
        <v>0</v>
      </c>
      <c r="BG116" s="4">
        <f t="shared" si="39"/>
        <v>0</v>
      </c>
      <c r="BH116" s="4">
        <f t="shared" si="39"/>
        <v>0</v>
      </c>
      <c r="BI116" s="4">
        <f t="shared" si="39"/>
        <v>0</v>
      </c>
      <c r="BJ116" s="4">
        <f t="shared" si="39"/>
        <v>0</v>
      </c>
      <c r="BK116" s="4">
        <f t="shared" si="39"/>
        <v>0</v>
      </c>
      <c r="BL116" s="4">
        <f t="shared" si="39"/>
        <v>0</v>
      </c>
    </row>
    <row r="117" spans="1:64" x14ac:dyDescent="0.35">
      <c r="A117" s="1"/>
      <c r="C117" s="2" t="s">
        <v>554</v>
      </c>
      <c r="E117" s="4">
        <f t="shared" ref="E117:AJ117" si="40">E63</f>
        <v>-0.15576934814453125</v>
      </c>
      <c r="F117" s="4">
        <f t="shared" si="40"/>
        <v>-0.1576995849609375</v>
      </c>
      <c r="G117" s="4">
        <f t="shared" si="40"/>
        <v>-0.15964508056640625</v>
      </c>
      <c r="H117" s="4">
        <f t="shared" si="40"/>
        <v>-0.16162109375</v>
      </c>
      <c r="I117" s="4">
        <f t="shared" si="40"/>
        <v>-0.1636199951171875</v>
      </c>
      <c r="J117" s="4">
        <f t="shared" si="40"/>
        <v>0.646514892578125</v>
      </c>
      <c r="K117" s="4">
        <f t="shared" si="40"/>
        <v>0.6504364013671875</v>
      </c>
      <c r="L117" s="4">
        <f t="shared" si="40"/>
        <v>0.6543731689453125</v>
      </c>
      <c r="M117" s="4">
        <f t="shared" si="40"/>
        <v>0.65831756591796875</v>
      </c>
      <c r="N117" s="4">
        <f t="shared" si="40"/>
        <v>-1.027984619140625</v>
      </c>
      <c r="O117" s="4">
        <f t="shared" si="40"/>
        <v>-1.0195541381835938</v>
      </c>
      <c r="P117" s="4">
        <f t="shared" si="40"/>
        <v>-1.0112380981445313</v>
      </c>
      <c r="Q117" s="4">
        <f t="shared" si="40"/>
        <v>-1.003021240234375</v>
      </c>
      <c r="R117" s="4">
        <f t="shared" si="40"/>
        <v>0.62872314453125</v>
      </c>
      <c r="S117" s="4">
        <f t="shared" si="40"/>
        <v>0.63243865966796875</v>
      </c>
      <c r="T117" s="4">
        <f t="shared" si="40"/>
        <v>0.6361541748046875</v>
      </c>
      <c r="U117" s="4">
        <f t="shared" si="40"/>
        <v>0.6398773193359375</v>
      </c>
      <c r="V117" s="4">
        <f t="shared" si="40"/>
        <v>-1.0459747314453125</v>
      </c>
      <c r="W117" s="4">
        <f t="shared" si="40"/>
        <v>-1.03778076171875</v>
      </c>
      <c r="X117" s="4">
        <f t="shared" si="40"/>
        <v>-1.0297012329101563</v>
      </c>
      <c r="Y117" s="4">
        <f t="shared" si="40"/>
        <v>-1.0217208862304688</v>
      </c>
      <c r="Z117" s="4">
        <f t="shared" si="40"/>
        <v>-1.0138473510742188</v>
      </c>
      <c r="AA117" s="4">
        <f t="shared" si="40"/>
        <v>-1.0060958862304688</v>
      </c>
      <c r="AB117" s="4">
        <f t="shared" si="40"/>
        <v>-0.998443603515625</v>
      </c>
      <c r="AC117" s="4">
        <f t="shared" si="40"/>
        <v>-0.99089813232421875</v>
      </c>
      <c r="AD117" s="4">
        <f t="shared" si="40"/>
        <v>-0.98345184326171875</v>
      </c>
      <c r="AE117" s="4">
        <f t="shared" si="40"/>
        <v>-0.9761199951171875</v>
      </c>
      <c r="AF117" s="4">
        <f t="shared" si="40"/>
        <v>-0.9688873291015625</v>
      </c>
      <c r="AG117" s="4">
        <f t="shared" si="40"/>
        <v>-0.961761474609375</v>
      </c>
      <c r="AH117" s="4">
        <f t="shared" si="40"/>
        <v>-0.95473480224609375</v>
      </c>
      <c r="AI117" s="4">
        <f t="shared" si="40"/>
        <v>-0.94781494140625</v>
      </c>
      <c r="AJ117" s="4">
        <f t="shared" si="40"/>
        <v>-0.9409942626953125</v>
      </c>
      <c r="AK117" s="4">
        <f t="shared" ref="AK117:BL117" si="41">AK63</f>
        <v>-0.93427276611328125</v>
      </c>
      <c r="AL117" s="4">
        <f t="shared" si="41"/>
        <v>-0.92765045166015625</v>
      </c>
      <c r="AM117" s="4">
        <f t="shared" si="41"/>
        <v>-0.92113494873046875</v>
      </c>
      <c r="AN117" s="4">
        <f t="shared" si="41"/>
        <v>-0.91471099853515625</v>
      </c>
      <c r="AO117" s="4">
        <f t="shared" si="41"/>
        <v>-0.90839385986328125</v>
      </c>
      <c r="AP117" s="4">
        <f t="shared" si="41"/>
        <v>-0.90216827392578125</v>
      </c>
      <c r="AQ117" s="4">
        <f t="shared" si="41"/>
        <v>-0.8960418701171875</v>
      </c>
      <c r="AR117" s="4">
        <f t="shared" si="41"/>
        <v>-0.8900146484375</v>
      </c>
      <c r="AS117" s="4">
        <f t="shared" si="41"/>
        <v>-0.8840789794921875</v>
      </c>
      <c r="AT117" s="4">
        <f t="shared" si="41"/>
        <v>-0.87824249267578125</v>
      </c>
      <c r="AU117" s="4">
        <f t="shared" si="41"/>
        <v>-0.87250518798828125</v>
      </c>
      <c r="AV117" s="4">
        <f t="shared" si="41"/>
        <v>-83.078834533691406</v>
      </c>
      <c r="AW117" s="4">
        <f t="shared" si="41"/>
        <v>0</v>
      </c>
      <c r="AX117" s="4">
        <f t="shared" si="41"/>
        <v>0</v>
      </c>
      <c r="AY117" s="4">
        <f t="shared" si="41"/>
        <v>0</v>
      </c>
      <c r="AZ117" s="4">
        <f t="shared" si="41"/>
        <v>0</v>
      </c>
      <c r="BA117" s="4">
        <f t="shared" si="41"/>
        <v>0</v>
      </c>
      <c r="BB117" s="4">
        <f t="shared" si="41"/>
        <v>0</v>
      </c>
      <c r="BC117" s="4">
        <f t="shared" si="41"/>
        <v>0</v>
      </c>
      <c r="BD117" s="4">
        <f t="shared" si="41"/>
        <v>0</v>
      </c>
      <c r="BE117" s="4">
        <f t="shared" si="41"/>
        <v>0</v>
      </c>
      <c r="BF117" s="4">
        <f t="shared" si="41"/>
        <v>0</v>
      </c>
      <c r="BG117" s="4">
        <f t="shared" si="41"/>
        <v>0</v>
      </c>
      <c r="BH117" s="4">
        <f t="shared" si="41"/>
        <v>0</v>
      </c>
      <c r="BI117" s="4">
        <f t="shared" si="41"/>
        <v>0</v>
      </c>
      <c r="BJ117" s="4">
        <f t="shared" si="41"/>
        <v>0</v>
      </c>
      <c r="BK117" s="4">
        <f t="shared" si="41"/>
        <v>0</v>
      </c>
      <c r="BL117" s="4">
        <f t="shared" si="41"/>
        <v>0</v>
      </c>
    </row>
    <row r="118" spans="1:64" x14ac:dyDescent="0.35">
      <c r="A118" s="1"/>
      <c r="C118" s="2" t="s">
        <v>7</v>
      </c>
      <c r="D118" s="4">
        <f>D33</f>
        <v>107.59959411621094</v>
      </c>
      <c r="E118" s="4">
        <f>E116+E117</f>
        <v>107.44382476806641</v>
      </c>
      <c r="F118" s="4">
        <f t="shared" ref="F118:BL118" si="42">F116+F117</f>
        <v>107.28612518310547</v>
      </c>
      <c r="G118" s="4">
        <f t="shared" si="42"/>
        <v>107.12648010253906</v>
      </c>
      <c r="H118" s="4">
        <f t="shared" si="42"/>
        <v>106.96485900878906</v>
      </c>
      <c r="I118" s="4">
        <f t="shared" si="42"/>
        <v>106.80123901367188</v>
      </c>
      <c r="J118" s="4">
        <f t="shared" si="42"/>
        <v>107.44775390625</v>
      </c>
      <c r="K118" s="4">
        <f t="shared" si="42"/>
        <v>108.09819030761719</v>
      </c>
      <c r="L118" s="4">
        <f t="shared" si="42"/>
        <v>108.7525634765625</v>
      </c>
      <c r="M118" s="4">
        <f t="shared" si="42"/>
        <v>109.41088104248047</v>
      </c>
      <c r="N118" s="4">
        <f t="shared" si="42"/>
        <v>108.38289642333984</v>
      </c>
      <c r="O118" s="4">
        <f t="shared" si="42"/>
        <v>107.36334228515625</v>
      </c>
      <c r="P118" s="4">
        <f t="shared" si="42"/>
        <v>106.35210418701172</v>
      </c>
      <c r="Q118" s="4">
        <f t="shared" si="42"/>
        <v>105.34908294677734</v>
      </c>
      <c r="R118" s="4">
        <f t="shared" si="42"/>
        <v>105.97780609130859</v>
      </c>
      <c r="S118" s="4">
        <f t="shared" si="42"/>
        <v>106.61024475097656</v>
      </c>
      <c r="T118" s="4">
        <f t="shared" si="42"/>
        <v>107.24639892578125</v>
      </c>
      <c r="U118" s="4">
        <f t="shared" si="42"/>
        <v>107.88627624511719</v>
      </c>
      <c r="V118" s="4">
        <f t="shared" si="42"/>
        <v>106.84030151367188</v>
      </c>
      <c r="W118" s="4">
        <f t="shared" si="42"/>
        <v>105.80252075195313</v>
      </c>
      <c r="X118" s="4">
        <f t="shared" si="42"/>
        <v>104.77281951904297</v>
      </c>
      <c r="Y118" s="4">
        <f t="shared" si="42"/>
        <v>103.7510986328125</v>
      </c>
      <c r="Z118" s="4">
        <f t="shared" si="42"/>
        <v>102.73725128173828</v>
      </c>
      <c r="AA118" s="4">
        <f t="shared" si="42"/>
        <v>101.73115539550781</v>
      </c>
      <c r="AB118" s="4">
        <f t="shared" si="42"/>
        <v>100.73271179199219</v>
      </c>
      <c r="AC118" s="4">
        <f t="shared" si="42"/>
        <v>99.741813659667969</v>
      </c>
      <c r="AD118" s="4">
        <f t="shared" si="42"/>
        <v>98.75836181640625</v>
      </c>
      <c r="AE118" s="4">
        <f t="shared" si="42"/>
        <v>97.782241821289063</v>
      </c>
      <c r="AF118" s="4">
        <f t="shared" si="42"/>
        <v>96.8133544921875</v>
      </c>
      <c r="AG118" s="4">
        <f t="shared" si="42"/>
        <v>95.851593017578125</v>
      </c>
      <c r="AH118" s="4">
        <f t="shared" si="42"/>
        <v>94.896858215332031</v>
      </c>
      <c r="AI118" s="4">
        <f t="shared" si="42"/>
        <v>93.949043273925781</v>
      </c>
      <c r="AJ118" s="4">
        <f t="shared" si="42"/>
        <v>93.008049011230469</v>
      </c>
      <c r="AK118" s="4">
        <f t="shared" si="42"/>
        <v>92.073776245117188</v>
      </c>
      <c r="AL118" s="4">
        <f t="shared" si="42"/>
        <v>91.146125793457031</v>
      </c>
      <c r="AM118" s="4">
        <f t="shared" si="42"/>
        <v>90.224990844726563</v>
      </c>
      <c r="AN118" s="4">
        <f t="shared" si="42"/>
        <v>89.310279846191406</v>
      </c>
      <c r="AO118" s="4">
        <f t="shared" si="42"/>
        <v>88.401885986328125</v>
      </c>
      <c r="AP118" s="4">
        <f t="shared" si="42"/>
        <v>87.499717712402344</v>
      </c>
      <c r="AQ118" s="4">
        <f t="shared" si="42"/>
        <v>86.603675842285156</v>
      </c>
      <c r="AR118" s="4">
        <f t="shared" si="42"/>
        <v>85.713661193847656</v>
      </c>
      <c r="AS118" s="4">
        <f t="shared" si="42"/>
        <v>84.829582214355469</v>
      </c>
      <c r="AT118" s="4">
        <f t="shared" si="42"/>
        <v>83.951339721679688</v>
      </c>
      <c r="AU118" s="4">
        <f t="shared" si="42"/>
        <v>83.078834533691406</v>
      </c>
      <c r="AV118" s="4">
        <f t="shared" si="42"/>
        <v>0</v>
      </c>
      <c r="AW118" s="4">
        <f t="shared" si="42"/>
        <v>0</v>
      </c>
      <c r="AX118" s="4">
        <f t="shared" si="42"/>
        <v>0</v>
      </c>
      <c r="AY118" s="4">
        <f t="shared" si="42"/>
        <v>0</v>
      </c>
      <c r="AZ118" s="4">
        <f t="shared" si="42"/>
        <v>0</v>
      </c>
      <c r="BA118" s="4">
        <f t="shared" si="42"/>
        <v>0</v>
      </c>
      <c r="BB118" s="4">
        <f t="shared" si="42"/>
        <v>0</v>
      </c>
      <c r="BC118" s="4">
        <f t="shared" si="42"/>
        <v>0</v>
      </c>
      <c r="BD118" s="4">
        <f t="shared" si="42"/>
        <v>0</v>
      </c>
      <c r="BE118" s="4">
        <f t="shared" si="42"/>
        <v>0</v>
      </c>
      <c r="BF118" s="4">
        <f t="shared" si="42"/>
        <v>0</v>
      </c>
      <c r="BG118" s="4">
        <f t="shared" si="42"/>
        <v>0</v>
      </c>
      <c r="BH118" s="4">
        <f t="shared" si="42"/>
        <v>0</v>
      </c>
      <c r="BI118" s="4">
        <f t="shared" si="42"/>
        <v>0</v>
      </c>
      <c r="BJ118" s="4">
        <f t="shared" si="42"/>
        <v>0</v>
      </c>
      <c r="BK118" s="4">
        <f t="shared" si="42"/>
        <v>0</v>
      </c>
      <c r="BL118" s="4">
        <f t="shared" si="42"/>
        <v>0</v>
      </c>
    </row>
    <row r="119" spans="1:64" x14ac:dyDescent="0.35">
      <c r="A119" s="1"/>
    </row>
    <row r="120" spans="1:64" x14ac:dyDescent="0.35">
      <c r="A120" s="1"/>
      <c r="C120" s="2" t="s">
        <v>106</v>
      </c>
      <c r="E120" s="12">
        <f t="shared" ref="E120:BL120" si="43">$D$21/2</f>
        <v>0</v>
      </c>
      <c r="F120" s="12">
        <f t="shared" si="43"/>
        <v>0</v>
      </c>
      <c r="G120" s="12">
        <f t="shared" si="43"/>
        <v>0</v>
      </c>
      <c r="H120" s="12">
        <f t="shared" si="43"/>
        <v>0</v>
      </c>
      <c r="I120" s="12">
        <f t="shared" si="43"/>
        <v>0</v>
      </c>
      <c r="J120" s="12">
        <f t="shared" si="43"/>
        <v>0</v>
      </c>
      <c r="K120" s="12">
        <f t="shared" si="43"/>
        <v>0</v>
      </c>
      <c r="L120" s="12">
        <f t="shared" si="43"/>
        <v>0</v>
      </c>
      <c r="M120" s="12">
        <f t="shared" si="43"/>
        <v>0</v>
      </c>
      <c r="N120" s="12">
        <f t="shared" si="43"/>
        <v>0</v>
      </c>
      <c r="O120" s="12">
        <f t="shared" si="43"/>
        <v>0</v>
      </c>
      <c r="P120" s="12">
        <f t="shared" si="43"/>
        <v>0</v>
      </c>
      <c r="Q120" s="12">
        <f t="shared" si="43"/>
        <v>0</v>
      </c>
      <c r="R120" s="12">
        <f t="shared" si="43"/>
        <v>0</v>
      </c>
      <c r="S120" s="12">
        <f t="shared" si="43"/>
        <v>0</v>
      </c>
      <c r="T120" s="12">
        <f t="shared" si="43"/>
        <v>0</v>
      </c>
      <c r="U120" s="12">
        <f t="shared" si="43"/>
        <v>0</v>
      </c>
      <c r="V120" s="12">
        <f t="shared" si="43"/>
        <v>0</v>
      </c>
      <c r="W120" s="12">
        <f t="shared" si="43"/>
        <v>0</v>
      </c>
      <c r="X120" s="12">
        <f t="shared" si="43"/>
        <v>0</v>
      </c>
      <c r="Y120" s="12">
        <f t="shared" si="43"/>
        <v>0</v>
      </c>
      <c r="Z120" s="12">
        <f t="shared" si="43"/>
        <v>0</v>
      </c>
      <c r="AA120" s="12">
        <f t="shared" si="43"/>
        <v>0</v>
      </c>
      <c r="AB120" s="12">
        <f t="shared" si="43"/>
        <v>0</v>
      </c>
      <c r="AC120" s="12">
        <f t="shared" si="43"/>
        <v>0</v>
      </c>
      <c r="AD120" s="12">
        <f t="shared" si="43"/>
        <v>0</v>
      </c>
      <c r="AE120" s="12">
        <f t="shared" si="43"/>
        <v>0</v>
      </c>
      <c r="AF120" s="12">
        <f t="shared" si="43"/>
        <v>0</v>
      </c>
      <c r="AG120" s="12">
        <f t="shared" si="43"/>
        <v>0</v>
      </c>
      <c r="AH120" s="12">
        <f t="shared" si="43"/>
        <v>0</v>
      </c>
      <c r="AI120" s="12">
        <f t="shared" si="43"/>
        <v>0</v>
      </c>
      <c r="AJ120" s="12">
        <f t="shared" si="43"/>
        <v>0</v>
      </c>
      <c r="AK120" s="12">
        <f t="shared" si="43"/>
        <v>0</v>
      </c>
      <c r="AL120" s="12">
        <f t="shared" si="43"/>
        <v>0</v>
      </c>
      <c r="AM120" s="12">
        <f t="shared" si="43"/>
        <v>0</v>
      </c>
      <c r="AN120" s="12">
        <f t="shared" si="43"/>
        <v>0</v>
      </c>
      <c r="AO120" s="12">
        <f t="shared" si="43"/>
        <v>0</v>
      </c>
      <c r="AP120" s="12">
        <f t="shared" si="43"/>
        <v>0</v>
      </c>
      <c r="AQ120" s="12">
        <f t="shared" si="43"/>
        <v>0</v>
      </c>
      <c r="AR120" s="12">
        <f t="shared" si="43"/>
        <v>0</v>
      </c>
      <c r="AS120" s="12">
        <f t="shared" si="43"/>
        <v>0</v>
      </c>
      <c r="AT120" s="12">
        <f t="shared" si="43"/>
        <v>0</v>
      </c>
      <c r="AU120" s="12">
        <f t="shared" si="43"/>
        <v>0</v>
      </c>
      <c r="AV120" s="12">
        <f t="shared" si="43"/>
        <v>0</v>
      </c>
      <c r="AW120" s="12">
        <f t="shared" si="43"/>
        <v>0</v>
      </c>
      <c r="AX120" s="12">
        <f t="shared" si="43"/>
        <v>0</v>
      </c>
      <c r="AY120" s="12">
        <f t="shared" si="43"/>
        <v>0</v>
      </c>
      <c r="AZ120" s="12">
        <f t="shared" si="43"/>
        <v>0</v>
      </c>
      <c r="BA120" s="12">
        <f t="shared" si="43"/>
        <v>0</v>
      </c>
      <c r="BB120" s="12">
        <f t="shared" si="43"/>
        <v>0</v>
      </c>
      <c r="BC120" s="12">
        <f t="shared" si="43"/>
        <v>0</v>
      </c>
      <c r="BD120" s="12">
        <f t="shared" si="43"/>
        <v>0</v>
      </c>
      <c r="BE120" s="12">
        <f t="shared" si="43"/>
        <v>0</v>
      </c>
      <c r="BF120" s="12">
        <f t="shared" si="43"/>
        <v>0</v>
      </c>
      <c r="BG120" s="12">
        <f t="shared" si="43"/>
        <v>0</v>
      </c>
      <c r="BH120" s="12">
        <f t="shared" si="43"/>
        <v>0</v>
      </c>
      <c r="BI120" s="12">
        <f t="shared" si="43"/>
        <v>0</v>
      </c>
      <c r="BJ120" s="12">
        <f t="shared" si="43"/>
        <v>0</v>
      </c>
      <c r="BK120" s="12">
        <f t="shared" si="43"/>
        <v>0</v>
      </c>
      <c r="BL120" s="12">
        <f t="shared" si="43"/>
        <v>0</v>
      </c>
    </row>
    <row r="121" spans="1:64" x14ac:dyDescent="0.35">
      <c r="A121" s="1"/>
      <c r="C121" s="2" t="s">
        <v>107</v>
      </c>
      <c r="E121" s="4">
        <f t="shared" ref="E121:AJ121" ca="1" si="44">D62*E120*$D$17</f>
        <v>0</v>
      </c>
      <c r="F121" s="4">
        <f t="shared" ca="1" si="44"/>
        <v>0</v>
      </c>
      <c r="G121" s="4">
        <f t="shared" ca="1" si="44"/>
        <v>0</v>
      </c>
      <c r="H121" s="4">
        <f t="shared" ca="1" si="44"/>
        <v>0</v>
      </c>
      <c r="I121" s="4">
        <f t="shared" ca="1" si="44"/>
        <v>0</v>
      </c>
      <c r="J121" s="4">
        <f t="shared" ca="1" si="44"/>
        <v>0</v>
      </c>
      <c r="K121" s="4">
        <f t="shared" ca="1" si="44"/>
        <v>0</v>
      </c>
      <c r="L121" s="4">
        <f t="shared" ca="1" si="44"/>
        <v>0</v>
      </c>
      <c r="M121" s="4">
        <f t="shared" ca="1" si="44"/>
        <v>0</v>
      </c>
      <c r="N121" s="4">
        <f t="shared" ca="1" si="44"/>
        <v>0</v>
      </c>
      <c r="O121" s="4">
        <f t="shared" ca="1" si="44"/>
        <v>0</v>
      </c>
      <c r="P121" s="4">
        <f t="shared" ca="1" si="44"/>
        <v>0</v>
      </c>
      <c r="Q121" s="4">
        <f t="shared" ca="1" si="44"/>
        <v>0</v>
      </c>
      <c r="R121" s="4">
        <f t="shared" ca="1" si="44"/>
        <v>0</v>
      </c>
      <c r="S121" s="4">
        <f t="shared" ca="1" si="44"/>
        <v>0</v>
      </c>
      <c r="T121" s="4">
        <f t="shared" ca="1" si="44"/>
        <v>0</v>
      </c>
      <c r="U121" s="4">
        <f t="shared" ca="1" si="44"/>
        <v>0</v>
      </c>
      <c r="V121" s="4">
        <f t="shared" ca="1" si="44"/>
        <v>0</v>
      </c>
      <c r="W121" s="4">
        <f t="shared" ca="1" si="44"/>
        <v>0</v>
      </c>
      <c r="X121" s="4">
        <f t="shared" ca="1" si="44"/>
        <v>0</v>
      </c>
      <c r="Y121" s="4">
        <f t="shared" ca="1" si="44"/>
        <v>0</v>
      </c>
      <c r="Z121" s="4">
        <f t="shared" ca="1" si="44"/>
        <v>0</v>
      </c>
      <c r="AA121" s="4">
        <f t="shared" ca="1" si="44"/>
        <v>0</v>
      </c>
      <c r="AB121" s="4">
        <f t="shared" ca="1" si="44"/>
        <v>0</v>
      </c>
      <c r="AC121" s="4">
        <f t="shared" ca="1" si="44"/>
        <v>0</v>
      </c>
      <c r="AD121" s="4">
        <f t="shared" ca="1" si="44"/>
        <v>0</v>
      </c>
      <c r="AE121" s="4">
        <f t="shared" ca="1" si="44"/>
        <v>0</v>
      </c>
      <c r="AF121" s="4">
        <f t="shared" ca="1" si="44"/>
        <v>0</v>
      </c>
      <c r="AG121" s="4">
        <f t="shared" ca="1" si="44"/>
        <v>0</v>
      </c>
      <c r="AH121" s="4">
        <f t="shared" ca="1" si="44"/>
        <v>0</v>
      </c>
      <c r="AI121" s="4">
        <f t="shared" ca="1" si="44"/>
        <v>0</v>
      </c>
      <c r="AJ121" s="4">
        <f t="shared" ca="1" si="44"/>
        <v>0</v>
      </c>
      <c r="AK121" s="4">
        <f t="shared" ref="AK121:BL121" ca="1" si="45">AJ62*AK120*$D$17</f>
        <v>0</v>
      </c>
      <c r="AL121" s="4">
        <f t="shared" ca="1" si="45"/>
        <v>0</v>
      </c>
      <c r="AM121" s="4">
        <f t="shared" ca="1" si="45"/>
        <v>0</v>
      </c>
      <c r="AN121" s="4">
        <f t="shared" ca="1" si="45"/>
        <v>0</v>
      </c>
      <c r="AO121" s="4">
        <f t="shared" ca="1" si="45"/>
        <v>0</v>
      </c>
      <c r="AP121" s="4">
        <f t="shared" ca="1" si="45"/>
        <v>0</v>
      </c>
      <c r="AQ121" s="4">
        <f t="shared" ca="1" si="45"/>
        <v>0</v>
      </c>
      <c r="AR121" s="4">
        <f t="shared" ca="1" si="45"/>
        <v>0</v>
      </c>
      <c r="AS121" s="4">
        <f t="shared" ca="1" si="45"/>
        <v>0</v>
      </c>
      <c r="AT121" s="4">
        <f t="shared" ca="1" si="45"/>
        <v>0</v>
      </c>
      <c r="AU121" s="4">
        <f t="shared" ca="1" si="45"/>
        <v>0</v>
      </c>
      <c r="AV121" s="4">
        <f t="shared" ca="1" si="45"/>
        <v>0</v>
      </c>
      <c r="AW121" s="4">
        <f t="shared" ca="1" si="45"/>
        <v>0</v>
      </c>
      <c r="AX121" s="4">
        <f t="shared" ca="1" si="45"/>
        <v>0</v>
      </c>
      <c r="AY121" s="4">
        <f t="shared" ca="1" si="45"/>
        <v>0</v>
      </c>
      <c r="AZ121" s="4">
        <f t="shared" ca="1" si="45"/>
        <v>0</v>
      </c>
      <c r="BA121" s="4">
        <f t="shared" ca="1" si="45"/>
        <v>0</v>
      </c>
      <c r="BB121" s="4">
        <f t="shared" ca="1" si="45"/>
        <v>0</v>
      </c>
      <c r="BC121" s="4">
        <f t="shared" ca="1" si="45"/>
        <v>0</v>
      </c>
      <c r="BD121" s="4">
        <f t="shared" ca="1" si="45"/>
        <v>0</v>
      </c>
      <c r="BE121" s="4">
        <f t="shared" ca="1" si="45"/>
        <v>0</v>
      </c>
      <c r="BF121" s="4">
        <f t="shared" ca="1" si="45"/>
        <v>0</v>
      </c>
      <c r="BG121" s="4">
        <f t="shared" ca="1" si="45"/>
        <v>0</v>
      </c>
      <c r="BH121" s="4">
        <f t="shared" ca="1" si="45"/>
        <v>0</v>
      </c>
      <c r="BI121" s="4">
        <f t="shared" ca="1" si="45"/>
        <v>0</v>
      </c>
      <c r="BJ121" s="4">
        <f t="shared" ca="1" si="45"/>
        <v>0</v>
      </c>
      <c r="BK121" s="4">
        <f t="shared" ca="1" si="45"/>
        <v>0</v>
      </c>
      <c r="BL121" s="4">
        <f t="shared" ca="1" si="45"/>
        <v>0</v>
      </c>
    </row>
    <row r="122" spans="1:64" x14ac:dyDescent="0.35">
      <c r="A122" s="1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/>
      <c r="AO122" s="4"/>
      <c r="AP122" s="4"/>
      <c r="AQ122" s="4"/>
      <c r="AR122" s="4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/>
      <c r="BL122" s="4"/>
    </row>
    <row r="123" spans="1:64" x14ac:dyDescent="0.35">
      <c r="A123" s="1"/>
      <c r="C123" s="2" t="s">
        <v>174</v>
      </c>
      <c r="D123" s="4">
        <f t="shared" ref="D123:AI123" ca="1" si="46">D62</f>
        <v>107.59959411621094</v>
      </c>
      <c r="E123" s="4">
        <f t="shared" ca="1" si="46"/>
        <v>107.44382476806641</v>
      </c>
      <c r="F123" s="4">
        <f t="shared" ca="1" si="46"/>
        <v>107.28612518310547</v>
      </c>
      <c r="G123" s="4">
        <f t="shared" ca="1" si="46"/>
        <v>107.12648010253906</v>
      </c>
      <c r="H123" s="4">
        <f t="shared" ca="1" si="46"/>
        <v>106.96485900878906</v>
      </c>
      <c r="I123" s="4">
        <f t="shared" ca="1" si="46"/>
        <v>106.80123901367188</v>
      </c>
      <c r="J123" s="4">
        <f t="shared" ca="1" si="46"/>
        <v>107.44775390625</v>
      </c>
      <c r="K123" s="4">
        <f t="shared" ca="1" si="46"/>
        <v>108.09819030761719</v>
      </c>
      <c r="L123" s="4">
        <f t="shared" ca="1" si="46"/>
        <v>108.7525634765625</v>
      </c>
      <c r="M123" s="4">
        <f t="shared" ca="1" si="46"/>
        <v>109.41088104248047</v>
      </c>
      <c r="N123" s="4">
        <f t="shared" ca="1" si="46"/>
        <v>108.38289642333984</v>
      </c>
      <c r="O123" s="4">
        <f t="shared" ca="1" si="46"/>
        <v>107.36334228515625</v>
      </c>
      <c r="P123" s="4">
        <f t="shared" ca="1" si="46"/>
        <v>106.35210418701172</v>
      </c>
      <c r="Q123" s="4">
        <f t="shared" ca="1" si="46"/>
        <v>105.34908294677734</v>
      </c>
      <c r="R123" s="4">
        <f t="shared" ca="1" si="46"/>
        <v>105.97780609130859</v>
      </c>
      <c r="S123" s="4">
        <f t="shared" ca="1" si="46"/>
        <v>106.61024475097656</v>
      </c>
      <c r="T123" s="4">
        <f t="shared" ca="1" si="46"/>
        <v>107.24639892578125</v>
      </c>
      <c r="U123" s="4">
        <f t="shared" ca="1" si="46"/>
        <v>107.88627624511719</v>
      </c>
      <c r="V123" s="4">
        <f t="shared" ca="1" si="46"/>
        <v>106.84030151367188</v>
      </c>
      <c r="W123" s="4">
        <f t="shared" ca="1" si="46"/>
        <v>105.80252075195313</v>
      </c>
      <c r="X123" s="4">
        <f t="shared" ca="1" si="46"/>
        <v>104.77281951904297</v>
      </c>
      <c r="Y123" s="4">
        <f t="shared" ca="1" si="46"/>
        <v>103.7510986328125</v>
      </c>
      <c r="Z123" s="4">
        <f t="shared" ca="1" si="46"/>
        <v>102.73725128173828</v>
      </c>
      <c r="AA123" s="4">
        <f t="shared" ca="1" si="46"/>
        <v>101.73115539550781</v>
      </c>
      <c r="AB123" s="4">
        <f t="shared" ca="1" si="46"/>
        <v>100.73271179199219</v>
      </c>
      <c r="AC123" s="4">
        <f t="shared" ca="1" si="46"/>
        <v>99.741813659667969</v>
      </c>
      <c r="AD123" s="4">
        <f t="shared" ca="1" si="46"/>
        <v>98.75836181640625</v>
      </c>
      <c r="AE123" s="4">
        <f t="shared" ca="1" si="46"/>
        <v>97.782241821289063</v>
      </c>
      <c r="AF123" s="4">
        <f t="shared" ca="1" si="46"/>
        <v>96.8133544921875</v>
      </c>
      <c r="AG123" s="4">
        <f t="shared" ca="1" si="46"/>
        <v>95.851593017578125</v>
      </c>
      <c r="AH123" s="4">
        <f t="shared" ca="1" si="46"/>
        <v>94.896858215332031</v>
      </c>
      <c r="AI123" s="4">
        <f t="shared" ca="1" si="46"/>
        <v>93.949043273925781</v>
      </c>
      <c r="AJ123" s="4">
        <f t="shared" ref="AJ123:BL123" ca="1" si="47">AJ62</f>
        <v>93.008049011230469</v>
      </c>
      <c r="AK123" s="4">
        <f t="shared" ca="1" si="47"/>
        <v>92.073776245117188</v>
      </c>
      <c r="AL123" s="4">
        <f t="shared" ca="1" si="47"/>
        <v>91.146125793457031</v>
      </c>
      <c r="AM123" s="4">
        <f t="shared" ca="1" si="47"/>
        <v>90.224990844726563</v>
      </c>
      <c r="AN123" s="4">
        <f t="shared" ca="1" si="47"/>
        <v>89.310279846191406</v>
      </c>
      <c r="AO123" s="4">
        <f t="shared" ca="1" si="47"/>
        <v>88.401885986328125</v>
      </c>
      <c r="AP123" s="4">
        <f t="shared" ca="1" si="47"/>
        <v>87.499717712402344</v>
      </c>
      <c r="AQ123" s="4">
        <f t="shared" ca="1" si="47"/>
        <v>86.603675842285156</v>
      </c>
      <c r="AR123" s="4">
        <f t="shared" ca="1" si="47"/>
        <v>85.713661193847656</v>
      </c>
      <c r="AS123" s="4">
        <f t="shared" ca="1" si="47"/>
        <v>84.829582214355469</v>
      </c>
      <c r="AT123" s="4">
        <f t="shared" ca="1" si="47"/>
        <v>83.951339721679688</v>
      </c>
      <c r="AU123" s="4">
        <f t="shared" ca="1" si="47"/>
        <v>83.078834533691406</v>
      </c>
      <c r="AV123" s="4">
        <f t="shared" ca="1" si="47"/>
        <v>0</v>
      </c>
      <c r="AW123" s="4">
        <f t="shared" ca="1" si="47"/>
        <v>0</v>
      </c>
      <c r="AX123" s="4">
        <f t="shared" ca="1" si="47"/>
        <v>0</v>
      </c>
      <c r="AY123" s="4">
        <f t="shared" ca="1" si="47"/>
        <v>0</v>
      </c>
      <c r="AZ123" s="4">
        <f t="shared" ca="1" si="47"/>
        <v>0</v>
      </c>
      <c r="BA123" s="4">
        <f t="shared" ca="1" si="47"/>
        <v>0</v>
      </c>
      <c r="BB123" s="4">
        <f t="shared" ca="1" si="47"/>
        <v>0</v>
      </c>
      <c r="BC123" s="4">
        <f t="shared" ca="1" si="47"/>
        <v>0</v>
      </c>
      <c r="BD123" s="4">
        <f t="shared" ca="1" si="47"/>
        <v>0</v>
      </c>
      <c r="BE123" s="4">
        <f t="shared" ca="1" si="47"/>
        <v>0</v>
      </c>
      <c r="BF123" s="4">
        <f t="shared" ca="1" si="47"/>
        <v>0</v>
      </c>
      <c r="BG123" s="4">
        <f t="shared" ca="1" si="47"/>
        <v>0</v>
      </c>
      <c r="BH123" s="4">
        <f t="shared" ca="1" si="47"/>
        <v>0</v>
      </c>
      <c r="BI123" s="4">
        <f t="shared" ca="1" si="47"/>
        <v>0</v>
      </c>
      <c r="BJ123" s="4">
        <f t="shared" ca="1" si="47"/>
        <v>0</v>
      </c>
      <c r="BK123" s="4">
        <f t="shared" ca="1" si="47"/>
        <v>0</v>
      </c>
      <c r="BL123" s="4">
        <f t="shared" ca="1" si="47"/>
        <v>0</v>
      </c>
    </row>
    <row r="124" spans="1:64" x14ac:dyDescent="0.35">
      <c r="A124" s="1"/>
      <c r="C124" s="2" t="s">
        <v>171</v>
      </c>
      <c r="D124" s="12">
        <f>D22</f>
        <v>5.0000000000000001E-3</v>
      </c>
      <c r="E124" s="4">
        <f ca="1">D123*$D$124*E114</f>
        <v>0</v>
      </c>
      <c r="F124" s="4">
        <f t="shared" ref="F124:BL124" ca="1" si="48">E123*$D$124*F114</f>
        <v>0</v>
      </c>
      <c r="G124" s="4">
        <f t="shared" ca="1" si="48"/>
        <v>0</v>
      </c>
      <c r="H124" s="4">
        <f t="shared" ca="1" si="48"/>
        <v>0</v>
      </c>
      <c r="I124" s="4">
        <f t="shared" ca="1" si="48"/>
        <v>0</v>
      </c>
      <c r="J124" s="4">
        <f t="shared" ca="1" si="48"/>
        <v>0</v>
      </c>
      <c r="K124" s="4">
        <f t="shared" ca="1" si="48"/>
        <v>0</v>
      </c>
      <c r="L124" s="4">
        <f t="shared" ca="1" si="48"/>
        <v>0</v>
      </c>
      <c r="M124" s="4">
        <f t="shared" ca="1" si="48"/>
        <v>0</v>
      </c>
      <c r="N124" s="4">
        <f t="shared" ca="1" si="48"/>
        <v>0</v>
      </c>
      <c r="O124" s="4">
        <f t="shared" ca="1" si="48"/>
        <v>0</v>
      </c>
      <c r="P124" s="4">
        <f t="shared" ca="1" si="48"/>
        <v>0</v>
      </c>
      <c r="Q124" s="4">
        <f t="shared" ca="1" si="48"/>
        <v>0</v>
      </c>
      <c r="R124" s="4">
        <f t="shared" ca="1" si="48"/>
        <v>0</v>
      </c>
      <c r="S124" s="4">
        <f t="shared" ca="1" si="48"/>
        <v>0</v>
      </c>
      <c r="T124" s="4">
        <f t="shared" ca="1" si="48"/>
        <v>0</v>
      </c>
      <c r="U124" s="4">
        <f t="shared" ca="1" si="48"/>
        <v>0</v>
      </c>
      <c r="V124" s="4">
        <f t="shared" ca="1" si="48"/>
        <v>0</v>
      </c>
      <c r="W124" s="4">
        <f t="shared" ca="1" si="48"/>
        <v>0</v>
      </c>
      <c r="X124" s="4">
        <f t="shared" ca="1" si="48"/>
        <v>0</v>
      </c>
      <c r="Y124" s="4">
        <f t="shared" ca="1" si="48"/>
        <v>0</v>
      </c>
      <c r="Z124" s="4">
        <f t="shared" ca="1" si="48"/>
        <v>0</v>
      </c>
      <c r="AA124" s="4">
        <f t="shared" ca="1" si="48"/>
        <v>0</v>
      </c>
      <c r="AB124" s="4">
        <f t="shared" ca="1" si="48"/>
        <v>0</v>
      </c>
      <c r="AC124" s="4">
        <f t="shared" ca="1" si="48"/>
        <v>0</v>
      </c>
      <c r="AD124" s="4">
        <f t="shared" ca="1" si="48"/>
        <v>0</v>
      </c>
      <c r="AE124" s="4">
        <f t="shared" ca="1" si="48"/>
        <v>0</v>
      </c>
      <c r="AF124" s="4">
        <f t="shared" ca="1" si="48"/>
        <v>0</v>
      </c>
      <c r="AG124" s="4">
        <f t="shared" ca="1" si="48"/>
        <v>0</v>
      </c>
      <c r="AH124" s="4">
        <f t="shared" ca="1" si="48"/>
        <v>0</v>
      </c>
      <c r="AI124" s="4">
        <f t="shared" ca="1" si="48"/>
        <v>0</v>
      </c>
      <c r="AJ124" s="4">
        <f t="shared" ca="1" si="48"/>
        <v>0</v>
      </c>
      <c r="AK124" s="4">
        <f t="shared" ca="1" si="48"/>
        <v>0</v>
      </c>
      <c r="AL124" s="4">
        <f t="shared" ca="1" si="48"/>
        <v>0</v>
      </c>
      <c r="AM124" s="4">
        <f t="shared" ca="1" si="48"/>
        <v>0</v>
      </c>
      <c r="AN124" s="4">
        <f t="shared" ca="1" si="48"/>
        <v>0</v>
      </c>
      <c r="AO124" s="4">
        <f t="shared" ca="1" si="48"/>
        <v>0</v>
      </c>
      <c r="AP124" s="4">
        <f t="shared" ca="1" si="48"/>
        <v>0</v>
      </c>
      <c r="AQ124" s="4">
        <f t="shared" ca="1" si="48"/>
        <v>0</v>
      </c>
      <c r="AR124" s="4">
        <f t="shared" ca="1" si="48"/>
        <v>0</v>
      </c>
      <c r="AS124" s="4">
        <f t="shared" ca="1" si="48"/>
        <v>0</v>
      </c>
      <c r="AT124" s="4">
        <f t="shared" ca="1" si="48"/>
        <v>0</v>
      </c>
      <c r="AU124" s="4">
        <f t="shared" ca="1" si="48"/>
        <v>0</v>
      </c>
      <c r="AV124" s="4">
        <f t="shared" ca="1" si="48"/>
        <v>0</v>
      </c>
      <c r="AW124" s="4">
        <f t="shared" ca="1" si="48"/>
        <v>0</v>
      </c>
      <c r="AX124" s="4">
        <f t="shared" ca="1" si="48"/>
        <v>0</v>
      </c>
      <c r="AY124" s="4">
        <f t="shared" ca="1" si="48"/>
        <v>0</v>
      </c>
      <c r="AZ124" s="4">
        <f t="shared" ca="1" si="48"/>
        <v>0</v>
      </c>
      <c r="BA124" s="4">
        <f t="shared" ca="1" si="48"/>
        <v>0</v>
      </c>
      <c r="BB124" s="4">
        <f t="shared" ca="1" si="48"/>
        <v>0</v>
      </c>
      <c r="BC124" s="4">
        <f t="shared" ca="1" si="48"/>
        <v>0</v>
      </c>
      <c r="BD124" s="4">
        <f t="shared" ca="1" si="48"/>
        <v>0</v>
      </c>
      <c r="BE124" s="4">
        <f t="shared" ca="1" si="48"/>
        <v>0</v>
      </c>
      <c r="BF124" s="4">
        <f t="shared" ca="1" si="48"/>
        <v>0</v>
      </c>
      <c r="BG124" s="4">
        <f t="shared" ca="1" si="48"/>
        <v>0</v>
      </c>
      <c r="BH124" s="4">
        <f t="shared" ca="1" si="48"/>
        <v>0</v>
      </c>
      <c r="BI124" s="4">
        <f t="shared" ca="1" si="48"/>
        <v>0</v>
      </c>
      <c r="BJ124" s="4">
        <f t="shared" ca="1" si="48"/>
        <v>0</v>
      </c>
      <c r="BK124" s="4">
        <f t="shared" ca="1" si="48"/>
        <v>0</v>
      </c>
      <c r="BL124" s="4">
        <f t="shared" ca="1" si="48"/>
        <v>0</v>
      </c>
    </row>
    <row r="125" spans="1:64" x14ac:dyDescent="0.35">
      <c r="A125" s="1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/>
      <c r="BL125" s="4"/>
    </row>
    <row r="126" spans="1:64" s="40" customFormat="1" x14ac:dyDescent="0.35">
      <c r="A126" s="40" t="s">
        <v>408</v>
      </c>
      <c r="D126" s="175"/>
      <c r="E126" s="175"/>
      <c r="F126" s="175"/>
      <c r="G126" s="175"/>
      <c r="H126" s="175"/>
      <c r="I126" s="175"/>
      <c r="J126" s="175"/>
      <c r="K126" s="175"/>
      <c r="L126" s="175"/>
      <c r="M126" s="175"/>
      <c r="N126" s="175"/>
      <c r="O126" s="175"/>
      <c r="P126" s="175"/>
      <c r="Q126" s="175"/>
      <c r="R126" s="175"/>
      <c r="S126" s="175"/>
      <c r="T126" s="175"/>
      <c r="U126" s="175"/>
      <c r="V126" s="175"/>
      <c r="W126" s="175"/>
      <c r="X126" s="175"/>
      <c r="Y126" s="175"/>
      <c r="Z126" s="175"/>
      <c r="AA126" s="175"/>
      <c r="AB126" s="175"/>
      <c r="AC126" s="175"/>
      <c r="AD126" s="175"/>
      <c r="AE126" s="175"/>
      <c r="AF126" s="175"/>
      <c r="AG126" s="175"/>
      <c r="AH126" s="175"/>
      <c r="AI126" s="175"/>
      <c r="AJ126" s="175"/>
      <c r="AK126" s="175"/>
      <c r="AL126" s="175"/>
      <c r="AM126" s="175"/>
      <c r="AN126" s="175"/>
      <c r="AO126" s="175"/>
      <c r="AP126" s="175"/>
      <c r="AQ126" s="175"/>
      <c r="AR126" s="175"/>
      <c r="AS126" s="175"/>
      <c r="AT126" s="175"/>
      <c r="AU126" s="175"/>
      <c r="AV126" s="175"/>
      <c r="AW126" s="175"/>
      <c r="AX126" s="175"/>
      <c r="AY126" s="175"/>
      <c r="AZ126" s="175"/>
      <c r="BA126" s="175"/>
      <c r="BB126" s="175"/>
      <c r="BC126" s="175"/>
      <c r="BD126" s="175"/>
      <c r="BE126" s="175"/>
      <c r="BF126" s="175"/>
      <c r="BG126" s="175"/>
      <c r="BH126" s="175"/>
      <c r="BI126" s="175"/>
      <c r="BJ126" s="175"/>
      <c r="BK126" s="175"/>
      <c r="BL126" s="175"/>
    </row>
    <row r="127" spans="1:64" x14ac:dyDescent="0.35">
      <c r="A127" s="1"/>
      <c r="C127" s="2" t="s">
        <v>104</v>
      </c>
      <c r="D127" s="4"/>
      <c r="E127" s="4">
        <f t="shared" ref="E127:AJ127" si="49">E48</f>
        <v>152</v>
      </c>
      <c r="F127" s="4">
        <f t="shared" si="49"/>
        <v>152</v>
      </c>
      <c r="G127" s="4">
        <f t="shared" si="49"/>
        <v>152</v>
      </c>
      <c r="H127" s="4">
        <f t="shared" si="49"/>
        <v>152</v>
      </c>
      <c r="I127" s="4">
        <f t="shared" si="49"/>
        <v>152</v>
      </c>
      <c r="J127" s="4">
        <f t="shared" si="49"/>
        <v>152</v>
      </c>
      <c r="K127" s="4">
        <f t="shared" si="49"/>
        <v>153.52000000000001</v>
      </c>
      <c r="L127" s="4">
        <f t="shared" si="49"/>
        <v>155.05520000000001</v>
      </c>
      <c r="M127" s="4">
        <f t="shared" si="49"/>
        <v>156.60575200000002</v>
      </c>
      <c r="N127" s="4">
        <f t="shared" si="49"/>
        <v>158.17180952000004</v>
      </c>
      <c r="O127" s="4">
        <f t="shared" si="49"/>
        <v>156.59009142480005</v>
      </c>
      <c r="P127" s="4">
        <f t="shared" si="49"/>
        <v>155.02419051055205</v>
      </c>
      <c r="Q127" s="4">
        <f t="shared" si="49"/>
        <v>153.47394860544654</v>
      </c>
      <c r="R127" s="4">
        <f t="shared" si="49"/>
        <v>151.93920911939207</v>
      </c>
      <c r="S127" s="4">
        <f t="shared" si="49"/>
        <v>153.45860121058601</v>
      </c>
      <c r="T127" s="4">
        <f t="shared" si="49"/>
        <v>154.99318722269186</v>
      </c>
      <c r="U127" s="4">
        <f t="shared" si="49"/>
        <v>156.54311909491878</v>
      </c>
      <c r="V127" s="4">
        <f t="shared" si="49"/>
        <v>158.10855028586798</v>
      </c>
      <c r="W127" s="4">
        <f t="shared" si="49"/>
        <v>156.52746478300929</v>
      </c>
      <c r="X127" s="4">
        <f t="shared" si="49"/>
        <v>154.96219013517918</v>
      </c>
      <c r="Y127" s="4">
        <f t="shared" si="49"/>
        <v>153.41256823382739</v>
      </c>
      <c r="Z127" s="4">
        <f t="shared" si="49"/>
        <v>151.87844255148912</v>
      </c>
      <c r="AA127" s="4">
        <f t="shared" si="49"/>
        <v>150.35965812597422</v>
      </c>
      <c r="AB127" s="4">
        <f t="shared" si="49"/>
        <v>148.85606154471446</v>
      </c>
      <c r="AC127" s="4">
        <f t="shared" si="49"/>
        <v>147.36750092926732</v>
      </c>
      <c r="AD127" s="4">
        <f t="shared" si="49"/>
        <v>145.89382591997466</v>
      </c>
      <c r="AE127" s="4">
        <f t="shared" si="49"/>
        <v>144.4348876607749</v>
      </c>
      <c r="AF127" s="4">
        <f t="shared" si="49"/>
        <v>142.99053878416714</v>
      </c>
      <c r="AG127" s="4">
        <f t="shared" si="49"/>
        <v>141.56063339632547</v>
      </c>
      <c r="AH127" s="4">
        <f t="shared" si="49"/>
        <v>140.1450270623622</v>
      </c>
      <c r="AI127" s="4">
        <f t="shared" si="49"/>
        <v>138.74357679173858</v>
      </c>
      <c r="AJ127" s="4">
        <f t="shared" si="49"/>
        <v>137.35614102382118</v>
      </c>
      <c r="AK127" s="4">
        <f t="shared" ref="AK127:BL127" si="50">AK48</f>
        <v>135.98257961358297</v>
      </c>
      <c r="AL127" s="4">
        <f t="shared" si="50"/>
        <v>134.62275381744715</v>
      </c>
      <c r="AM127" s="4">
        <f t="shared" si="50"/>
        <v>133.27652627927267</v>
      </c>
      <c r="AN127" s="4">
        <f t="shared" si="50"/>
        <v>131.94376101647995</v>
      </c>
      <c r="AO127" s="4">
        <f t="shared" si="50"/>
        <v>130.62432340631514</v>
      </c>
      <c r="AP127" s="4">
        <f t="shared" si="50"/>
        <v>129.318080172252</v>
      </c>
      <c r="AQ127" s="4">
        <f t="shared" si="50"/>
        <v>128.02489937052948</v>
      </c>
      <c r="AR127" s="4">
        <f t="shared" si="50"/>
        <v>126.74465037682418</v>
      </c>
      <c r="AS127" s="4">
        <f t="shared" si="50"/>
        <v>125.47720387305594</v>
      </c>
      <c r="AT127" s="4">
        <f t="shared" si="50"/>
        <v>124.22243183432538</v>
      </c>
      <c r="AU127" s="4">
        <f t="shared" si="50"/>
        <v>122.98020751598212</v>
      </c>
      <c r="AV127" s="4">
        <f t="shared" si="50"/>
        <v>121.75040544082229</v>
      </c>
      <c r="AW127" s="4">
        <f t="shared" si="50"/>
        <v>120.53290138641407</v>
      </c>
      <c r="AX127" s="4">
        <f t="shared" si="50"/>
        <v>119.32757237254992</v>
      </c>
      <c r="AY127" s="4">
        <f t="shared" si="50"/>
        <v>118.13429664882442</v>
      </c>
      <c r="AZ127" s="4">
        <f t="shared" si="50"/>
        <v>116.95295368233617</v>
      </c>
      <c r="BA127" s="4">
        <f t="shared" si="50"/>
        <v>115.78342414551281</v>
      </c>
      <c r="BB127" s="4">
        <f t="shared" si="50"/>
        <v>114.62558990405768</v>
      </c>
      <c r="BC127" s="4">
        <f t="shared" si="50"/>
        <v>113.47933400501709</v>
      </c>
      <c r="BD127" s="4">
        <f t="shared" si="50"/>
        <v>112.34454066496693</v>
      </c>
      <c r="BE127" s="4">
        <f t="shared" si="50"/>
        <v>111.22109525831726</v>
      </c>
      <c r="BF127" s="4">
        <f t="shared" si="50"/>
        <v>110.10888430573409</v>
      </c>
      <c r="BG127" s="4">
        <f t="shared" si="50"/>
        <v>109.00779546267675</v>
      </c>
      <c r="BH127" s="4">
        <f t="shared" si="50"/>
        <v>107.91771750804999</v>
      </c>
      <c r="BI127" s="4">
        <f t="shared" si="50"/>
        <v>106.83854033296949</v>
      </c>
      <c r="BJ127" s="4">
        <f t="shared" si="50"/>
        <v>105.77015492963979</v>
      </c>
      <c r="BK127" s="4">
        <f t="shared" si="50"/>
        <v>104.71245338034339</v>
      </c>
      <c r="BL127" s="4">
        <f t="shared" si="50"/>
        <v>103.66532884653995</v>
      </c>
    </row>
    <row r="128" spans="1:64" x14ac:dyDescent="0.35">
      <c r="A128" s="1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/>
      <c r="AN128" s="4"/>
      <c r="AO128" s="4"/>
      <c r="AP128" s="4"/>
      <c r="AQ128" s="4"/>
      <c r="AR128" s="4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/>
      <c r="BE128" s="4"/>
      <c r="BF128" s="4"/>
      <c r="BG128" s="4"/>
      <c r="BH128" s="4"/>
      <c r="BI128" s="4"/>
      <c r="BJ128" s="4"/>
      <c r="BK128" s="4"/>
      <c r="BL128" s="4"/>
    </row>
    <row r="129" spans="1:64" x14ac:dyDescent="0.35">
      <c r="A129" s="1"/>
      <c r="C129" s="2" t="s">
        <v>105</v>
      </c>
      <c r="D129" s="4"/>
      <c r="E129" s="4">
        <f t="shared" ref="E129:AJ129" si="51">E49</f>
        <v>0</v>
      </c>
      <c r="F129" s="4">
        <f t="shared" si="51"/>
        <v>0</v>
      </c>
      <c r="G129" s="4">
        <f t="shared" si="51"/>
        <v>0</v>
      </c>
      <c r="H129" s="4">
        <f t="shared" si="51"/>
        <v>0</v>
      </c>
      <c r="I129" s="4">
        <f t="shared" si="51"/>
        <v>0</v>
      </c>
      <c r="J129" s="4">
        <f t="shared" si="51"/>
        <v>0</v>
      </c>
      <c r="K129" s="4">
        <f t="shared" si="51"/>
        <v>0</v>
      </c>
      <c r="L129" s="4">
        <f t="shared" si="51"/>
        <v>0</v>
      </c>
      <c r="M129" s="4">
        <f t="shared" si="51"/>
        <v>0</v>
      </c>
      <c r="N129" s="4">
        <f t="shared" si="51"/>
        <v>0</v>
      </c>
      <c r="O129" s="4">
        <f t="shared" si="51"/>
        <v>0</v>
      </c>
      <c r="P129" s="4">
        <f t="shared" si="51"/>
        <v>0</v>
      </c>
      <c r="Q129" s="4">
        <f t="shared" si="51"/>
        <v>0</v>
      </c>
      <c r="R129" s="4">
        <f t="shared" si="51"/>
        <v>0</v>
      </c>
      <c r="S129" s="4">
        <f t="shared" si="51"/>
        <v>0</v>
      </c>
      <c r="T129" s="4">
        <f t="shared" si="51"/>
        <v>0</v>
      </c>
      <c r="U129" s="4">
        <f t="shared" si="51"/>
        <v>0</v>
      </c>
      <c r="V129" s="4">
        <f t="shared" si="51"/>
        <v>0</v>
      </c>
      <c r="W129" s="4">
        <f t="shared" si="51"/>
        <v>0</v>
      </c>
      <c r="X129" s="4">
        <f t="shared" si="51"/>
        <v>0</v>
      </c>
      <c r="Y129" s="4">
        <f t="shared" si="51"/>
        <v>0</v>
      </c>
      <c r="Z129" s="4">
        <f t="shared" si="51"/>
        <v>0</v>
      </c>
      <c r="AA129" s="4">
        <f t="shared" si="51"/>
        <v>0</v>
      </c>
      <c r="AB129" s="4">
        <f t="shared" si="51"/>
        <v>0</v>
      </c>
      <c r="AC129" s="4">
        <f t="shared" si="51"/>
        <v>0</v>
      </c>
      <c r="AD129" s="4">
        <f t="shared" si="51"/>
        <v>0</v>
      </c>
      <c r="AE129" s="4">
        <f t="shared" si="51"/>
        <v>0</v>
      </c>
      <c r="AF129" s="4">
        <f t="shared" si="51"/>
        <v>0</v>
      </c>
      <c r="AG129" s="4">
        <f t="shared" si="51"/>
        <v>0</v>
      </c>
      <c r="AH129" s="4">
        <f t="shared" si="51"/>
        <v>0</v>
      </c>
      <c r="AI129" s="4">
        <f t="shared" si="51"/>
        <v>0</v>
      </c>
      <c r="AJ129" s="4">
        <f t="shared" si="51"/>
        <v>0</v>
      </c>
      <c r="AK129" s="4">
        <f t="shared" ref="AK129:BL129" si="52">AK49</f>
        <v>0</v>
      </c>
      <c r="AL129" s="4">
        <f t="shared" si="52"/>
        <v>0</v>
      </c>
      <c r="AM129" s="4">
        <f t="shared" si="52"/>
        <v>0</v>
      </c>
      <c r="AN129" s="4">
        <f t="shared" si="52"/>
        <v>0</v>
      </c>
      <c r="AO129" s="4">
        <f t="shared" si="52"/>
        <v>0</v>
      </c>
      <c r="AP129" s="4">
        <f t="shared" si="52"/>
        <v>0</v>
      </c>
      <c r="AQ129" s="4">
        <f t="shared" si="52"/>
        <v>0</v>
      </c>
      <c r="AR129" s="4">
        <f t="shared" si="52"/>
        <v>0</v>
      </c>
      <c r="AS129" s="4">
        <f t="shared" si="52"/>
        <v>0</v>
      </c>
      <c r="AT129" s="4">
        <f t="shared" si="52"/>
        <v>0</v>
      </c>
      <c r="AU129" s="4">
        <f t="shared" si="52"/>
        <v>0</v>
      </c>
      <c r="AV129" s="4">
        <f t="shared" si="52"/>
        <v>0</v>
      </c>
      <c r="AW129" s="4">
        <f t="shared" si="52"/>
        <v>0</v>
      </c>
      <c r="AX129" s="4">
        <f t="shared" si="52"/>
        <v>0</v>
      </c>
      <c r="AY129" s="4">
        <f t="shared" si="52"/>
        <v>0</v>
      </c>
      <c r="AZ129" s="4">
        <f t="shared" si="52"/>
        <v>0</v>
      </c>
      <c r="BA129" s="4">
        <f t="shared" si="52"/>
        <v>0</v>
      </c>
      <c r="BB129" s="4">
        <f t="shared" si="52"/>
        <v>0</v>
      </c>
      <c r="BC129" s="4">
        <f t="shared" si="52"/>
        <v>0</v>
      </c>
      <c r="BD129" s="4">
        <f t="shared" si="52"/>
        <v>0</v>
      </c>
      <c r="BE129" s="4">
        <f t="shared" si="52"/>
        <v>0</v>
      </c>
      <c r="BF129" s="4">
        <f t="shared" si="52"/>
        <v>0</v>
      </c>
      <c r="BG129" s="4">
        <f t="shared" si="52"/>
        <v>0</v>
      </c>
      <c r="BH129" s="4">
        <f t="shared" si="52"/>
        <v>0</v>
      </c>
      <c r="BI129" s="4">
        <f t="shared" si="52"/>
        <v>0</v>
      </c>
      <c r="BJ129" s="4">
        <f t="shared" si="52"/>
        <v>0</v>
      </c>
      <c r="BK129" s="4">
        <f t="shared" si="52"/>
        <v>0</v>
      </c>
      <c r="BL129" s="4">
        <f t="shared" si="52"/>
        <v>0</v>
      </c>
    </row>
    <row r="130" spans="1:64" x14ac:dyDescent="0.35">
      <c r="A130" s="1"/>
      <c r="C130" s="2" t="s">
        <v>409</v>
      </c>
      <c r="D130" s="4"/>
      <c r="E130" s="4">
        <f t="shared" ref="E130:AJ130" ca="1" si="53">E108</f>
        <v>49.291195129394552</v>
      </c>
      <c r="F130" s="4">
        <f t="shared" ca="1" si="53"/>
        <v>48.414907865851397</v>
      </c>
      <c r="G130" s="4">
        <f t="shared" ca="1" si="53"/>
        <v>47.527792309206156</v>
      </c>
      <c r="H130" s="4">
        <f t="shared" ca="1" si="53"/>
        <v>46.629714739865911</v>
      </c>
      <c r="I130" s="4">
        <f t="shared" ca="1" si="53"/>
        <v>45.720539625707922</v>
      </c>
      <c r="J130" s="4">
        <f t="shared" ca="1" si="53"/>
        <v>44.800129859358371</v>
      </c>
      <c r="K130" s="4">
        <f t="shared" ca="1" si="53"/>
        <v>43.877009014271671</v>
      </c>
      <c r="L130" s="4">
        <f t="shared" ca="1" si="53"/>
        <v>42.930385541500009</v>
      </c>
      <c r="M130" s="4">
        <f t="shared" ca="1" si="53"/>
        <v>41.9598481279304</v>
      </c>
      <c r="N130" s="4">
        <f t="shared" ca="1" si="53"/>
        <v>40.964979119017144</v>
      </c>
      <c r="O130" s="4">
        <f t="shared" ca="1" si="53"/>
        <v>39.92732638199373</v>
      </c>
      <c r="P130" s="4">
        <f t="shared" ca="1" si="53"/>
        <v>38.889618476683374</v>
      </c>
      <c r="Q130" s="4">
        <f t="shared" ca="1" si="53"/>
        <v>37.851726980407534</v>
      </c>
      <c r="R130" s="4">
        <f t="shared" ca="1" si="53"/>
        <v>36.813523304937625</v>
      </c>
      <c r="S130" s="4">
        <f t="shared" ca="1" si="53"/>
        <v>35.792195973896384</v>
      </c>
      <c r="T130" s="4">
        <f t="shared" ca="1" si="53"/>
        <v>34.746157444939506</v>
      </c>
      <c r="U130" s="4">
        <f t="shared" ca="1" si="53"/>
        <v>33.674981400406637</v>
      </c>
      <c r="V130" s="4">
        <f t="shared" ca="1" si="53"/>
        <v>32.578235124619482</v>
      </c>
      <c r="W130" s="4">
        <f t="shared" ca="1" si="53"/>
        <v>31.437458430562614</v>
      </c>
      <c r="X130" s="4">
        <f t="shared" ca="1" si="53"/>
        <v>30.295347101726009</v>
      </c>
      <c r="Y130" s="4">
        <f t="shared" ca="1" si="53"/>
        <v>29.151756988284713</v>
      </c>
      <c r="Z130" s="4">
        <f t="shared" ca="1" si="53"/>
        <v>28.006543581511934</v>
      </c>
      <c r="AA130" s="4">
        <f t="shared" ca="1" si="53"/>
        <v>26.859561757580529</v>
      </c>
      <c r="AB130" s="4">
        <f t="shared" ca="1" si="53"/>
        <v>25.710665675352992</v>
      </c>
      <c r="AC130" s="4">
        <f t="shared" ca="1" si="53"/>
        <v>24.559709186480838</v>
      </c>
      <c r="AD130" s="4">
        <f t="shared" ca="1" si="53"/>
        <v>23.40654545333491</v>
      </c>
      <c r="AE130" s="4">
        <f t="shared" ca="1" si="53"/>
        <v>22.251027120816964</v>
      </c>
      <c r="AF130" s="4">
        <f t="shared" ca="1" si="53"/>
        <v>21.093006038265546</v>
      </c>
      <c r="AG130" s="4">
        <f t="shared" ca="1" si="53"/>
        <v>19.932333582572635</v>
      </c>
      <c r="AH130" s="4">
        <f t="shared" ca="1" si="53"/>
        <v>18.768860360740408</v>
      </c>
      <c r="AI130" s="4">
        <f t="shared" ca="1" si="53"/>
        <v>17.602436396379701</v>
      </c>
      <c r="AJ130" s="4">
        <f t="shared" ca="1" si="53"/>
        <v>16.432910912289742</v>
      </c>
      <c r="AK130" s="4">
        <f t="shared" ref="AK130:BL130" ca="1" si="54">AK108</f>
        <v>15.26013249645888</v>
      </c>
      <c r="AL130" s="4">
        <f t="shared" ca="1" si="54"/>
        <v>14.083948980811622</v>
      </c>
      <c r="AM130" s="4">
        <f t="shared" ca="1" si="54"/>
        <v>12.904207430177665</v>
      </c>
      <c r="AN130" s="4">
        <f t="shared" ca="1" si="54"/>
        <v>11.720754049870553</v>
      </c>
      <c r="AO130" s="4">
        <f t="shared" ca="1" si="54"/>
        <v>10.533434392095931</v>
      </c>
      <c r="AP130" s="4">
        <f t="shared" ca="1" si="54"/>
        <v>9.3420930163255473</v>
      </c>
      <c r="AQ130" s="4">
        <f t="shared" ca="1" si="54"/>
        <v>8.1465737957167192</v>
      </c>
      <c r="AR130" s="4">
        <f t="shared" ca="1" si="54"/>
        <v>6.94671965356532</v>
      </c>
      <c r="AS130" s="4">
        <f t="shared" ca="1" si="54"/>
        <v>5.7423726214451127</v>
      </c>
      <c r="AT130" s="4">
        <f t="shared" ca="1" si="54"/>
        <v>4.5333738983599154</v>
      </c>
      <c r="AU130" s="4">
        <f t="shared" ca="1" si="54"/>
        <v>3.319563666799302</v>
      </c>
      <c r="AV130" s="4">
        <f t="shared" ca="1" si="54"/>
        <v>2.1007811502961338</v>
      </c>
      <c r="AW130" s="4">
        <f t="shared" ca="1" si="54"/>
        <v>1.5154171357778524E-8</v>
      </c>
      <c r="AX130" s="4">
        <f t="shared" ca="1" si="54"/>
        <v>1.5381483928145198E-8</v>
      </c>
      <c r="AY130" s="4">
        <f t="shared" ca="1" si="54"/>
        <v>1.5612206187067376E-8</v>
      </c>
      <c r="AZ130" s="4">
        <f t="shared" ca="1" si="54"/>
        <v>1.5846389279873387E-8</v>
      </c>
      <c r="BA130" s="4">
        <f t="shared" ca="1" si="54"/>
        <v>1.6084085119071489E-8</v>
      </c>
      <c r="BB130" s="4">
        <f t="shared" ca="1" si="54"/>
        <v>1.6325346395857562E-8</v>
      </c>
      <c r="BC130" s="4">
        <f t="shared" ca="1" si="54"/>
        <v>1.6570226591795425E-8</v>
      </c>
      <c r="BD130" s="4">
        <f t="shared" ca="1" si="54"/>
        <v>1.6818779990672357E-8</v>
      </c>
      <c r="BE130" s="4">
        <f t="shared" ca="1" si="54"/>
        <v>1.7071061690532444E-8</v>
      </c>
      <c r="BF130" s="4">
        <f t="shared" ca="1" si="54"/>
        <v>1.7327127615890429E-8</v>
      </c>
      <c r="BG130" s="4">
        <f t="shared" ca="1" si="54"/>
        <v>1.7587034530128787E-8</v>
      </c>
      <c r="BH130" s="4">
        <f t="shared" ca="1" si="54"/>
        <v>1.7850840048080718E-8</v>
      </c>
      <c r="BI130" s="4">
        <f t="shared" ca="1" si="54"/>
        <v>1.811860264880193E-8</v>
      </c>
      <c r="BJ130" s="4">
        <f t="shared" ca="1" si="54"/>
        <v>1.8390381688533955E-8</v>
      </c>
      <c r="BK130" s="4">
        <f t="shared" ca="1" si="54"/>
        <v>1.8666237413861965E-8</v>
      </c>
      <c r="BL130" s="4">
        <f t="shared" ca="1" si="54"/>
        <v>1.8946230975069892E-8</v>
      </c>
    </row>
    <row r="131" spans="1:64" x14ac:dyDescent="0.35">
      <c r="A131" s="1"/>
      <c r="C131" s="2" t="s">
        <v>410</v>
      </c>
      <c r="D131" s="4">
        <f>D32+D34</f>
        <v>4000</v>
      </c>
      <c r="E131" s="4">
        <f t="shared" ref="E131:AJ131" si="55">E54</f>
        <v>0</v>
      </c>
      <c r="F131" s="4">
        <f t="shared" si="55"/>
        <v>0</v>
      </c>
      <c r="G131" s="4">
        <f t="shared" si="55"/>
        <v>0</v>
      </c>
      <c r="H131" s="4">
        <f t="shared" si="55"/>
        <v>0</v>
      </c>
      <c r="I131" s="4">
        <f t="shared" si="55"/>
        <v>0</v>
      </c>
      <c r="J131" s="4">
        <f t="shared" si="55"/>
        <v>0</v>
      </c>
      <c r="K131" s="4">
        <f t="shared" si="55"/>
        <v>0</v>
      </c>
      <c r="L131" s="4">
        <f t="shared" si="55"/>
        <v>0</v>
      </c>
      <c r="M131" s="4">
        <f t="shared" si="55"/>
        <v>0</v>
      </c>
      <c r="N131" s="4">
        <f t="shared" si="55"/>
        <v>0</v>
      </c>
      <c r="O131" s="4">
        <f t="shared" si="55"/>
        <v>0</v>
      </c>
      <c r="P131" s="4">
        <f t="shared" si="55"/>
        <v>0</v>
      </c>
      <c r="Q131" s="4">
        <f t="shared" si="55"/>
        <v>0</v>
      </c>
      <c r="R131" s="4">
        <f t="shared" si="55"/>
        <v>0</v>
      </c>
      <c r="S131" s="4">
        <f t="shared" si="55"/>
        <v>0</v>
      </c>
      <c r="T131" s="4">
        <f t="shared" si="55"/>
        <v>0</v>
      </c>
      <c r="U131" s="4">
        <f t="shared" si="55"/>
        <v>0</v>
      </c>
      <c r="V131" s="4">
        <f t="shared" si="55"/>
        <v>0</v>
      </c>
      <c r="W131" s="4">
        <f t="shared" si="55"/>
        <v>0</v>
      </c>
      <c r="X131" s="4">
        <f t="shared" si="55"/>
        <v>0</v>
      </c>
      <c r="Y131" s="4">
        <f t="shared" si="55"/>
        <v>0</v>
      </c>
      <c r="Z131" s="4">
        <f t="shared" si="55"/>
        <v>0</v>
      </c>
      <c r="AA131" s="4">
        <f t="shared" si="55"/>
        <v>0</v>
      </c>
      <c r="AB131" s="4">
        <f t="shared" si="55"/>
        <v>0</v>
      </c>
      <c r="AC131" s="4">
        <f t="shared" si="55"/>
        <v>0</v>
      </c>
      <c r="AD131" s="4">
        <f t="shared" si="55"/>
        <v>0</v>
      </c>
      <c r="AE131" s="4">
        <f t="shared" si="55"/>
        <v>0</v>
      </c>
      <c r="AF131" s="4">
        <f t="shared" si="55"/>
        <v>0</v>
      </c>
      <c r="AG131" s="4">
        <f t="shared" si="55"/>
        <v>0</v>
      </c>
      <c r="AH131" s="4">
        <f t="shared" si="55"/>
        <v>0</v>
      </c>
      <c r="AI131" s="4">
        <f t="shared" si="55"/>
        <v>0</v>
      </c>
      <c r="AJ131" s="4">
        <f t="shared" si="55"/>
        <v>0</v>
      </c>
      <c r="AK131" s="4">
        <f t="shared" ref="AK131:BL131" si="56">AK54</f>
        <v>0</v>
      </c>
      <c r="AL131" s="4">
        <f t="shared" si="56"/>
        <v>0</v>
      </c>
      <c r="AM131" s="4">
        <f t="shared" si="56"/>
        <v>0</v>
      </c>
      <c r="AN131" s="4">
        <f t="shared" si="56"/>
        <v>0</v>
      </c>
      <c r="AO131" s="4">
        <f t="shared" si="56"/>
        <v>0</v>
      </c>
      <c r="AP131" s="4">
        <f t="shared" si="56"/>
        <v>0</v>
      </c>
      <c r="AQ131" s="4">
        <f t="shared" si="56"/>
        <v>0</v>
      </c>
      <c r="AR131" s="4">
        <f t="shared" si="56"/>
        <v>0</v>
      </c>
      <c r="AS131" s="4">
        <f t="shared" si="56"/>
        <v>0</v>
      </c>
      <c r="AT131" s="4">
        <f t="shared" si="56"/>
        <v>0</v>
      </c>
      <c r="AU131" s="4">
        <f t="shared" si="56"/>
        <v>0</v>
      </c>
      <c r="AV131" s="4">
        <f t="shared" si="56"/>
        <v>0</v>
      </c>
      <c r="AW131" s="4">
        <f t="shared" si="56"/>
        <v>0</v>
      </c>
      <c r="AX131" s="4">
        <f t="shared" si="56"/>
        <v>0</v>
      </c>
      <c r="AY131" s="4">
        <f t="shared" si="56"/>
        <v>0</v>
      </c>
      <c r="AZ131" s="4">
        <f t="shared" si="56"/>
        <v>0</v>
      </c>
      <c r="BA131" s="4">
        <f t="shared" si="56"/>
        <v>0</v>
      </c>
      <c r="BB131" s="4">
        <f t="shared" si="56"/>
        <v>0</v>
      </c>
      <c r="BC131" s="4">
        <f t="shared" si="56"/>
        <v>0</v>
      </c>
      <c r="BD131" s="4">
        <f t="shared" si="56"/>
        <v>0</v>
      </c>
      <c r="BE131" s="4">
        <f t="shared" si="56"/>
        <v>0</v>
      </c>
      <c r="BF131" s="4">
        <f t="shared" si="56"/>
        <v>0</v>
      </c>
      <c r="BG131" s="4">
        <f t="shared" si="56"/>
        <v>0</v>
      </c>
      <c r="BH131" s="4">
        <f t="shared" si="56"/>
        <v>0</v>
      </c>
      <c r="BI131" s="4">
        <f t="shared" si="56"/>
        <v>0</v>
      </c>
      <c r="BJ131" s="4">
        <f t="shared" si="56"/>
        <v>0</v>
      </c>
      <c r="BK131" s="4">
        <f t="shared" si="56"/>
        <v>0</v>
      </c>
      <c r="BL131" s="4">
        <f t="shared" si="56"/>
        <v>0</v>
      </c>
    </row>
    <row r="132" spans="1:64" x14ac:dyDescent="0.35">
      <c r="A132" s="1"/>
      <c r="C132" s="2" t="s">
        <v>492</v>
      </c>
      <c r="D132" s="12">
        <f>D29</f>
        <v>2.5000000000000001E-2</v>
      </c>
      <c r="E132" s="4">
        <f>$D$132*$D$131</f>
        <v>100</v>
      </c>
      <c r="F132" s="4">
        <f t="shared" ref="F132:BL132" si="57">$D$132*$D$131</f>
        <v>100</v>
      </c>
      <c r="G132" s="4">
        <f t="shared" si="57"/>
        <v>100</v>
      </c>
      <c r="H132" s="4">
        <f t="shared" si="57"/>
        <v>100</v>
      </c>
      <c r="I132" s="4">
        <f t="shared" si="57"/>
        <v>100</v>
      </c>
      <c r="J132" s="4">
        <f t="shared" si="57"/>
        <v>100</v>
      </c>
      <c r="K132" s="4">
        <f t="shared" si="57"/>
        <v>100</v>
      </c>
      <c r="L132" s="4">
        <f t="shared" si="57"/>
        <v>100</v>
      </c>
      <c r="M132" s="4">
        <f t="shared" si="57"/>
        <v>100</v>
      </c>
      <c r="N132" s="4">
        <f t="shared" si="57"/>
        <v>100</v>
      </c>
      <c r="O132" s="4">
        <f t="shared" si="57"/>
        <v>100</v>
      </c>
      <c r="P132" s="4">
        <f t="shared" si="57"/>
        <v>100</v>
      </c>
      <c r="Q132" s="4">
        <f t="shared" si="57"/>
        <v>100</v>
      </c>
      <c r="R132" s="4">
        <f t="shared" si="57"/>
        <v>100</v>
      </c>
      <c r="S132" s="4">
        <f t="shared" si="57"/>
        <v>100</v>
      </c>
      <c r="T132" s="4">
        <f t="shared" si="57"/>
        <v>100</v>
      </c>
      <c r="U132" s="4">
        <f t="shared" si="57"/>
        <v>100</v>
      </c>
      <c r="V132" s="4">
        <f t="shared" si="57"/>
        <v>100</v>
      </c>
      <c r="W132" s="4">
        <f t="shared" si="57"/>
        <v>100</v>
      </c>
      <c r="X132" s="4">
        <f t="shared" si="57"/>
        <v>100</v>
      </c>
      <c r="Y132" s="4">
        <f t="shared" si="57"/>
        <v>100</v>
      </c>
      <c r="Z132" s="4">
        <f t="shared" si="57"/>
        <v>100</v>
      </c>
      <c r="AA132" s="4">
        <f t="shared" si="57"/>
        <v>100</v>
      </c>
      <c r="AB132" s="4">
        <f t="shared" si="57"/>
        <v>100</v>
      </c>
      <c r="AC132" s="4">
        <f t="shared" si="57"/>
        <v>100</v>
      </c>
      <c r="AD132" s="4">
        <f t="shared" si="57"/>
        <v>100</v>
      </c>
      <c r="AE132" s="4">
        <f t="shared" si="57"/>
        <v>100</v>
      </c>
      <c r="AF132" s="4">
        <f t="shared" si="57"/>
        <v>100</v>
      </c>
      <c r="AG132" s="4">
        <f t="shared" si="57"/>
        <v>100</v>
      </c>
      <c r="AH132" s="4">
        <f t="shared" si="57"/>
        <v>100</v>
      </c>
      <c r="AI132" s="4">
        <f t="shared" si="57"/>
        <v>100</v>
      </c>
      <c r="AJ132" s="4">
        <f t="shared" si="57"/>
        <v>100</v>
      </c>
      <c r="AK132" s="4">
        <f t="shared" si="57"/>
        <v>100</v>
      </c>
      <c r="AL132" s="4">
        <f t="shared" si="57"/>
        <v>100</v>
      </c>
      <c r="AM132" s="4">
        <f t="shared" si="57"/>
        <v>100</v>
      </c>
      <c r="AN132" s="4">
        <f t="shared" si="57"/>
        <v>100</v>
      </c>
      <c r="AO132" s="4">
        <f t="shared" si="57"/>
        <v>100</v>
      </c>
      <c r="AP132" s="4">
        <f t="shared" si="57"/>
        <v>100</v>
      </c>
      <c r="AQ132" s="4">
        <f t="shared" si="57"/>
        <v>100</v>
      </c>
      <c r="AR132" s="4">
        <f t="shared" si="57"/>
        <v>100</v>
      </c>
      <c r="AS132" s="4">
        <f t="shared" si="57"/>
        <v>100</v>
      </c>
      <c r="AT132" s="4">
        <f t="shared" si="57"/>
        <v>100</v>
      </c>
      <c r="AU132" s="4">
        <f t="shared" si="57"/>
        <v>100</v>
      </c>
      <c r="AV132" s="4">
        <f t="shared" si="57"/>
        <v>100</v>
      </c>
      <c r="AW132" s="4">
        <f t="shared" si="57"/>
        <v>100</v>
      </c>
      <c r="AX132" s="4">
        <f t="shared" si="57"/>
        <v>100</v>
      </c>
      <c r="AY132" s="4">
        <f t="shared" si="57"/>
        <v>100</v>
      </c>
      <c r="AZ132" s="4">
        <f t="shared" si="57"/>
        <v>100</v>
      </c>
      <c r="BA132" s="4">
        <f t="shared" si="57"/>
        <v>100</v>
      </c>
      <c r="BB132" s="4">
        <f t="shared" si="57"/>
        <v>100</v>
      </c>
      <c r="BC132" s="4">
        <f t="shared" si="57"/>
        <v>100</v>
      </c>
      <c r="BD132" s="4">
        <f t="shared" si="57"/>
        <v>100</v>
      </c>
      <c r="BE132" s="4">
        <f t="shared" si="57"/>
        <v>100</v>
      </c>
      <c r="BF132" s="4">
        <f t="shared" si="57"/>
        <v>100</v>
      </c>
      <c r="BG132" s="4">
        <f t="shared" si="57"/>
        <v>100</v>
      </c>
      <c r="BH132" s="4">
        <f t="shared" si="57"/>
        <v>100</v>
      </c>
      <c r="BI132" s="4">
        <f t="shared" si="57"/>
        <v>100</v>
      </c>
      <c r="BJ132" s="4">
        <f t="shared" si="57"/>
        <v>100</v>
      </c>
      <c r="BK132" s="4">
        <f t="shared" si="57"/>
        <v>100</v>
      </c>
      <c r="BL132" s="4">
        <f t="shared" si="57"/>
        <v>100</v>
      </c>
    </row>
    <row r="133" spans="1:64" ht="15" thickBot="1" x14ac:dyDescent="0.4">
      <c r="A133" s="1"/>
      <c r="C133" s="24" t="s">
        <v>493</v>
      </c>
      <c r="D133" s="25"/>
      <c r="E133" s="25">
        <f ca="1">E127+E129-E130-E131-E132</f>
        <v>2.7088048706054479</v>
      </c>
      <c r="F133" s="25">
        <f t="shared" ref="F133:BL133" ca="1" si="58">F127+F129-F130-F131-F132</f>
        <v>3.5850921341485957</v>
      </c>
      <c r="G133" s="25">
        <f t="shared" ca="1" si="58"/>
        <v>4.4722076907938515</v>
      </c>
      <c r="H133" s="25">
        <f t="shared" ca="1" si="58"/>
        <v>5.3702852601340965</v>
      </c>
      <c r="I133" s="25">
        <f t="shared" ca="1" si="58"/>
        <v>6.2794603742920856</v>
      </c>
      <c r="J133" s="25">
        <f t="shared" ca="1" si="58"/>
        <v>7.1998701406416217</v>
      </c>
      <c r="K133" s="25">
        <f t="shared" ca="1" si="58"/>
        <v>9.6429909857283462</v>
      </c>
      <c r="L133" s="25">
        <f t="shared" ca="1" si="58"/>
        <v>12.124814458499998</v>
      </c>
      <c r="M133" s="25">
        <f t="shared" ca="1" si="58"/>
        <v>14.645903872069624</v>
      </c>
      <c r="N133" s="25">
        <f t="shared" ca="1" si="58"/>
        <v>17.206830400982895</v>
      </c>
      <c r="O133" s="25">
        <f t="shared" ca="1" si="58"/>
        <v>16.662765042806313</v>
      </c>
      <c r="P133" s="25">
        <f t="shared" ca="1" si="58"/>
        <v>16.134572033868665</v>
      </c>
      <c r="Q133" s="25">
        <f t="shared" ca="1" si="58"/>
        <v>15.622221625039003</v>
      </c>
      <c r="R133" s="25">
        <f t="shared" ca="1" si="58"/>
        <v>15.125685814454442</v>
      </c>
      <c r="S133" s="25">
        <f t="shared" ca="1" si="58"/>
        <v>17.666405236689627</v>
      </c>
      <c r="T133" s="25">
        <f t="shared" ca="1" si="58"/>
        <v>20.247029777752346</v>
      </c>
      <c r="U133" s="25">
        <f t="shared" ca="1" si="58"/>
        <v>22.868137694512143</v>
      </c>
      <c r="V133" s="25">
        <f t="shared" ca="1" si="58"/>
        <v>25.530315161248495</v>
      </c>
      <c r="W133" s="25">
        <f t="shared" ca="1" si="58"/>
        <v>25.090006352446679</v>
      </c>
      <c r="X133" s="25">
        <f t="shared" ca="1" si="58"/>
        <v>24.666843033453176</v>
      </c>
      <c r="Y133" s="25">
        <f t="shared" ca="1" si="58"/>
        <v>24.260811245542669</v>
      </c>
      <c r="Z133" s="25">
        <f t="shared" ca="1" si="58"/>
        <v>23.871898969977181</v>
      </c>
      <c r="AA133" s="25">
        <f t="shared" ca="1" si="58"/>
        <v>23.500096368393685</v>
      </c>
      <c r="AB133" s="25">
        <f t="shared" ca="1" si="58"/>
        <v>23.145395869361465</v>
      </c>
      <c r="AC133" s="25">
        <f t="shared" ca="1" si="58"/>
        <v>22.807791742786492</v>
      </c>
      <c r="AD133" s="25">
        <f t="shared" ca="1" si="58"/>
        <v>22.487280466639746</v>
      </c>
      <c r="AE133" s="25">
        <f t="shared" ca="1" si="58"/>
        <v>22.183860539957948</v>
      </c>
      <c r="AF133" s="25">
        <f t="shared" ca="1" si="58"/>
        <v>21.8975327459016</v>
      </c>
      <c r="AG133" s="25">
        <f t="shared" ca="1" si="58"/>
        <v>21.628299813752832</v>
      </c>
      <c r="AH133" s="25">
        <f t="shared" ca="1" si="58"/>
        <v>21.376166701621798</v>
      </c>
      <c r="AI133" s="25">
        <f t="shared" ca="1" si="58"/>
        <v>21.141140395358875</v>
      </c>
      <c r="AJ133" s="25">
        <f t="shared" ca="1" si="58"/>
        <v>20.923230111531439</v>
      </c>
      <c r="AK133" s="25">
        <f t="shared" ca="1" si="58"/>
        <v>20.722447117124091</v>
      </c>
      <c r="AL133" s="25">
        <f t="shared" ca="1" si="58"/>
        <v>20.538804836635521</v>
      </c>
      <c r="AM133" s="25">
        <f t="shared" ca="1" si="58"/>
        <v>20.372318849095009</v>
      </c>
      <c r="AN133" s="25">
        <f t="shared" ca="1" si="58"/>
        <v>20.223006966609404</v>
      </c>
      <c r="AO133" s="25">
        <f t="shared" ca="1" si="58"/>
        <v>20.090889014219215</v>
      </c>
      <c r="AP133" s="25">
        <f t="shared" ca="1" si="58"/>
        <v>19.975987155926447</v>
      </c>
      <c r="AQ133" s="25">
        <f t="shared" ca="1" si="58"/>
        <v>19.878325574812763</v>
      </c>
      <c r="AR133" s="25">
        <f t="shared" ca="1" si="58"/>
        <v>19.797930723258858</v>
      </c>
      <c r="AS133" s="25">
        <f t="shared" ca="1" si="58"/>
        <v>19.734831251610828</v>
      </c>
      <c r="AT133" s="25">
        <f t="shared" ca="1" si="58"/>
        <v>19.689057935965465</v>
      </c>
      <c r="AU133" s="25">
        <f t="shared" ca="1" si="58"/>
        <v>19.660643849182819</v>
      </c>
      <c r="AV133" s="25">
        <f t="shared" ca="1" si="58"/>
        <v>19.649624290526162</v>
      </c>
      <c r="AW133" s="25">
        <f t="shared" ca="1" si="58"/>
        <v>20.532901371259896</v>
      </c>
      <c r="AX133" s="25">
        <f t="shared" ca="1" si="58"/>
        <v>19.327572357168435</v>
      </c>
      <c r="AY133" s="25">
        <f t="shared" ca="1" si="58"/>
        <v>18.134296633212216</v>
      </c>
      <c r="AZ133" s="25">
        <f t="shared" ca="1" si="58"/>
        <v>16.952953666489776</v>
      </c>
      <c r="BA133" s="25">
        <f t="shared" ca="1" si="58"/>
        <v>15.783424129428724</v>
      </c>
      <c r="BB133" s="25">
        <f t="shared" ca="1" si="58"/>
        <v>14.625589887732332</v>
      </c>
      <c r="BC133" s="25">
        <f t="shared" ca="1" si="58"/>
        <v>13.479333988446868</v>
      </c>
      <c r="BD133" s="25">
        <f t="shared" ca="1" si="58"/>
        <v>12.344540648148154</v>
      </c>
      <c r="BE133" s="25">
        <f t="shared" ca="1" si="58"/>
        <v>11.221095241246203</v>
      </c>
      <c r="BF133" s="25">
        <f t="shared" ca="1" si="58"/>
        <v>10.108884288406969</v>
      </c>
      <c r="BG133" s="25">
        <f t="shared" ca="1" si="58"/>
        <v>9.0077954450897124</v>
      </c>
      <c r="BH133" s="25">
        <f t="shared" ca="1" si="58"/>
        <v>7.9177174901991521</v>
      </c>
      <c r="BI133" s="25">
        <f t="shared" ca="1" si="58"/>
        <v>6.8385403148508885</v>
      </c>
      <c r="BJ133" s="25">
        <f t="shared" ca="1" si="58"/>
        <v>5.7701549112494064</v>
      </c>
      <c r="BK133" s="25">
        <f t="shared" ca="1" si="58"/>
        <v>4.7124533616771487</v>
      </c>
      <c r="BL133" s="25">
        <f t="shared" ca="1" si="58"/>
        <v>3.6653288275937257</v>
      </c>
    </row>
    <row r="134" spans="1:64" x14ac:dyDescent="0.35">
      <c r="A134" s="1"/>
      <c r="C134" s="10" t="s">
        <v>494</v>
      </c>
      <c r="D134" s="46"/>
      <c r="E134" s="46">
        <f>D137</f>
        <v>0</v>
      </c>
      <c r="F134" s="46">
        <f t="shared" ref="F134:BL134" ca="1" si="59">E137</f>
        <v>0</v>
      </c>
      <c r="G134" s="46">
        <f t="shared" ca="1" si="59"/>
        <v>0</v>
      </c>
      <c r="H134" s="46">
        <f t="shared" ca="1" si="59"/>
        <v>0</v>
      </c>
      <c r="I134" s="46">
        <f t="shared" ca="1" si="59"/>
        <v>0</v>
      </c>
      <c r="J134" s="46">
        <f t="shared" ca="1" si="59"/>
        <v>0</v>
      </c>
      <c r="K134" s="46">
        <f t="shared" ca="1" si="59"/>
        <v>0</v>
      </c>
      <c r="L134" s="46">
        <f t="shared" ca="1" si="59"/>
        <v>0</v>
      </c>
      <c r="M134" s="46">
        <f t="shared" ca="1" si="59"/>
        <v>0</v>
      </c>
      <c r="N134" s="46">
        <f t="shared" ca="1" si="59"/>
        <v>0</v>
      </c>
      <c r="O134" s="46">
        <f t="shared" ca="1" si="59"/>
        <v>0</v>
      </c>
      <c r="P134" s="46">
        <f t="shared" ca="1" si="59"/>
        <v>0</v>
      </c>
      <c r="Q134" s="46">
        <f t="shared" ca="1" si="59"/>
        <v>0</v>
      </c>
      <c r="R134" s="46">
        <f t="shared" ca="1" si="59"/>
        <v>0</v>
      </c>
      <c r="S134" s="46">
        <f t="shared" ca="1" si="59"/>
        <v>0</v>
      </c>
      <c r="T134" s="46">
        <f t="shared" ca="1" si="59"/>
        <v>0</v>
      </c>
      <c r="U134" s="46">
        <f t="shared" ca="1" si="59"/>
        <v>0</v>
      </c>
      <c r="V134" s="46">
        <f t="shared" ca="1" si="59"/>
        <v>0</v>
      </c>
      <c r="W134" s="46">
        <f t="shared" ca="1" si="59"/>
        <v>0</v>
      </c>
      <c r="X134" s="46">
        <f t="shared" ca="1" si="59"/>
        <v>0</v>
      </c>
      <c r="Y134" s="46">
        <f t="shared" ca="1" si="59"/>
        <v>0</v>
      </c>
      <c r="Z134" s="46">
        <f t="shared" ca="1" si="59"/>
        <v>0</v>
      </c>
      <c r="AA134" s="46">
        <f t="shared" ca="1" si="59"/>
        <v>0</v>
      </c>
      <c r="AB134" s="46">
        <f t="shared" ca="1" si="59"/>
        <v>0</v>
      </c>
      <c r="AC134" s="46">
        <f t="shared" ca="1" si="59"/>
        <v>0</v>
      </c>
      <c r="AD134" s="46">
        <f t="shared" ca="1" si="59"/>
        <v>0</v>
      </c>
      <c r="AE134" s="46">
        <f t="shared" ca="1" si="59"/>
        <v>0</v>
      </c>
      <c r="AF134" s="46">
        <f t="shared" ca="1" si="59"/>
        <v>0</v>
      </c>
      <c r="AG134" s="46">
        <f t="shared" ca="1" si="59"/>
        <v>0</v>
      </c>
      <c r="AH134" s="46">
        <f t="shared" ca="1" si="59"/>
        <v>0</v>
      </c>
      <c r="AI134" s="46">
        <f t="shared" ca="1" si="59"/>
        <v>0</v>
      </c>
      <c r="AJ134" s="46">
        <f t="shared" ca="1" si="59"/>
        <v>0</v>
      </c>
      <c r="AK134" s="46">
        <f t="shared" ca="1" si="59"/>
        <v>0</v>
      </c>
      <c r="AL134" s="46">
        <f t="shared" ca="1" si="59"/>
        <v>0</v>
      </c>
      <c r="AM134" s="46">
        <f t="shared" ca="1" si="59"/>
        <v>0</v>
      </c>
      <c r="AN134" s="46">
        <f t="shared" ca="1" si="59"/>
        <v>0</v>
      </c>
      <c r="AO134" s="46">
        <f t="shared" ca="1" si="59"/>
        <v>0</v>
      </c>
      <c r="AP134" s="46">
        <f t="shared" ca="1" si="59"/>
        <v>0</v>
      </c>
      <c r="AQ134" s="46">
        <f t="shared" ca="1" si="59"/>
        <v>0</v>
      </c>
      <c r="AR134" s="46">
        <f t="shared" ca="1" si="59"/>
        <v>0</v>
      </c>
      <c r="AS134" s="46">
        <f t="shared" ca="1" si="59"/>
        <v>0</v>
      </c>
      <c r="AT134" s="46">
        <f t="shared" ca="1" si="59"/>
        <v>0</v>
      </c>
      <c r="AU134" s="46">
        <f t="shared" ca="1" si="59"/>
        <v>0</v>
      </c>
      <c r="AV134" s="46">
        <f t="shared" ca="1" si="59"/>
        <v>0</v>
      </c>
      <c r="AW134" s="46">
        <f t="shared" ca="1" si="59"/>
        <v>0</v>
      </c>
      <c r="AX134" s="46">
        <f t="shared" ca="1" si="59"/>
        <v>0</v>
      </c>
      <c r="AY134" s="46">
        <f t="shared" ca="1" si="59"/>
        <v>0</v>
      </c>
      <c r="AZ134" s="46">
        <f t="shared" ca="1" si="59"/>
        <v>0</v>
      </c>
      <c r="BA134" s="46">
        <f t="shared" ca="1" si="59"/>
        <v>0</v>
      </c>
      <c r="BB134" s="46">
        <f t="shared" ca="1" si="59"/>
        <v>0</v>
      </c>
      <c r="BC134" s="46">
        <f t="shared" ca="1" si="59"/>
        <v>0</v>
      </c>
      <c r="BD134" s="46">
        <f t="shared" ca="1" si="59"/>
        <v>0</v>
      </c>
      <c r="BE134" s="46">
        <f t="shared" ca="1" si="59"/>
        <v>0</v>
      </c>
      <c r="BF134" s="46">
        <f t="shared" ca="1" si="59"/>
        <v>0</v>
      </c>
      <c r="BG134" s="46">
        <f t="shared" ca="1" si="59"/>
        <v>0</v>
      </c>
      <c r="BH134" s="46">
        <f t="shared" ca="1" si="59"/>
        <v>0</v>
      </c>
      <c r="BI134" s="46">
        <f t="shared" ca="1" si="59"/>
        <v>0</v>
      </c>
      <c r="BJ134" s="46">
        <f t="shared" ca="1" si="59"/>
        <v>0</v>
      </c>
      <c r="BK134" s="46">
        <f t="shared" ca="1" si="59"/>
        <v>0</v>
      </c>
      <c r="BL134" s="46">
        <f t="shared" ca="1" si="59"/>
        <v>0</v>
      </c>
    </row>
    <row r="135" spans="1:64" x14ac:dyDescent="0.35">
      <c r="A135" s="1"/>
      <c r="C135" s="10" t="s">
        <v>495</v>
      </c>
      <c r="D135" s="46"/>
      <c r="E135" s="46">
        <f ca="1">MAX(-E133,0)</f>
        <v>0</v>
      </c>
      <c r="F135" s="46">
        <f t="shared" ref="F135:BL135" ca="1" si="60">MAX(-F133,0)</f>
        <v>0</v>
      </c>
      <c r="G135" s="46">
        <f t="shared" ca="1" si="60"/>
        <v>0</v>
      </c>
      <c r="H135" s="46">
        <f t="shared" ca="1" si="60"/>
        <v>0</v>
      </c>
      <c r="I135" s="46">
        <f t="shared" ca="1" si="60"/>
        <v>0</v>
      </c>
      <c r="J135" s="46">
        <f t="shared" ca="1" si="60"/>
        <v>0</v>
      </c>
      <c r="K135" s="46">
        <f t="shared" ca="1" si="60"/>
        <v>0</v>
      </c>
      <c r="L135" s="46">
        <f t="shared" ca="1" si="60"/>
        <v>0</v>
      </c>
      <c r="M135" s="46">
        <f t="shared" ca="1" si="60"/>
        <v>0</v>
      </c>
      <c r="N135" s="46">
        <f t="shared" ca="1" si="60"/>
        <v>0</v>
      </c>
      <c r="O135" s="46">
        <f t="shared" ca="1" si="60"/>
        <v>0</v>
      </c>
      <c r="P135" s="46">
        <f t="shared" ca="1" si="60"/>
        <v>0</v>
      </c>
      <c r="Q135" s="46">
        <f t="shared" ca="1" si="60"/>
        <v>0</v>
      </c>
      <c r="R135" s="46">
        <f t="shared" ca="1" si="60"/>
        <v>0</v>
      </c>
      <c r="S135" s="46">
        <f t="shared" ca="1" si="60"/>
        <v>0</v>
      </c>
      <c r="T135" s="46">
        <f t="shared" ca="1" si="60"/>
        <v>0</v>
      </c>
      <c r="U135" s="46">
        <f t="shared" ca="1" si="60"/>
        <v>0</v>
      </c>
      <c r="V135" s="46">
        <f t="shared" ca="1" si="60"/>
        <v>0</v>
      </c>
      <c r="W135" s="46">
        <f t="shared" ca="1" si="60"/>
        <v>0</v>
      </c>
      <c r="X135" s="46">
        <f t="shared" ca="1" si="60"/>
        <v>0</v>
      </c>
      <c r="Y135" s="46">
        <f t="shared" ca="1" si="60"/>
        <v>0</v>
      </c>
      <c r="Z135" s="46">
        <f t="shared" ca="1" si="60"/>
        <v>0</v>
      </c>
      <c r="AA135" s="46">
        <f t="shared" ca="1" si="60"/>
        <v>0</v>
      </c>
      <c r="AB135" s="46">
        <f t="shared" ca="1" si="60"/>
        <v>0</v>
      </c>
      <c r="AC135" s="46">
        <f t="shared" ca="1" si="60"/>
        <v>0</v>
      </c>
      <c r="AD135" s="46">
        <f t="shared" ca="1" si="60"/>
        <v>0</v>
      </c>
      <c r="AE135" s="46">
        <f t="shared" ca="1" si="60"/>
        <v>0</v>
      </c>
      <c r="AF135" s="46">
        <f t="shared" ca="1" si="60"/>
        <v>0</v>
      </c>
      <c r="AG135" s="46">
        <f t="shared" ca="1" si="60"/>
        <v>0</v>
      </c>
      <c r="AH135" s="46">
        <f t="shared" ca="1" si="60"/>
        <v>0</v>
      </c>
      <c r="AI135" s="46">
        <f t="shared" ca="1" si="60"/>
        <v>0</v>
      </c>
      <c r="AJ135" s="46">
        <f t="shared" ca="1" si="60"/>
        <v>0</v>
      </c>
      <c r="AK135" s="46">
        <f t="shared" ca="1" si="60"/>
        <v>0</v>
      </c>
      <c r="AL135" s="46">
        <f t="shared" ca="1" si="60"/>
        <v>0</v>
      </c>
      <c r="AM135" s="46">
        <f t="shared" ca="1" si="60"/>
        <v>0</v>
      </c>
      <c r="AN135" s="46">
        <f t="shared" ca="1" si="60"/>
        <v>0</v>
      </c>
      <c r="AO135" s="46">
        <f t="shared" ca="1" si="60"/>
        <v>0</v>
      </c>
      <c r="AP135" s="46">
        <f t="shared" ca="1" si="60"/>
        <v>0</v>
      </c>
      <c r="AQ135" s="46">
        <f t="shared" ca="1" si="60"/>
        <v>0</v>
      </c>
      <c r="AR135" s="46">
        <f t="shared" ca="1" si="60"/>
        <v>0</v>
      </c>
      <c r="AS135" s="46">
        <f t="shared" ca="1" si="60"/>
        <v>0</v>
      </c>
      <c r="AT135" s="46">
        <f t="shared" ca="1" si="60"/>
        <v>0</v>
      </c>
      <c r="AU135" s="46">
        <f t="shared" ca="1" si="60"/>
        <v>0</v>
      </c>
      <c r="AV135" s="46">
        <f t="shared" ca="1" si="60"/>
        <v>0</v>
      </c>
      <c r="AW135" s="46">
        <f t="shared" ca="1" si="60"/>
        <v>0</v>
      </c>
      <c r="AX135" s="46">
        <f t="shared" ca="1" si="60"/>
        <v>0</v>
      </c>
      <c r="AY135" s="46">
        <f t="shared" ca="1" si="60"/>
        <v>0</v>
      </c>
      <c r="AZ135" s="46">
        <f t="shared" ca="1" si="60"/>
        <v>0</v>
      </c>
      <c r="BA135" s="46">
        <f t="shared" ca="1" si="60"/>
        <v>0</v>
      </c>
      <c r="BB135" s="46">
        <f t="shared" ca="1" si="60"/>
        <v>0</v>
      </c>
      <c r="BC135" s="46">
        <f t="shared" ca="1" si="60"/>
        <v>0</v>
      </c>
      <c r="BD135" s="46">
        <f t="shared" ca="1" si="60"/>
        <v>0</v>
      </c>
      <c r="BE135" s="46">
        <f t="shared" ca="1" si="60"/>
        <v>0</v>
      </c>
      <c r="BF135" s="46">
        <f t="shared" ca="1" si="60"/>
        <v>0</v>
      </c>
      <c r="BG135" s="46">
        <f t="shared" ca="1" si="60"/>
        <v>0</v>
      </c>
      <c r="BH135" s="46">
        <f t="shared" ca="1" si="60"/>
        <v>0</v>
      </c>
      <c r="BI135" s="46">
        <f t="shared" ca="1" si="60"/>
        <v>0</v>
      </c>
      <c r="BJ135" s="46">
        <f t="shared" ca="1" si="60"/>
        <v>0</v>
      </c>
      <c r="BK135" s="46">
        <f t="shared" ca="1" si="60"/>
        <v>0</v>
      </c>
      <c r="BL135" s="46">
        <f t="shared" ca="1" si="60"/>
        <v>0</v>
      </c>
    </row>
    <row r="136" spans="1:64" x14ac:dyDescent="0.35">
      <c r="A136" s="1"/>
      <c r="C136" s="10" t="s">
        <v>496</v>
      </c>
      <c r="D136" s="46"/>
      <c r="E136" s="46">
        <f ca="1">MIN(MAX(E133,0),E134)</f>
        <v>0</v>
      </c>
      <c r="F136" s="46">
        <f t="shared" ref="F136:BL136" ca="1" si="61">MIN(MAX(F133,0),F134)</f>
        <v>0</v>
      </c>
      <c r="G136" s="46">
        <f t="shared" ca="1" si="61"/>
        <v>0</v>
      </c>
      <c r="H136" s="46">
        <f t="shared" ca="1" si="61"/>
        <v>0</v>
      </c>
      <c r="I136" s="46">
        <f t="shared" ca="1" si="61"/>
        <v>0</v>
      </c>
      <c r="J136" s="46">
        <f t="shared" ca="1" si="61"/>
        <v>0</v>
      </c>
      <c r="K136" s="46">
        <f t="shared" ca="1" si="61"/>
        <v>0</v>
      </c>
      <c r="L136" s="46">
        <f t="shared" ca="1" si="61"/>
        <v>0</v>
      </c>
      <c r="M136" s="46">
        <f t="shared" ca="1" si="61"/>
        <v>0</v>
      </c>
      <c r="N136" s="46">
        <f t="shared" ca="1" si="61"/>
        <v>0</v>
      </c>
      <c r="O136" s="46">
        <f t="shared" ca="1" si="61"/>
        <v>0</v>
      </c>
      <c r="P136" s="46">
        <f t="shared" ca="1" si="61"/>
        <v>0</v>
      </c>
      <c r="Q136" s="46">
        <f t="shared" ca="1" si="61"/>
        <v>0</v>
      </c>
      <c r="R136" s="46">
        <f t="shared" ca="1" si="61"/>
        <v>0</v>
      </c>
      <c r="S136" s="46">
        <f t="shared" ca="1" si="61"/>
        <v>0</v>
      </c>
      <c r="T136" s="46">
        <f t="shared" ca="1" si="61"/>
        <v>0</v>
      </c>
      <c r="U136" s="46">
        <f t="shared" ca="1" si="61"/>
        <v>0</v>
      </c>
      <c r="V136" s="46">
        <f t="shared" ca="1" si="61"/>
        <v>0</v>
      </c>
      <c r="W136" s="46">
        <f t="shared" ca="1" si="61"/>
        <v>0</v>
      </c>
      <c r="X136" s="46">
        <f t="shared" ca="1" si="61"/>
        <v>0</v>
      </c>
      <c r="Y136" s="46">
        <f t="shared" ca="1" si="61"/>
        <v>0</v>
      </c>
      <c r="Z136" s="46">
        <f t="shared" ca="1" si="61"/>
        <v>0</v>
      </c>
      <c r="AA136" s="46">
        <f t="shared" ca="1" si="61"/>
        <v>0</v>
      </c>
      <c r="AB136" s="46">
        <f t="shared" ca="1" si="61"/>
        <v>0</v>
      </c>
      <c r="AC136" s="46">
        <f t="shared" ca="1" si="61"/>
        <v>0</v>
      </c>
      <c r="AD136" s="46">
        <f t="shared" ca="1" si="61"/>
        <v>0</v>
      </c>
      <c r="AE136" s="46">
        <f t="shared" ca="1" si="61"/>
        <v>0</v>
      </c>
      <c r="AF136" s="46">
        <f t="shared" ca="1" si="61"/>
        <v>0</v>
      </c>
      <c r="AG136" s="46">
        <f t="shared" ca="1" si="61"/>
        <v>0</v>
      </c>
      <c r="AH136" s="46">
        <f t="shared" ca="1" si="61"/>
        <v>0</v>
      </c>
      <c r="AI136" s="46">
        <f t="shared" ca="1" si="61"/>
        <v>0</v>
      </c>
      <c r="AJ136" s="46">
        <f t="shared" ca="1" si="61"/>
        <v>0</v>
      </c>
      <c r="AK136" s="46">
        <f t="shared" ca="1" si="61"/>
        <v>0</v>
      </c>
      <c r="AL136" s="46">
        <f t="shared" ca="1" si="61"/>
        <v>0</v>
      </c>
      <c r="AM136" s="46">
        <f t="shared" ca="1" si="61"/>
        <v>0</v>
      </c>
      <c r="AN136" s="46">
        <f t="shared" ca="1" si="61"/>
        <v>0</v>
      </c>
      <c r="AO136" s="46">
        <f t="shared" ca="1" si="61"/>
        <v>0</v>
      </c>
      <c r="AP136" s="46">
        <f t="shared" ca="1" si="61"/>
        <v>0</v>
      </c>
      <c r="AQ136" s="46">
        <f t="shared" ca="1" si="61"/>
        <v>0</v>
      </c>
      <c r="AR136" s="46">
        <f t="shared" ca="1" si="61"/>
        <v>0</v>
      </c>
      <c r="AS136" s="46">
        <f t="shared" ca="1" si="61"/>
        <v>0</v>
      </c>
      <c r="AT136" s="46">
        <f t="shared" ca="1" si="61"/>
        <v>0</v>
      </c>
      <c r="AU136" s="46">
        <f t="shared" ca="1" si="61"/>
        <v>0</v>
      </c>
      <c r="AV136" s="46">
        <f t="shared" ca="1" si="61"/>
        <v>0</v>
      </c>
      <c r="AW136" s="46">
        <f t="shared" ca="1" si="61"/>
        <v>0</v>
      </c>
      <c r="AX136" s="46">
        <f t="shared" ca="1" si="61"/>
        <v>0</v>
      </c>
      <c r="AY136" s="46">
        <f t="shared" ca="1" si="61"/>
        <v>0</v>
      </c>
      <c r="AZ136" s="46">
        <f t="shared" ca="1" si="61"/>
        <v>0</v>
      </c>
      <c r="BA136" s="46">
        <f t="shared" ca="1" si="61"/>
        <v>0</v>
      </c>
      <c r="BB136" s="46">
        <f t="shared" ca="1" si="61"/>
        <v>0</v>
      </c>
      <c r="BC136" s="46">
        <f t="shared" ca="1" si="61"/>
        <v>0</v>
      </c>
      <c r="BD136" s="46">
        <f t="shared" ca="1" si="61"/>
        <v>0</v>
      </c>
      <c r="BE136" s="46">
        <f t="shared" ca="1" si="61"/>
        <v>0</v>
      </c>
      <c r="BF136" s="46">
        <f t="shared" ca="1" si="61"/>
        <v>0</v>
      </c>
      <c r="BG136" s="46">
        <f t="shared" ca="1" si="61"/>
        <v>0</v>
      </c>
      <c r="BH136" s="46">
        <f t="shared" ca="1" si="61"/>
        <v>0</v>
      </c>
      <c r="BI136" s="46">
        <f t="shared" ca="1" si="61"/>
        <v>0</v>
      </c>
      <c r="BJ136" s="46">
        <f t="shared" ca="1" si="61"/>
        <v>0</v>
      </c>
      <c r="BK136" s="46">
        <f t="shared" ca="1" si="61"/>
        <v>0</v>
      </c>
      <c r="BL136" s="46">
        <f t="shared" ca="1" si="61"/>
        <v>0</v>
      </c>
    </row>
    <row r="137" spans="1:64" x14ac:dyDescent="0.35">
      <c r="A137" s="1"/>
      <c r="C137" s="10" t="s">
        <v>497</v>
      </c>
      <c r="D137" s="46"/>
      <c r="E137" s="46">
        <f ca="1">E134+E135-E136</f>
        <v>0</v>
      </c>
      <c r="F137" s="46">
        <f t="shared" ref="F137:BL137" ca="1" si="62">F134+F135-F136</f>
        <v>0</v>
      </c>
      <c r="G137" s="46">
        <f t="shared" ca="1" si="62"/>
        <v>0</v>
      </c>
      <c r="H137" s="46">
        <f t="shared" ca="1" si="62"/>
        <v>0</v>
      </c>
      <c r="I137" s="46">
        <f t="shared" ca="1" si="62"/>
        <v>0</v>
      </c>
      <c r="J137" s="46">
        <f t="shared" ca="1" si="62"/>
        <v>0</v>
      </c>
      <c r="K137" s="46">
        <f t="shared" ca="1" si="62"/>
        <v>0</v>
      </c>
      <c r="L137" s="46">
        <f t="shared" ca="1" si="62"/>
        <v>0</v>
      </c>
      <c r="M137" s="46">
        <f t="shared" ca="1" si="62"/>
        <v>0</v>
      </c>
      <c r="N137" s="46">
        <f t="shared" ca="1" si="62"/>
        <v>0</v>
      </c>
      <c r="O137" s="46">
        <f t="shared" ca="1" si="62"/>
        <v>0</v>
      </c>
      <c r="P137" s="46">
        <f t="shared" ca="1" si="62"/>
        <v>0</v>
      </c>
      <c r="Q137" s="46">
        <f t="shared" ca="1" si="62"/>
        <v>0</v>
      </c>
      <c r="R137" s="46">
        <f t="shared" ca="1" si="62"/>
        <v>0</v>
      </c>
      <c r="S137" s="46">
        <f t="shared" ca="1" si="62"/>
        <v>0</v>
      </c>
      <c r="T137" s="46">
        <f t="shared" ca="1" si="62"/>
        <v>0</v>
      </c>
      <c r="U137" s="46">
        <f t="shared" ca="1" si="62"/>
        <v>0</v>
      </c>
      <c r="V137" s="46">
        <f t="shared" ca="1" si="62"/>
        <v>0</v>
      </c>
      <c r="W137" s="46">
        <f t="shared" ca="1" si="62"/>
        <v>0</v>
      </c>
      <c r="X137" s="46">
        <f t="shared" ca="1" si="62"/>
        <v>0</v>
      </c>
      <c r="Y137" s="46">
        <f t="shared" ca="1" si="62"/>
        <v>0</v>
      </c>
      <c r="Z137" s="46">
        <f t="shared" ca="1" si="62"/>
        <v>0</v>
      </c>
      <c r="AA137" s="46">
        <f t="shared" ca="1" si="62"/>
        <v>0</v>
      </c>
      <c r="AB137" s="46">
        <f t="shared" ca="1" si="62"/>
        <v>0</v>
      </c>
      <c r="AC137" s="46">
        <f t="shared" ca="1" si="62"/>
        <v>0</v>
      </c>
      <c r="AD137" s="46">
        <f t="shared" ca="1" si="62"/>
        <v>0</v>
      </c>
      <c r="AE137" s="46">
        <f t="shared" ca="1" si="62"/>
        <v>0</v>
      </c>
      <c r="AF137" s="46">
        <f t="shared" ca="1" si="62"/>
        <v>0</v>
      </c>
      <c r="AG137" s="46">
        <f t="shared" ca="1" si="62"/>
        <v>0</v>
      </c>
      <c r="AH137" s="46">
        <f t="shared" ca="1" si="62"/>
        <v>0</v>
      </c>
      <c r="AI137" s="46">
        <f t="shared" ca="1" si="62"/>
        <v>0</v>
      </c>
      <c r="AJ137" s="46">
        <f t="shared" ca="1" si="62"/>
        <v>0</v>
      </c>
      <c r="AK137" s="46">
        <f t="shared" ca="1" si="62"/>
        <v>0</v>
      </c>
      <c r="AL137" s="46">
        <f t="shared" ca="1" si="62"/>
        <v>0</v>
      </c>
      <c r="AM137" s="46">
        <f t="shared" ca="1" si="62"/>
        <v>0</v>
      </c>
      <c r="AN137" s="46">
        <f t="shared" ca="1" si="62"/>
        <v>0</v>
      </c>
      <c r="AO137" s="46">
        <f t="shared" ca="1" si="62"/>
        <v>0</v>
      </c>
      <c r="AP137" s="46">
        <f t="shared" ca="1" si="62"/>
        <v>0</v>
      </c>
      <c r="AQ137" s="46">
        <f t="shared" ca="1" si="62"/>
        <v>0</v>
      </c>
      <c r="AR137" s="46">
        <f t="shared" ca="1" si="62"/>
        <v>0</v>
      </c>
      <c r="AS137" s="46">
        <f t="shared" ca="1" si="62"/>
        <v>0</v>
      </c>
      <c r="AT137" s="46">
        <f t="shared" ca="1" si="62"/>
        <v>0</v>
      </c>
      <c r="AU137" s="46">
        <f t="shared" ca="1" si="62"/>
        <v>0</v>
      </c>
      <c r="AV137" s="46">
        <f t="shared" ca="1" si="62"/>
        <v>0</v>
      </c>
      <c r="AW137" s="46">
        <f t="shared" ca="1" si="62"/>
        <v>0</v>
      </c>
      <c r="AX137" s="46">
        <f t="shared" ca="1" si="62"/>
        <v>0</v>
      </c>
      <c r="AY137" s="46">
        <f t="shared" ca="1" si="62"/>
        <v>0</v>
      </c>
      <c r="AZ137" s="46">
        <f t="shared" ca="1" si="62"/>
        <v>0</v>
      </c>
      <c r="BA137" s="46">
        <f t="shared" ca="1" si="62"/>
        <v>0</v>
      </c>
      <c r="BB137" s="46">
        <f t="shared" ca="1" si="62"/>
        <v>0</v>
      </c>
      <c r="BC137" s="46">
        <f t="shared" ca="1" si="62"/>
        <v>0</v>
      </c>
      <c r="BD137" s="46">
        <f t="shared" ca="1" si="62"/>
        <v>0</v>
      </c>
      <c r="BE137" s="46">
        <f t="shared" ca="1" si="62"/>
        <v>0</v>
      </c>
      <c r="BF137" s="46">
        <f t="shared" ca="1" si="62"/>
        <v>0</v>
      </c>
      <c r="BG137" s="46">
        <f t="shared" ca="1" si="62"/>
        <v>0</v>
      </c>
      <c r="BH137" s="46">
        <f t="shared" ca="1" si="62"/>
        <v>0</v>
      </c>
      <c r="BI137" s="46">
        <f t="shared" ca="1" si="62"/>
        <v>0</v>
      </c>
      <c r="BJ137" s="46">
        <f t="shared" ca="1" si="62"/>
        <v>0</v>
      </c>
      <c r="BK137" s="46">
        <f t="shared" ca="1" si="62"/>
        <v>0</v>
      </c>
      <c r="BL137" s="46">
        <f t="shared" ca="1" si="62"/>
        <v>0</v>
      </c>
    </row>
    <row r="138" spans="1:64" x14ac:dyDescent="0.35">
      <c r="A138" s="1"/>
      <c r="C138" s="10" t="s">
        <v>498</v>
      </c>
      <c r="D138" s="46"/>
      <c r="E138" s="46">
        <f ca="1">E135-E136</f>
        <v>0</v>
      </c>
      <c r="F138" s="46">
        <f t="shared" ref="F138:BL138" ca="1" si="63">F135-F136</f>
        <v>0</v>
      </c>
      <c r="G138" s="46">
        <f t="shared" ca="1" si="63"/>
        <v>0</v>
      </c>
      <c r="H138" s="46">
        <f t="shared" ca="1" si="63"/>
        <v>0</v>
      </c>
      <c r="I138" s="46">
        <f t="shared" ca="1" si="63"/>
        <v>0</v>
      </c>
      <c r="J138" s="46">
        <f t="shared" ca="1" si="63"/>
        <v>0</v>
      </c>
      <c r="K138" s="46">
        <f t="shared" ca="1" si="63"/>
        <v>0</v>
      </c>
      <c r="L138" s="46">
        <f t="shared" ca="1" si="63"/>
        <v>0</v>
      </c>
      <c r="M138" s="46">
        <f t="shared" ca="1" si="63"/>
        <v>0</v>
      </c>
      <c r="N138" s="46">
        <f t="shared" ca="1" si="63"/>
        <v>0</v>
      </c>
      <c r="O138" s="46">
        <f t="shared" ca="1" si="63"/>
        <v>0</v>
      </c>
      <c r="P138" s="46">
        <f t="shared" ca="1" si="63"/>
        <v>0</v>
      </c>
      <c r="Q138" s="46">
        <f t="shared" ca="1" si="63"/>
        <v>0</v>
      </c>
      <c r="R138" s="46">
        <f t="shared" ca="1" si="63"/>
        <v>0</v>
      </c>
      <c r="S138" s="46">
        <f t="shared" ca="1" si="63"/>
        <v>0</v>
      </c>
      <c r="T138" s="46">
        <f t="shared" ca="1" si="63"/>
        <v>0</v>
      </c>
      <c r="U138" s="46">
        <f t="shared" ca="1" si="63"/>
        <v>0</v>
      </c>
      <c r="V138" s="46">
        <f t="shared" ca="1" si="63"/>
        <v>0</v>
      </c>
      <c r="W138" s="46">
        <f t="shared" ca="1" si="63"/>
        <v>0</v>
      </c>
      <c r="X138" s="46">
        <f t="shared" ca="1" si="63"/>
        <v>0</v>
      </c>
      <c r="Y138" s="46">
        <f t="shared" ca="1" si="63"/>
        <v>0</v>
      </c>
      <c r="Z138" s="46">
        <f t="shared" ca="1" si="63"/>
        <v>0</v>
      </c>
      <c r="AA138" s="46">
        <f t="shared" ca="1" si="63"/>
        <v>0</v>
      </c>
      <c r="AB138" s="46">
        <f t="shared" ca="1" si="63"/>
        <v>0</v>
      </c>
      <c r="AC138" s="46">
        <f t="shared" ca="1" si="63"/>
        <v>0</v>
      </c>
      <c r="AD138" s="46">
        <f t="shared" ca="1" si="63"/>
        <v>0</v>
      </c>
      <c r="AE138" s="46">
        <f t="shared" ca="1" si="63"/>
        <v>0</v>
      </c>
      <c r="AF138" s="46">
        <f t="shared" ca="1" si="63"/>
        <v>0</v>
      </c>
      <c r="AG138" s="46">
        <f t="shared" ca="1" si="63"/>
        <v>0</v>
      </c>
      <c r="AH138" s="46">
        <f t="shared" ca="1" si="63"/>
        <v>0</v>
      </c>
      <c r="AI138" s="46">
        <f t="shared" ca="1" si="63"/>
        <v>0</v>
      </c>
      <c r="AJ138" s="46">
        <f t="shared" ca="1" si="63"/>
        <v>0</v>
      </c>
      <c r="AK138" s="46">
        <f t="shared" ca="1" si="63"/>
        <v>0</v>
      </c>
      <c r="AL138" s="46">
        <f t="shared" ca="1" si="63"/>
        <v>0</v>
      </c>
      <c r="AM138" s="46">
        <f t="shared" ca="1" si="63"/>
        <v>0</v>
      </c>
      <c r="AN138" s="46">
        <f t="shared" ca="1" si="63"/>
        <v>0</v>
      </c>
      <c r="AO138" s="46">
        <f t="shared" ca="1" si="63"/>
        <v>0</v>
      </c>
      <c r="AP138" s="46">
        <f t="shared" ca="1" si="63"/>
        <v>0</v>
      </c>
      <c r="AQ138" s="46">
        <f t="shared" ca="1" si="63"/>
        <v>0</v>
      </c>
      <c r="AR138" s="46">
        <f t="shared" ca="1" si="63"/>
        <v>0</v>
      </c>
      <c r="AS138" s="46">
        <f t="shared" ca="1" si="63"/>
        <v>0</v>
      </c>
      <c r="AT138" s="46">
        <f t="shared" ca="1" si="63"/>
        <v>0</v>
      </c>
      <c r="AU138" s="46">
        <f t="shared" ca="1" si="63"/>
        <v>0</v>
      </c>
      <c r="AV138" s="46">
        <f t="shared" ca="1" si="63"/>
        <v>0</v>
      </c>
      <c r="AW138" s="46">
        <f t="shared" ca="1" si="63"/>
        <v>0</v>
      </c>
      <c r="AX138" s="46">
        <f t="shared" ca="1" si="63"/>
        <v>0</v>
      </c>
      <c r="AY138" s="46">
        <f t="shared" ca="1" si="63"/>
        <v>0</v>
      </c>
      <c r="AZ138" s="46">
        <f t="shared" ca="1" si="63"/>
        <v>0</v>
      </c>
      <c r="BA138" s="46">
        <f t="shared" ca="1" si="63"/>
        <v>0</v>
      </c>
      <c r="BB138" s="46">
        <f t="shared" ca="1" si="63"/>
        <v>0</v>
      </c>
      <c r="BC138" s="46">
        <f t="shared" ca="1" si="63"/>
        <v>0</v>
      </c>
      <c r="BD138" s="46">
        <f t="shared" ca="1" si="63"/>
        <v>0</v>
      </c>
      <c r="BE138" s="46">
        <f t="shared" ca="1" si="63"/>
        <v>0</v>
      </c>
      <c r="BF138" s="46">
        <f t="shared" ca="1" si="63"/>
        <v>0</v>
      </c>
      <c r="BG138" s="46">
        <f t="shared" ca="1" si="63"/>
        <v>0</v>
      </c>
      <c r="BH138" s="46">
        <f t="shared" ca="1" si="63"/>
        <v>0</v>
      </c>
      <c r="BI138" s="46">
        <f t="shared" ca="1" si="63"/>
        <v>0</v>
      </c>
      <c r="BJ138" s="46">
        <f t="shared" ca="1" si="63"/>
        <v>0</v>
      </c>
      <c r="BK138" s="46">
        <f t="shared" ca="1" si="63"/>
        <v>0</v>
      </c>
      <c r="BL138" s="46">
        <f t="shared" ca="1" si="63"/>
        <v>0</v>
      </c>
    </row>
    <row r="139" spans="1:64" x14ac:dyDescent="0.35">
      <c r="A139" s="1"/>
      <c r="C139" s="10" t="s">
        <v>499</v>
      </c>
      <c r="D139" s="46"/>
      <c r="E139" s="46">
        <f ca="1">E133+E138</f>
        <v>2.7088048706054479</v>
      </c>
      <c r="F139" s="46">
        <f t="shared" ref="F139:BL139" ca="1" si="64">F133+F138</f>
        <v>3.5850921341485957</v>
      </c>
      <c r="G139" s="46">
        <f t="shared" ca="1" si="64"/>
        <v>4.4722076907938515</v>
      </c>
      <c r="H139" s="46">
        <f t="shared" ca="1" si="64"/>
        <v>5.3702852601340965</v>
      </c>
      <c r="I139" s="46">
        <f t="shared" ca="1" si="64"/>
        <v>6.2794603742920856</v>
      </c>
      <c r="J139" s="46">
        <f t="shared" ca="1" si="64"/>
        <v>7.1998701406416217</v>
      </c>
      <c r="K139" s="46">
        <f t="shared" ca="1" si="64"/>
        <v>9.6429909857283462</v>
      </c>
      <c r="L139" s="46">
        <f t="shared" ca="1" si="64"/>
        <v>12.124814458499998</v>
      </c>
      <c r="M139" s="46">
        <f t="shared" ca="1" si="64"/>
        <v>14.645903872069624</v>
      </c>
      <c r="N139" s="46">
        <f t="shared" ca="1" si="64"/>
        <v>17.206830400982895</v>
      </c>
      <c r="O139" s="46">
        <f t="shared" ca="1" si="64"/>
        <v>16.662765042806313</v>
      </c>
      <c r="P139" s="46">
        <f t="shared" ca="1" si="64"/>
        <v>16.134572033868665</v>
      </c>
      <c r="Q139" s="46">
        <f t="shared" ca="1" si="64"/>
        <v>15.622221625039003</v>
      </c>
      <c r="R139" s="46">
        <f t="shared" ca="1" si="64"/>
        <v>15.125685814454442</v>
      </c>
      <c r="S139" s="46">
        <f t="shared" ca="1" si="64"/>
        <v>17.666405236689627</v>
      </c>
      <c r="T139" s="46">
        <f t="shared" ca="1" si="64"/>
        <v>20.247029777752346</v>
      </c>
      <c r="U139" s="46">
        <f t="shared" ca="1" si="64"/>
        <v>22.868137694512143</v>
      </c>
      <c r="V139" s="46">
        <f t="shared" ca="1" si="64"/>
        <v>25.530315161248495</v>
      </c>
      <c r="W139" s="46">
        <f t="shared" ca="1" si="64"/>
        <v>25.090006352446679</v>
      </c>
      <c r="X139" s="46">
        <f t="shared" ca="1" si="64"/>
        <v>24.666843033453176</v>
      </c>
      <c r="Y139" s="46">
        <f t="shared" ca="1" si="64"/>
        <v>24.260811245542669</v>
      </c>
      <c r="Z139" s="46">
        <f t="shared" ca="1" si="64"/>
        <v>23.871898969977181</v>
      </c>
      <c r="AA139" s="46">
        <f t="shared" ca="1" si="64"/>
        <v>23.500096368393685</v>
      </c>
      <c r="AB139" s="46">
        <f t="shared" ca="1" si="64"/>
        <v>23.145395869361465</v>
      </c>
      <c r="AC139" s="46">
        <f t="shared" ca="1" si="64"/>
        <v>22.807791742786492</v>
      </c>
      <c r="AD139" s="46">
        <f t="shared" ca="1" si="64"/>
        <v>22.487280466639746</v>
      </c>
      <c r="AE139" s="46">
        <f t="shared" ca="1" si="64"/>
        <v>22.183860539957948</v>
      </c>
      <c r="AF139" s="46">
        <f t="shared" ca="1" si="64"/>
        <v>21.8975327459016</v>
      </c>
      <c r="AG139" s="46">
        <f t="shared" ca="1" si="64"/>
        <v>21.628299813752832</v>
      </c>
      <c r="AH139" s="46">
        <f t="shared" ca="1" si="64"/>
        <v>21.376166701621798</v>
      </c>
      <c r="AI139" s="46">
        <f t="shared" ca="1" si="64"/>
        <v>21.141140395358875</v>
      </c>
      <c r="AJ139" s="46">
        <f t="shared" ca="1" si="64"/>
        <v>20.923230111531439</v>
      </c>
      <c r="AK139" s="46">
        <f t="shared" ca="1" si="64"/>
        <v>20.722447117124091</v>
      </c>
      <c r="AL139" s="46">
        <f t="shared" ca="1" si="64"/>
        <v>20.538804836635521</v>
      </c>
      <c r="AM139" s="46">
        <f t="shared" ca="1" si="64"/>
        <v>20.372318849095009</v>
      </c>
      <c r="AN139" s="46">
        <f t="shared" ca="1" si="64"/>
        <v>20.223006966609404</v>
      </c>
      <c r="AO139" s="46">
        <f t="shared" ca="1" si="64"/>
        <v>20.090889014219215</v>
      </c>
      <c r="AP139" s="46">
        <f t="shared" ca="1" si="64"/>
        <v>19.975987155926447</v>
      </c>
      <c r="AQ139" s="46">
        <f t="shared" ca="1" si="64"/>
        <v>19.878325574812763</v>
      </c>
      <c r="AR139" s="46">
        <f t="shared" ca="1" si="64"/>
        <v>19.797930723258858</v>
      </c>
      <c r="AS139" s="46">
        <f t="shared" ca="1" si="64"/>
        <v>19.734831251610828</v>
      </c>
      <c r="AT139" s="46">
        <f t="shared" ca="1" si="64"/>
        <v>19.689057935965465</v>
      </c>
      <c r="AU139" s="46">
        <f t="shared" ca="1" si="64"/>
        <v>19.660643849182819</v>
      </c>
      <c r="AV139" s="46">
        <f t="shared" ca="1" si="64"/>
        <v>19.649624290526162</v>
      </c>
      <c r="AW139" s="46">
        <f t="shared" ca="1" si="64"/>
        <v>20.532901371259896</v>
      </c>
      <c r="AX139" s="46">
        <f t="shared" ca="1" si="64"/>
        <v>19.327572357168435</v>
      </c>
      <c r="AY139" s="46">
        <f t="shared" ca="1" si="64"/>
        <v>18.134296633212216</v>
      </c>
      <c r="AZ139" s="46">
        <f t="shared" ca="1" si="64"/>
        <v>16.952953666489776</v>
      </c>
      <c r="BA139" s="46">
        <f t="shared" ca="1" si="64"/>
        <v>15.783424129428724</v>
      </c>
      <c r="BB139" s="46">
        <f t="shared" ca="1" si="64"/>
        <v>14.625589887732332</v>
      </c>
      <c r="BC139" s="46">
        <f t="shared" ca="1" si="64"/>
        <v>13.479333988446868</v>
      </c>
      <c r="BD139" s="46">
        <f t="shared" ca="1" si="64"/>
        <v>12.344540648148154</v>
      </c>
      <c r="BE139" s="46">
        <f t="shared" ca="1" si="64"/>
        <v>11.221095241246203</v>
      </c>
      <c r="BF139" s="46">
        <f t="shared" ca="1" si="64"/>
        <v>10.108884288406969</v>
      </c>
      <c r="BG139" s="46">
        <f t="shared" ca="1" si="64"/>
        <v>9.0077954450897124</v>
      </c>
      <c r="BH139" s="46">
        <f t="shared" ca="1" si="64"/>
        <v>7.9177174901991521</v>
      </c>
      <c r="BI139" s="46">
        <f t="shared" ca="1" si="64"/>
        <v>6.8385403148508885</v>
      </c>
      <c r="BJ139" s="46">
        <f t="shared" ca="1" si="64"/>
        <v>5.7701549112494064</v>
      </c>
      <c r="BK139" s="46">
        <f t="shared" ca="1" si="64"/>
        <v>4.7124533616771487</v>
      </c>
      <c r="BL139" s="46">
        <f t="shared" ca="1" si="64"/>
        <v>3.6653288275937257</v>
      </c>
    </row>
    <row r="140" spans="1:64" x14ac:dyDescent="0.35">
      <c r="A140" s="1"/>
      <c r="C140" s="2" t="s">
        <v>413</v>
      </c>
      <c r="D140" s="12">
        <f>D39</f>
        <v>0.25</v>
      </c>
      <c r="E140" s="4">
        <f ca="1">$D$140*E139</f>
        <v>0.67720121765136199</v>
      </c>
      <c r="F140" s="4">
        <f t="shared" ref="F140:BL140" ca="1" si="65">$D$140*F139</f>
        <v>0.89627303353714893</v>
      </c>
      <c r="G140" s="4">
        <f t="shared" ca="1" si="65"/>
        <v>1.1180519226984629</v>
      </c>
      <c r="H140" s="4">
        <f t="shared" ca="1" si="65"/>
        <v>1.3425713150335241</v>
      </c>
      <c r="I140" s="4">
        <f t="shared" ca="1" si="65"/>
        <v>1.5698650935730214</v>
      </c>
      <c r="J140" s="4">
        <f t="shared" ca="1" si="65"/>
        <v>1.7999675351604054</v>
      </c>
      <c r="K140" s="4">
        <f t="shared" ca="1" si="65"/>
        <v>2.4107477464320866</v>
      </c>
      <c r="L140" s="4">
        <f t="shared" ca="1" si="65"/>
        <v>3.0312036146249994</v>
      </c>
      <c r="M140" s="4">
        <f t="shared" ca="1" si="65"/>
        <v>3.661475968017406</v>
      </c>
      <c r="N140" s="4">
        <f t="shared" ca="1" si="65"/>
        <v>4.3017076002457237</v>
      </c>
      <c r="O140" s="4">
        <f t="shared" ca="1" si="65"/>
        <v>4.1656912607015784</v>
      </c>
      <c r="P140" s="4">
        <f t="shared" ca="1" si="65"/>
        <v>4.0336430084671662</v>
      </c>
      <c r="Q140" s="4">
        <f t="shared" ca="1" si="65"/>
        <v>3.9055554062597508</v>
      </c>
      <c r="R140" s="4">
        <f t="shared" ca="1" si="65"/>
        <v>3.7814214536136106</v>
      </c>
      <c r="S140" s="4">
        <f t="shared" ca="1" si="65"/>
        <v>4.4166013091724068</v>
      </c>
      <c r="T140" s="4">
        <f t="shared" ca="1" si="65"/>
        <v>5.0617574444380864</v>
      </c>
      <c r="U140" s="4">
        <f t="shared" ca="1" si="65"/>
        <v>5.7170344236280357</v>
      </c>
      <c r="V140" s="4">
        <f t="shared" ca="1" si="65"/>
        <v>6.3825787903121238</v>
      </c>
      <c r="W140" s="4">
        <f t="shared" ca="1" si="65"/>
        <v>6.2725015881116697</v>
      </c>
      <c r="X140" s="4">
        <f t="shared" ca="1" si="65"/>
        <v>6.1667107583632941</v>
      </c>
      <c r="Y140" s="4">
        <f t="shared" ca="1" si="65"/>
        <v>6.0652028113856673</v>
      </c>
      <c r="Z140" s="4">
        <f t="shared" ca="1" si="65"/>
        <v>5.9679747424942953</v>
      </c>
      <c r="AA140" s="4">
        <f t="shared" ca="1" si="65"/>
        <v>5.8750240920984211</v>
      </c>
      <c r="AB140" s="4">
        <f t="shared" ca="1" si="65"/>
        <v>5.7863489673403663</v>
      </c>
      <c r="AC140" s="4">
        <f t="shared" ca="1" si="65"/>
        <v>5.7019479356966229</v>
      </c>
      <c r="AD140" s="4">
        <f t="shared" ca="1" si="65"/>
        <v>5.6218201166599364</v>
      </c>
      <c r="AE140" s="4">
        <f t="shared" ca="1" si="65"/>
        <v>5.545965134989487</v>
      </c>
      <c r="AF140" s="4">
        <f t="shared" ca="1" si="65"/>
        <v>5.4743831864754</v>
      </c>
      <c r="AG140" s="4">
        <f t="shared" ca="1" si="65"/>
        <v>5.4070749534382081</v>
      </c>
      <c r="AH140" s="4">
        <f t="shared" ca="1" si="65"/>
        <v>5.3440416754054496</v>
      </c>
      <c r="AI140" s="4">
        <f t="shared" ca="1" si="65"/>
        <v>5.2852850988397186</v>
      </c>
      <c r="AJ140" s="4">
        <f t="shared" ca="1" si="65"/>
        <v>5.2308075278828596</v>
      </c>
      <c r="AK140" s="4">
        <f t="shared" ca="1" si="65"/>
        <v>5.1806117792810227</v>
      </c>
      <c r="AL140" s="4">
        <f t="shared" ca="1" si="65"/>
        <v>5.1347012091588802</v>
      </c>
      <c r="AM140" s="4">
        <f t="shared" ca="1" si="65"/>
        <v>5.0930797122737523</v>
      </c>
      <c r="AN140" s="4">
        <f t="shared" ca="1" si="65"/>
        <v>5.055751741652351</v>
      </c>
      <c r="AO140" s="4">
        <f t="shared" ca="1" si="65"/>
        <v>5.0227222535548037</v>
      </c>
      <c r="AP140" s="4">
        <f t="shared" ca="1" si="65"/>
        <v>4.9939967889816117</v>
      </c>
      <c r="AQ140" s="4">
        <f t="shared" ca="1" si="65"/>
        <v>4.9695813937031907</v>
      </c>
      <c r="AR140" s="4">
        <f t="shared" ca="1" si="65"/>
        <v>4.9494826808147145</v>
      </c>
      <c r="AS140" s="4">
        <f t="shared" ca="1" si="65"/>
        <v>4.933707812902707</v>
      </c>
      <c r="AT140" s="4">
        <f t="shared" ca="1" si="65"/>
        <v>4.9222644839913663</v>
      </c>
      <c r="AU140" s="4">
        <f t="shared" ca="1" si="65"/>
        <v>4.9151609622957046</v>
      </c>
      <c r="AV140" s="4">
        <f t="shared" ca="1" si="65"/>
        <v>4.9124060726315406</v>
      </c>
      <c r="AW140" s="4">
        <f t="shared" ca="1" si="65"/>
        <v>5.1332253428149741</v>
      </c>
      <c r="AX140" s="4">
        <f t="shared" ca="1" si="65"/>
        <v>4.8318930892921088</v>
      </c>
      <c r="AY140" s="4">
        <f t="shared" ca="1" si="65"/>
        <v>4.533574158303054</v>
      </c>
      <c r="AZ140" s="4">
        <f t="shared" ca="1" si="65"/>
        <v>4.238238416622444</v>
      </c>
      <c r="BA140" s="4">
        <f t="shared" ca="1" si="65"/>
        <v>3.945856032357181</v>
      </c>
      <c r="BB140" s="4">
        <f t="shared" ca="1" si="65"/>
        <v>3.656397471933083</v>
      </c>
      <c r="BC140" s="4">
        <f t="shared" ca="1" si="65"/>
        <v>3.369833497111717</v>
      </c>
      <c r="BD140" s="4">
        <f t="shared" ca="1" si="65"/>
        <v>3.0861351620370385</v>
      </c>
      <c r="BE140" s="4">
        <f t="shared" ca="1" si="65"/>
        <v>2.8052738103115509</v>
      </c>
      <c r="BF140" s="4">
        <f t="shared" ca="1" si="65"/>
        <v>2.5272210721017423</v>
      </c>
      <c r="BG140" s="4">
        <f t="shared" ca="1" si="65"/>
        <v>2.2519488612724281</v>
      </c>
      <c r="BH140" s="4">
        <f t="shared" ca="1" si="65"/>
        <v>1.979429372549788</v>
      </c>
      <c r="BI140" s="4">
        <f t="shared" ca="1" si="65"/>
        <v>1.7096350787127221</v>
      </c>
      <c r="BJ140" s="4">
        <f t="shared" ca="1" si="65"/>
        <v>1.4425387278123516</v>
      </c>
      <c r="BK140" s="4">
        <f t="shared" ca="1" si="65"/>
        <v>1.1781133404192872</v>
      </c>
      <c r="BL140" s="4">
        <f t="shared" ca="1" si="65"/>
        <v>0.91633220689843142</v>
      </c>
    </row>
    <row r="141" spans="1:64" x14ac:dyDescent="0.35">
      <c r="A141" s="1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  <c r="AA141" s="4"/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/>
      <c r="AN141" s="4"/>
      <c r="AO141" s="4"/>
      <c r="AP141" s="4"/>
      <c r="AQ141" s="4"/>
      <c r="AR141" s="4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</row>
    <row r="142" spans="1:64" s="40" customFormat="1" x14ac:dyDescent="0.35">
      <c r="A142" s="40" t="s">
        <v>533</v>
      </c>
      <c r="D142" s="175"/>
      <c r="E142" s="175"/>
      <c r="F142" s="175"/>
      <c r="G142" s="175"/>
      <c r="H142" s="175"/>
      <c r="I142" s="175"/>
      <c r="J142" s="175"/>
      <c r="K142" s="175"/>
      <c r="L142" s="175"/>
      <c r="M142" s="175"/>
      <c r="N142" s="175"/>
      <c r="O142" s="175"/>
      <c r="P142" s="175"/>
      <c r="Q142" s="175"/>
      <c r="R142" s="175"/>
      <c r="S142" s="175"/>
      <c r="T142" s="175"/>
      <c r="U142" s="175"/>
      <c r="V142" s="175"/>
      <c r="W142" s="175"/>
      <c r="X142" s="175"/>
      <c r="Y142" s="175"/>
      <c r="Z142" s="175"/>
      <c r="AA142" s="175"/>
      <c r="AB142" s="175"/>
      <c r="AC142" s="175"/>
      <c r="AD142" s="175"/>
      <c r="AE142" s="175"/>
      <c r="AF142" s="175"/>
      <c r="AG142" s="175"/>
      <c r="AH142" s="175"/>
      <c r="AI142" s="175"/>
      <c r="AJ142" s="175"/>
      <c r="AK142" s="175"/>
      <c r="AL142" s="175"/>
      <c r="AM142" s="175"/>
      <c r="AN142" s="175"/>
      <c r="AO142" s="175"/>
      <c r="AP142" s="175"/>
      <c r="AQ142" s="175"/>
      <c r="AR142" s="175"/>
      <c r="AS142" s="175"/>
      <c r="AT142" s="175"/>
      <c r="AU142" s="175"/>
      <c r="AV142" s="175"/>
      <c r="AW142" s="175"/>
      <c r="AX142" s="175"/>
      <c r="AY142" s="175"/>
      <c r="AZ142" s="175"/>
      <c r="BA142" s="175"/>
      <c r="BB142" s="175"/>
      <c r="BC142" s="175"/>
      <c r="BD142" s="175"/>
      <c r="BE142" s="175"/>
      <c r="BF142" s="175"/>
      <c r="BG142" s="175"/>
      <c r="BH142" s="175"/>
      <c r="BI142" s="175"/>
      <c r="BJ142" s="175"/>
      <c r="BK142" s="175"/>
      <c r="BL142" s="175"/>
    </row>
    <row r="143" spans="1:64" x14ac:dyDescent="0.35">
      <c r="A143" s="1"/>
      <c r="B143" s="2" t="s">
        <v>209</v>
      </c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4"/>
      <c r="AN143" s="4"/>
      <c r="AO143" s="4"/>
      <c r="AP143" s="4"/>
      <c r="AQ143" s="4"/>
      <c r="AR143" s="4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</row>
    <row r="144" spans="1:64" x14ac:dyDescent="0.35">
      <c r="A144" s="1"/>
      <c r="C144" s="2" t="s">
        <v>83</v>
      </c>
      <c r="E144" s="4">
        <f t="array" ref="E144:BL157">DSRA_move_function(44:44,48:48,D20,D12,D32,56:56,D13,120:120,D16,D22,D39,D29,D30,D15)</f>
        <v>107.59959411621094</v>
      </c>
      <c r="F144" s="4">
        <v>107.59959411621094</v>
      </c>
      <c r="G144" s="4">
        <v>107.59959411621094</v>
      </c>
      <c r="H144" s="4">
        <v>107.59959411621094</v>
      </c>
      <c r="I144" s="4">
        <v>107.59959411621094</v>
      </c>
      <c r="J144" s="4">
        <v>107.59959411621094</v>
      </c>
      <c r="K144" s="4">
        <v>107.59959411621094</v>
      </c>
      <c r="L144" s="4">
        <v>107.59959411621094</v>
      </c>
      <c r="M144" s="4">
        <v>107.59959411621094</v>
      </c>
      <c r="N144" s="4">
        <v>107.59959411621094</v>
      </c>
      <c r="O144" s="4">
        <v>107.59959411621094</v>
      </c>
      <c r="P144" s="4">
        <v>107.59959411621094</v>
      </c>
      <c r="Q144" s="4">
        <v>107.59959411621094</v>
      </c>
      <c r="R144" s="4">
        <v>107.59959411621094</v>
      </c>
      <c r="S144" s="4">
        <v>107.59959411621094</v>
      </c>
      <c r="T144" s="4">
        <v>107.59959411621094</v>
      </c>
      <c r="U144" s="4">
        <v>107.59959411621094</v>
      </c>
      <c r="V144" s="4">
        <v>107.59959411621094</v>
      </c>
      <c r="W144" s="4">
        <v>107.59959411621094</v>
      </c>
      <c r="X144" s="4">
        <v>107.59959411621094</v>
      </c>
      <c r="Y144" s="4">
        <v>107.59959411621094</v>
      </c>
      <c r="Z144" s="4">
        <v>107.59959411621094</v>
      </c>
      <c r="AA144" s="4">
        <v>107.59959411621094</v>
      </c>
      <c r="AB144" s="4">
        <v>107.59959411621094</v>
      </c>
      <c r="AC144" s="4">
        <v>107.59959411621094</v>
      </c>
      <c r="AD144" s="4">
        <v>107.59959411621094</v>
      </c>
      <c r="AE144" s="4">
        <v>107.59959411621094</v>
      </c>
      <c r="AF144" s="4">
        <v>107.59959411621094</v>
      </c>
      <c r="AG144" s="4">
        <v>107.59959411621094</v>
      </c>
      <c r="AH144" s="4">
        <v>107.59959411621094</v>
      </c>
      <c r="AI144" s="4">
        <v>107.59959411621094</v>
      </c>
      <c r="AJ144" s="4">
        <v>107.59959411621094</v>
      </c>
      <c r="AK144" s="4">
        <v>107.59959411621094</v>
      </c>
      <c r="AL144" s="4">
        <v>107.59959411621094</v>
      </c>
      <c r="AM144" s="4">
        <v>107.59959411621094</v>
      </c>
      <c r="AN144" s="4">
        <v>107.59959411621094</v>
      </c>
      <c r="AO144" s="4">
        <v>107.59959411621094</v>
      </c>
      <c r="AP144" s="4">
        <v>107.59959411621094</v>
      </c>
      <c r="AQ144" s="4">
        <v>107.59959411621094</v>
      </c>
      <c r="AR144" s="4">
        <v>107.59959411621094</v>
      </c>
      <c r="AS144" s="4">
        <v>107.59959411621094</v>
      </c>
      <c r="AT144" s="4">
        <v>107.59959411621094</v>
      </c>
      <c r="AU144" s="4">
        <v>107.59959411621094</v>
      </c>
      <c r="AV144" s="4">
        <v>107.59959411621094</v>
      </c>
      <c r="AW144" s="4">
        <v>0</v>
      </c>
      <c r="AX144" s="4">
        <v>0</v>
      </c>
      <c r="AY144" s="4">
        <v>0</v>
      </c>
      <c r="AZ144" s="4">
        <v>0</v>
      </c>
      <c r="BA144" s="4">
        <v>0</v>
      </c>
      <c r="BB144" s="4">
        <v>0</v>
      </c>
      <c r="BC144" s="4">
        <v>0</v>
      </c>
      <c r="BD144" s="4">
        <v>0</v>
      </c>
      <c r="BE144" s="4">
        <v>0</v>
      </c>
      <c r="BF144" s="4">
        <v>0</v>
      </c>
      <c r="BG144" s="4">
        <v>0</v>
      </c>
      <c r="BH144" s="4">
        <v>0</v>
      </c>
      <c r="BI144" s="4">
        <v>0</v>
      </c>
      <c r="BJ144" s="4">
        <v>0</v>
      </c>
      <c r="BK144" s="4">
        <v>0</v>
      </c>
      <c r="BL144" s="4">
        <v>0</v>
      </c>
    </row>
    <row r="145" spans="1:64" x14ac:dyDescent="0.35">
      <c r="A145" s="1"/>
      <c r="C145" s="2" t="s">
        <v>148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  <c r="J145" s="4">
        <v>0</v>
      </c>
      <c r="K145" s="4">
        <v>0</v>
      </c>
      <c r="L145" s="4">
        <v>0</v>
      </c>
      <c r="M145" s="4">
        <v>0</v>
      </c>
      <c r="N145" s="4">
        <v>0</v>
      </c>
      <c r="O145" s="4">
        <v>0</v>
      </c>
      <c r="P145" s="4">
        <v>0</v>
      </c>
      <c r="Q145" s="4">
        <v>0</v>
      </c>
      <c r="R145" s="4">
        <v>0</v>
      </c>
      <c r="S145" s="4">
        <v>0</v>
      </c>
      <c r="T145" s="4">
        <v>0</v>
      </c>
      <c r="U145" s="4">
        <v>0</v>
      </c>
      <c r="V145" s="4">
        <v>0</v>
      </c>
      <c r="W145" s="4">
        <v>0</v>
      </c>
      <c r="X145" s="4">
        <v>0</v>
      </c>
      <c r="Y145" s="4">
        <v>0</v>
      </c>
      <c r="Z145" s="4">
        <v>0</v>
      </c>
      <c r="AA145" s="4">
        <v>0</v>
      </c>
      <c r="AB145" s="4">
        <v>0</v>
      </c>
      <c r="AC145" s="4">
        <v>0</v>
      </c>
      <c r="AD145" s="4">
        <v>0</v>
      </c>
      <c r="AE145" s="4">
        <v>0</v>
      </c>
      <c r="AF145" s="4">
        <v>0</v>
      </c>
      <c r="AG145" s="4">
        <v>0</v>
      </c>
      <c r="AH145" s="4">
        <v>0</v>
      </c>
      <c r="AI145" s="4">
        <v>0</v>
      </c>
      <c r="AJ145" s="4">
        <v>0</v>
      </c>
      <c r="AK145" s="4">
        <v>0</v>
      </c>
      <c r="AL145" s="4">
        <v>0</v>
      </c>
      <c r="AM145" s="4">
        <v>0</v>
      </c>
      <c r="AN145" s="4">
        <v>0</v>
      </c>
      <c r="AO145" s="4">
        <v>0</v>
      </c>
      <c r="AP145" s="4">
        <v>0</v>
      </c>
      <c r="AQ145" s="4">
        <v>0</v>
      </c>
      <c r="AR145" s="4">
        <v>0</v>
      </c>
      <c r="AS145" s="4">
        <v>0</v>
      </c>
      <c r="AT145" s="4">
        <v>0</v>
      </c>
      <c r="AU145" s="4">
        <v>0</v>
      </c>
      <c r="AV145" s="4">
        <v>0</v>
      </c>
      <c r="AW145" s="4">
        <v>0</v>
      </c>
      <c r="AX145" s="4">
        <v>0</v>
      </c>
      <c r="AY145" s="4">
        <v>0</v>
      </c>
      <c r="AZ145" s="4">
        <v>0</v>
      </c>
      <c r="BA145" s="4">
        <v>0</v>
      </c>
      <c r="BB145" s="4">
        <v>0</v>
      </c>
      <c r="BC145" s="4">
        <v>0</v>
      </c>
      <c r="BD145" s="4">
        <v>0</v>
      </c>
      <c r="BE145" s="4">
        <v>0</v>
      </c>
      <c r="BF145" s="4">
        <v>0</v>
      </c>
      <c r="BG145" s="4">
        <v>0</v>
      </c>
      <c r="BH145" s="4">
        <v>0</v>
      </c>
      <c r="BI145" s="4">
        <v>0</v>
      </c>
      <c r="BJ145" s="4">
        <v>0</v>
      </c>
      <c r="BK145" s="4">
        <v>0</v>
      </c>
      <c r="BL145" s="4">
        <v>0</v>
      </c>
    </row>
    <row r="146" spans="1:64" x14ac:dyDescent="0.35">
      <c r="C146" s="2" t="s">
        <v>3</v>
      </c>
      <c r="E146" s="4">
        <v>107.59959411621094</v>
      </c>
      <c r="F146" s="4">
        <v>107.44382476806641</v>
      </c>
      <c r="G146" s="4">
        <v>107.28612518310547</v>
      </c>
      <c r="H146" s="4">
        <v>107.12648010253906</v>
      </c>
      <c r="I146" s="4">
        <v>106.96485900878906</v>
      </c>
      <c r="J146" s="4">
        <v>106.80123901367188</v>
      </c>
      <c r="K146" s="4">
        <v>107.44775390625</v>
      </c>
      <c r="L146" s="4">
        <v>108.09819030761719</v>
      </c>
      <c r="M146" s="4">
        <v>108.7525634765625</v>
      </c>
      <c r="N146" s="4">
        <v>109.41088104248047</v>
      </c>
      <c r="O146" s="4">
        <v>108.38289642333984</v>
      </c>
      <c r="P146" s="4">
        <v>107.36334228515625</v>
      </c>
      <c r="Q146" s="4">
        <v>106.35210418701172</v>
      </c>
      <c r="R146" s="4">
        <v>105.34908294677734</v>
      </c>
      <c r="S146" s="4">
        <v>105.97780609130859</v>
      </c>
      <c r="T146" s="4">
        <v>106.61024475097656</v>
      </c>
      <c r="U146" s="4">
        <v>107.24639892578125</v>
      </c>
      <c r="V146" s="4">
        <v>107.88627624511719</v>
      </c>
      <c r="W146" s="4">
        <v>106.84030151367188</v>
      </c>
      <c r="X146" s="4">
        <v>105.80252075195313</v>
      </c>
      <c r="Y146" s="4">
        <v>104.77281951904297</v>
      </c>
      <c r="Z146" s="4">
        <v>103.7510986328125</v>
      </c>
      <c r="AA146" s="4">
        <v>102.73725128173828</v>
      </c>
      <c r="AB146" s="4">
        <v>101.73115539550781</v>
      </c>
      <c r="AC146" s="4">
        <v>100.73271179199219</v>
      </c>
      <c r="AD146" s="4">
        <v>99.741813659667969</v>
      </c>
      <c r="AE146" s="4">
        <v>98.75836181640625</v>
      </c>
      <c r="AF146" s="4">
        <v>97.782241821289063</v>
      </c>
      <c r="AG146" s="4">
        <v>96.8133544921875</v>
      </c>
      <c r="AH146" s="4">
        <v>95.851593017578125</v>
      </c>
      <c r="AI146" s="4">
        <v>94.896858215332031</v>
      </c>
      <c r="AJ146" s="4">
        <v>93.949043273925781</v>
      </c>
      <c r="AK146" s="4">
        <v>93.008049011230469</v>
      </c>
      <c r="AL146" s="4">
        <v>92.073776245117188</v>
      </c>
      <c r="AM146" s="4">
        <v>91.146125793457031</v>
      </c>
      <c r="AN146" s="4">
        <v>90.224990844726563</v>
      </c>
      <c r="AO146" s="4">
        <v>89.310279846191406</v>
      </c>
      <c r="AP146" s="4">
        <v>88.401885986328125</v>
      </c>
      <c r="AQ146" s="4">
        <v>87.499717712402344</v>
      </c>
      <c r="AR146" s="4">
        <v>86.603675842285156</v>
      </c>
      <c r="AS146" s="4">
        <v>85.713661193847656</v>
      </c>
      <c r="AT146" s="4">
        <v>84.829582214355469</v>
      </c>
      <c r="AU146" s="4">
        <v>83.951339721679688</v>
      </c>
      <c r="AV146" s="4">
        <v>83.078834533691406</v>
      </c>
      <c r="AW146" s="4">
        <v>0</v>
      </c>
      <c r="AX146" s="4">
        <v>0</v>
      </c>
      <c r="AY146" s="4">
        <v>0</v>
      </c>
      <c r="AZ146" s="4">
        <v>0</v>
      </c>
      <c r="BA146" s="4">
        <v>0</v>
      </c>
      <c r="BB146" s="4">
        <v>0</v>
      </c>
      <c r="BC146" s="4">
        <v>0</v>
      </c>
      <c r="BD146" s="4">
        <v>0</v>
      </c>
      <c r="BE146" s="4">
        <v>0</v>
      </c>
      <c r="BF146" s="4">
        <v>0</v>
      </c>
      <c r="BG146" s="4">
        <v>0</v>
      </c>
      <c r="BH146" s="4">
        <v>0</v>
      </c>
      <c r="BI146" s="4">
        <v>0</v>
      </c>
      <c r="BJ146" s="4">
        <v>0</v>
      </c>
      <c r="BK146" s="4">
        <v>0</v>
      </c>
      <c r="BL146" s="4">
        <v>0</v>
      </c>
    </row>
    <row r="147" spans="1:64" x14ac:dyDescent="0.35">
      <c r="C147" s="2" t="s">
        <v>171</v>
      </c>
      <c r="D147" s="4"/>
      <c r="E147" s="4">
        <v>0</v>
      </c>
      <c r="F147" s="4">
        <v>0</v>
      </c>
      <c r="G147" s="4">
        <v>0</v>
      </c>
      <c r="H147" s="4">
        <v>0</v>
      </c>
      <c r="I147" s="4">
        <v>0</v>
      </c>
      <c r="J147" s="4">
        <v>0</v>
      </c>
      <c r="K147" s="4">
        <v>0</v>
      </c>
      <c r="L147" s="4">
        <v>0</v>
      </c>
      <c r="M147" s="4">
        <v>0</v>
      </c>
      <c r="N147" s="4">
        <v>0</v>
      </c>
      <c r="O147" s="4">
        <v>0</v>
      </c>
      <c r="P147" s="4">
        <v>0</v>
      </c>
      <c r="Q147" s="4">
        <v>0</v>
      </c>
      <c r="R147" s="4">
        <v>0</v>
      </c>
      <c r="S147" s="4">
        <v>0</v>
      </c>
      <c r="T147" s="4">
        <v>0</v>
      </c>
      <c r="U147" s="4">
        <v>0</v>
      </c>
      <c r="V147" s="4">
        <v>0</v>
      </c>
      <c r="W147" s="4">
        <v>0</v>
      </c>
      <c r="X147" s="4">
        <v>0</v>
      </c>
      <c r="Y147" s="4">
        <v>0</v>
      </c>
      <c r="Z147" s="4">
        <v>0</v>
      </c>
      <c r="AA147" s="4">
        <v>0</v>
      </c>
      <c r="AB147" s="4">
        <v>0</v>
      </c>
      <c r="AC147" s="4">
        <v>0</v>
      </c>
      <c r="AD147" s="4">
        <v>0</v>
      </c>
      <c r="AE147" s="4">
        <v>0</v>
      </c>
      <c r="AF147" s="4">
        <v>0</v>
      </c>
      <c r="AG147" s="4">
        <v>0</v>
      </c>
      <c r="AH147" s="4">
        <v>0</v>
      </c>
      <c r="AI147" s="4">
        <v>0</v>
      </c>
      <c r="AJ147" s="4">
        <v>0</v>
      </c>
      <c r="AK147" s="4">
        <v>0</v>
      </c>
      <c r="AL147" s="4">
        <v>0</v>
      </c>
      <c r="AM147" s="4">
        <v>0</v>
      </c>
      <c r="AN147" s="4">
        <v>0</v>
      </c>
      <c r="AO147" s="4">
        <v>0</v>
      </c>
      <c r="AP147" s="4">
        <v>0</v>
      </c>
      <c r="AQ147" s="4">
        <v>0</v>
      </c>
      <c r="AR147" s="4">
        <v>0</v>
      </c>
      <c r="AS147" s="4">
        <v>0</v>
      </c>
      <c r="AT147" s="4">
        <v>0</v>
      </c>
      <c r="AU147" s="4">
        <v>0</v>
      </c>
      <c r="AV147" s="4">
        <v>0</v>
      </c>
      <c r="AW147" s="4">
        <v>0</v>
      </c>
      <c r="AX147" s="4">
        <v>0</v>
      </c>
      <c r="AY147" s="4">
        <v>0</v>
      </c>
      <c r="AZ147" s="4">
        <v>0</v>
      </c>
      <c r="BA147" s="4">
        <v>0</v>
      </c>
      <c r="BB147" s="4">
        <v>0</v>
      </c>
      <c r="BC147" s="4">
        <v>0</v>
      </c>
      <c r="BD147" s="4">
        <v>0</v>
      </c>
      <c r="BE147" s="4">
        <v>0</v>
      </c>
      <c r="BF147" s="4">
        <v>0</v>
      </c>
      <c r="BG147" s="4">
        <v>0</v>
      </c>
      <c r="BH147" s="4">
        <v>0</v>
      </c>
      <c r="BI147" s="4">
        <v>0</v>
      </c>
      <c r="BJ147" s="4">
        <v>0</v>
      </c>
      <c r="BK147" s="4">
        <v>0</v>
      </c>
      <c r="BL147" s="4">
        <v>0</v>
      </c>
    </row>
    <row r="148" spans="1:64" x14ac:dyDescent="0.35">
      <c r="C148" s="2" t="s">
        <v>350</v>
      </c>
      <c r="D148" s="4"/>
      <c r="E148" s="4">
        <v>0</v>
      </c>
      <c r="F148" s="4">
        <v>0</v>
      </c>
      <c r="G148" s="4">
        <v>0</v>
      </c>
      <c r="H148" s="4">
        <v>0</v>
      </c>
      <c r="I148" s="4">
        <v>0</v>
      </c>
      <c r="J148" s="4">
        <v>0</v>
      </c>
      <c r="K148" s="4">
        <v>0</v>
      </c>
      <c r="L148" s="4">
        <v>0</v>
      </c>
      <c r="M148" s="4">
        <v>0</v>
      </c>
      <c r="N148" s="4">
        <v>0</v>
      </c>
      <c r="O148" s="4">
        <v>0</v>
      </c>
      <c r="P148" s="4">
        <v>0</v>
      </c>
      <c r="Q148" s="4">
        <v>0</v>
      </c>
      <c r="R148" s="4">
        <v>0</v>
      </c>
      <c r="S148" s="4">
        <v>0</v>
      </c>
      <c r="T148" s="4">
        <v>0</v>
      </c>
      <c r="U148" s="4">
        <v>0</v>
      </c>
      <c r="V148" s="4">
        <v>0</v>
      </c>
      <c r="W148" s="4">
        <v>0</v>
      </c>
      <c r="X148" s="4">
        <v>0</v>
      </c>
      <c r="Y148" s="4">
        <v>0</v>
      </c>
      <c r="Z148" s="4">
        <v>0</v>
      </c>
      <c r="AA148" s="4">
        <v>0</v>
      </c>
      <c r="AB148" s="4">
        <v>0</v>
      </c>
      <c r="AC148" s="4">
        <v>0</v>
      </c>
      <c r="AD148" s="4">
        <v>0</v>
      </c>
      <c r="AE148" s="4">
        <v>0</v>
      </c>
      <c r="AF148" s="4">
        <v>0</v>
      </c>
      <c r="AG148" s="4">
        <v>0</v>
      </c>
      <c r="AH148" s="4">
        <v>0</v>
      </c>
      <c r="AI148" s="4">
        <v>0</v>
      </c>
      <c r="AJ148" s="4">
        <v>0</v>
      </c>
      <c r="AK148" s="4">
        <v>0</v>
      </c>
      <c r="AL148" s="4">
        <v>0</v>
      </c>
      <c r="AM148" s="4">
        <v>0</v>
      </c>
      <c r="AN148" s="4">
        <v>0</v>
      </c>
      <c r="AO148" s="4">
        <v>0</v>
      </c>
      <c r="AP148" s="4">
        <v>0</v>
      </c>
      <c r="AQ148" s="4">
        <v>0</v>
      </c>
      <c r="AR148" s="4">
        <v>0</v>
      </c>
      <c r="AS148" s="4">
        <v>0</v>
      </c>
      <c r="AT148" s="4">
        <v>0</v>
      </c>
      <c r="AU148" s="4">
        <v>0</v>
      </c>
      <c r="AV148" s="4">
        <v>0</v>
      </c>
      <c r="AW148" s="4">
        <v>0</v>
      </c>
      <c r="AX148" s="4">
        <v>0</v>
      </c>
      <c r="AY148" s="4">
        <v>0</v>
      </c>
      <c r="AZ148" s="4">
        <v>0</v>
      </c>
      <c r="BA148" s="4">
        <v>0</v>
      </c>
      <c r="BB148" s="4">
        <v>0</v>
      </c>
      <c r="BC148" s="4">
        <v>0</v>
      </c>
      <c r="BD148" s="4">
        <v>0</v>
      </c>
      <c r="BE148" s="4">
        <v>0</v>
      </c>
      <c r="BF148" s="4">
        <v>0</v>
      </c>
      <c r="BG148" s="4">
        <v>0</v>
      </c>
      <c r="BH148" s="4">
        <v>0</v>
      </c>
      <c r="BI148" s="4">
        <v>0</v>
      </c>
      <c r="BJ148" s="4">
        <v>0</v>
      </c>
      <c r="BK148" s="4">
        <v>0</v>
      </c>
      <c r="BL148" s="4">
        <v>0</v>
      </c>
    </row>
    <row r="149" spans="1:64" x14ac:dyDescent="0.35">
      <c r="C149" s="2" t="s">
        <v>450</v>
      </c>
      <c r="D149" s="4"/>
      <c r="E149" s="4">
        <v>49.291202545166016</v>
      </c>
      <c r="F149" s="4">
        <v>48.414913177490234</v>
      </c>
      <c r="G149" s="4">
        <v>47.527797698974609</v>
      </c>
      <c r="H149" s="4">
        <v>46.629722595214844</v>
      </c>
      <c r="I149" s="4">
        <v>45.720546722412109</v>
      </c>
      <c r="J149" s="4">
        <v>44.800136566162109</v>
      </c>
      <c r="K149" s="4">
        <v>43.87701416015625</v>
      </c>
      <c r="L149" s="4">
        <v>42.930393218994141</v>
      </c>
      <c r="M149" s="4">
        <v>41.959854125976563</v>
      </c>
      <c r="N149" s="4">
        <v>40.964984893798828</v>
      </c>
      <c r="O149" s="4">
        <v>39.927333831787109</v>
      </c>
      <c r="P149" s="4">
        <v>38.889625549316406</v>
      </c>
      <c r="Q149" s="4">
        <v>37.851734161376953</v>
      </c>
      <c r="R149" s="4">
        <v>36.813529968261719</v>
      </c>
      <c r="S149" s="4">
        <v>35.792201995849609</v>
      </c>
      <c r="T149" s="4">
        <v>34.746162414550781</v>
      </c>
      <c r="U149" s="4">
        <v>33.67498779296875</v>
      </c>
      <c r="V149" s="4">
        <v>32.578239440917969</v>
      </c>
      <c r="W149" s="4">
        <v>31.437463760375977</v>
      </c>
      <c r="X149" s="4">
        <v>30.295352935791016</v>
      </c>
      <c r="Y149" s="4">
        <v>29.151762008666992</v>
      </c>
      <c r="Z149" s="4">
        <v>28.006547927856445</v>
      </c>
      <c r="AA149" s="4">
        <v>26.859567642211914</v>
      </c>
      <c r="AB149" s="4">
        <v>25.710670471191406</v>
      </c>
      <c r="AC149" s="4">
        <v>24.559713363647461</v>
      </c>
      <c r="AD149" s="4">
        <v>23.406549453735352</v>
      </c>
      <c r="AE149" s="4">
        <v>22.251031875610352</v>
      </c>
      <c r="AF149" s="4">
        <v>21.093009948730469</v>
      </c>
      <c r="AG149" s="4">
        <v>19.932338714599609</v>
      </c>
      <c r="AH149" s="4">
        <v>18.768865585327148</v>
      </c>
      <c r="AI149" s="4">
        <v>17.602441787719727</v>
      </c>
      <c r="AJ149" s="4">
        <v>16.432914733886719</v>
      </c>
      <c r="AK149" s="4">
        <v>15.260136604309082</v>
      </c>
      <c r="AL149" s="4">
        <v>14.083953857421875</v>
      </c>
      <c r="AM149" s="4">
        <v>12.90421199798584</v>
      </c>
      <c r="AN149" s="4">
        <v>11.720758438110352</v>
      </c>
      <c r="AO149" s="4">
        <v>10.533438682556152</v>
      </c>
      <c r="AP149" s="4">
        <v>9.342097282409668</v>
      </c>
      <c r="AQ149" s="4">
        <v>8.1465778350830078</v>
      </c>
      <c r="AR149" s="4">
        <v>6.9467239379882813</v>
      </c>
      <c r="AS149" s="4">
        <v>5.7423768043518066</v>
      </c>
      <c r="AT149" s="4">
        <v>4.5333781242370605</v>
      </c>
      <c r="AU149" s="4">
        <v>3.3195676803588867</v>
      </c>
      <c r="AV149" s="4">
        <v>2.1007850170135498</v>
      </c>
      <c r="AW149" s="4">
        <v>0</v>
      </c>
      <c r="AX149" s="4">
        <v>0</v>
      </c>
      <c r="AY149" s="4">
        <v>0</v>
      </c>
      <c r="AZ149" s="4">
        <v>0</v>
      </c>
      <c r="BA149" s="4">
        <v>0</v>
      </c>
      <c r="BB149" s="4">
        <v>0</v>
      </c>
      <c r="BC149" s="4">
        <v>0</v>
      </c>
      <c r="BD149" s="4">
        <v>0</v>
      </c>
      <c r="BE149" s="4">
        <v>0</v>
      </c>
      <c r="BF149" s="4">
        <v>0</v>
      </c>
      <c r="BG149" s="4">
        <v>0</v>
      </c>
      <c r="BH149" s="4">
        <v>0</v>
      </c>
      <c r="BI149" s="4">
        <v>0</v>
      </c>
      <c r="BJ149" s="4">
        <v>0</v>
      </c>
      <c r="BK149" s="4">
        <v>0</v>
      </c>
      <c r="BL149" s="4">
        <v>0</v>
      </c>
    </row>
    <row r="150" spans="1:64" x14ac:dyDescent="0.35">
      <c r="C150" s="2" t="s">
        <v>201</v>
      </c>
      <c r="D150" s="4"/>
      <c r="E150" s="4">
        <v>0.67719936370849609</v>
      </c>
      <c r="F150" s="4">
        <v>0.89627170562744141</v>
      </c>
      <c r="G150" s="4">
        <v>1.1180505752563477</v>
      </c>
      <c r="H150" s="4">
        <v>1.3425693511962891</v>
      </c>
      <c r="I150" s="4">
        <v>1.5698633193969727</v>
      </c>
      <c r="J150" s="4">
        <v>1.7999658584594727</v>
      </c>
      <c r="K150" s="4">
        <v>2.4107465744018555</v>
      </c>
      <c r="L150" s="4">
        <v>3.0312016010284424</v>
      </c>
      <c r="M150" s="4">
        <v>3.6614744663238525</v>
      </c>
      <c r="N150" s="4">
        <v>4.3017063140869141</v>
      </c>
      <c r="O150" s="4">
        <v>4.1656894683837891</v>
      </c>
      <c r="P150" s="4">
        <v>4.0336413383483887</v>
      </c>
      <c r="Q150" s="4">
        <v>3.9055535793304443</v>
      </c>
      <c r="R150" s="4">
        <v>3.7814197540283203</v>
      </c>
      <c r="S150" s="4">
        <v>4.4165997505187988</v>
      </c>
      <c r="T150" s="4">
        <v>5.0617561340332031</v>
      </c>
      <c r="U150" s="4">
        <v>5.7170329093933105</v>
      </c>
      <c r="V150" s="4">
        <v>6.3825778961181641</v>
      </c>
      <c r="W150" s="4">
        <v>6.2725000381469727</v>
      </c>
      <c r="X150" s="4">
        <v>6.1667094230651855</v>
      </c>
      <c r="Y150" s="4">
        <v>6.0652017593383789</v>
      </c>
      <c r="Z150" s="4">
        <v>5.9679737091064453</v>
      </c>
      <c r="AA150" s="4">
        <v>5.8750224113464355</v>
      </c>
      <c r="AB150" s="4">
        <v>5.7863478660583496</v>
      </c>
      <c r="AC150" s="4">
        <v>5.7019467353820801</v>
      </c>
      <c r="AD150" s="4">
        <v>5.621819019317627</v>
      </c>
      <c r="AE150" s="4">
        <v>5.5459637641906738</v>
      </c>
      <c r="AF150" s="4">
        <v>5.4743824005126953</v>
      </c>
      <c r="AG150" s="4">
        <v>5.4070734977722168</v>
      </c>
      <c r="AH150" s="4">
        <v>5.3440403938293457</v>
      </c>
      <c r="AI150" s="4">
        <v>5.2852835655212402</v>
      </c>
      <c r="AJ150" s="4">
        <v>5.2308063507080078</v>
      </c>
      <c r="AK150" s="4">
        <v>5.1806106567382813</v>
      </c>
      <c r="AL150" s="4">
        <v>5.134699821472168</v>
      </c>
      <c r="AM150" s="4">
        <v>5.09307861328125</v>
      </c>
      <c r="AN150" s="4">
        <v>5.055750846862793</v>
      </c>
      <c r="AO150" s="4">
        <v>5.0227212905883789</v>
      </c>
      <c r="AP150" s="4">
        <v>4.9939956665039063</v>
      </c>
      <c r="AQ150" s="4">
        <v>4.9695801734924316</v>
      </c>
      <c r="AR150" s="4">
        <v>4.9494814872741699</v>
      </c>
      <c r="AS150" s="4">
        <v>4.9337067604064941</v>
      </c>
      <c r="AT150" s="4">
        <v>4.9222636222839355</v>
      </c>
      <c r="AU150" s="4">
        <v>4.9151601791381836</v>
      </c>
      <c r="AV150" s="4">
        <v>4.9124050140380859</v>
      </c>
      <c r="AW150" s="4">
        <v>0</v>
      </c>
      <c r="AX150" s="4">
        <v>0</v>
      </c>
      <c r="AY150" s="4">
        <v>0</v>
      </c>
      <c r="AZ150" s="4">
        <v>0</v>
      </c>
      <c r="BA150" s="4">
        <v>0</v>
      </c>
      <c r="BB150" s="4">
        <v>0</v>
      </c>
      <c r="BC150" s="4">
        <v>0</v>
      </c>
      <c r="BD150" s="4">
        <v>0</v>
      </c>
      <c r="BE150" s="4">
        <v>0</v>
      </c>
      <c r="BF150" s="4">
        <v>0</v>
      </c>
      <c r="BG150" s="4">
        <v>0</v>
      </c>
      <c r="BH150" s="4">
        <v>0</v>
      </c>
      <c r="BI150" s="4">
        <v>0</v>
      </c>
      <c r="BJ150" s="4">
        <v>0</v>
      </c>
      <c r="BK150" s="4">
        <v>0</v>
      </c>
      <c r="BL150" s="2">
        <v>0</v>
      </c>
    </row>
    <row r="151" spans="1:64" x14ac:dyDescent="0.35">
      <c r="A151" s="1"/>
      <c r="C151" s="2" t="s">
        <v>451</v>
      </c>
      <c r="E151" s="4">
        <v>3286.0801122727516</v>
      </c>
      <c r="F151" s="4">
        <v>3286.0801122727516</v>
      </c>
      <c r="G151" s="4">
        <v>3286.0801122727516</v>
      </c>
      <c r="H151" s="4">
        <v>3286.0801122727516</v>
      </c>
      <c r="I151" s="4">
        <v>3286.0801122727516</v>
      </c>
      <c r="J151" s="4">
        <v>3286.0801122727516</v>
      </c>
      <c r="K151" s="4">
        <v>3286.0801122727516</v>
      </c>
      <c r="L151" s="4">
        <v>3286.0801122727516</v>
      </c>
      <c r="M151" s="4">
        <v>3286.0801122727516</v>
      </c>
      <c r="N151" s="4">
        <v>3286.0801122727516</v>
      </c>
      <c r="O151" s="4">
        <v>3286.0801122727516</v>
      </c>
      <c r="P151" s="4">
        <v>3286.0801122727516</v>
      </c>
      <c r="Q151" s="4">
        <v>3286.0801122727516</v>
      </c>
      <c r="R151" s="4">
        <v>3286.0801122727516</v>
      </c>
      <c r="S151" s="4">
        <v>3286.0801122727516</v>
      </c>
      <c r="T151" s="4">
        <v>3286.0801122727516</v>
      </c>
      <c r="U151" s="4">
        <v>3286.0801122727516</v>
      </c>
      <c r="V151" s="4">
        <v>3286.0801122727516</v>
      </c>
      <c r="W151" s="4">
        <v>3286.0801122727516</v>
      </c>
      <c r="X151" s="4">
        <v>3286.0801122727516</v>
      </c>
      <c r="Y151" s="4">
        <v>3286.0801122727516</v>
      </c>
      <c r="Z151" s="4">
        <v>3286.0801122727516</v>
      </c>
      <c r="AA151" s="4">
        <v>3286.0801122727516</v>
      </c>
      <c r="AB151" s="4">
        <v>3286.0801122727516</v>
      </c>
      <c r="AC151" s="4">
        <v>3286.0801122727516</v>
      </c>
      <c r="AD151" s="4">
        <v>3286.0801122727516</v>
      </c>
      <c r="AE151" s="4">
        <v>3286.0801122727516</v>
      </c>
      <c r="AF151" s="4">
        <v>3286.0801122727516</v>
      </c>
      <c r="AG151" s="4">
        <v>3286.0801122727516</v>
      </c>
      <c r="AH151" s="4">
        <v>3286.0801122727516</v>
      </c>
      <c r="AI151" s="4">
        <v>3286.0801122727516</v>
      </c>
      <c r="AJ151" s="4">
        <v>3286.0801122727516</v>
      </c>
      <c r="AK151" s="4">
        <v>3286.0801122727516</v>
      </c>
      <c r="AL151" s="4">
        <v>3286.0801122727516</v>
      </c>
      <c r="AM151" s="4">
        <v>3286.0801122727516</v>
      </c>
      <c r="AN151" s="4">
        <v>3286.0801122727516</v>
      </c>
      <c r="AO151" s="4">
        <v>3286.0801122727516</v>
      </c>
      <c r="AP151" s="4">
        <v>3286.0801122727516</v>
      </c>
      <c r="AQ151" s="4">
        <v>3286.0801122727516</v>
      </c>
      <c r="AR151" s="4">
        <v>3286.0801122727516</v>
      </c>
      <c r="AS151" s="4">
        <v>3286.0801122727516</v>
      </c>
      <c r="AT151" s="4">
        <v>3286.0801122727516</v>
      </c>
      <c r="AU151" s="4">
        <v>3286.0801122727516</v>
      </c>
      <c r="AV151" s="4">
        <v>3286.0801122727516</v>
      </c>
      <c r="AW151" s="4">
        <v>0</v>
      </c>
      <c r="AX151" s="4">
        <v>0</v>
      </c>
      <c r="AY151" s="4">
        <v>0</v>
      </c>
      <c r="AZ151" s="4">
        <v>0</v>
      </c>
      <c r="BA151" s="4">
        <v>0</v>
      </c>
      <c r="BB151" s="4">
        <v>0</v>
      </c>
      <c r="BC151" s="4">
        <v>0</v>
      </c>
      <c r="BD151" s="4">
        <v>0</v>
      </c>
      <c r="BE151" s="4">
        <v>0</v>
      </c>
      <c r="BF151" s="4">
        <v>0</v>
      </c>
      <c r="BG151" s="4">
        <v>0</v>
      </c>
      <c r="BH151" s="4">
        <v>0</v>
      </c>
      <c r="BI151" s="4">
        <v>0</v>
      </c>
      <c r="BJ151" s="4">
        <v>0</v>
      </c>
      <c r="BK151" s="4">
        <v>0</v>
      </c>
      <c r="BL151" s="4">
        <v>0</v>
      </c>
    </row>
    <row r="152" spans="1:64" x14ac:dyDescent="0.35">
      <c r="A152" s="1"/>
      <c r="C152" s="2" t="s">
        <v>561</v>
      </c>
      <c r="E152" s="4">
        <v>1.4063510240792958</v>
      </c>
      <c r="F152" s="4">
        <v>1.4063510240792958</v>
      </c>
      <c r="G152" s="4">
        <v>1.4063510240792958</v>
      </c>
      <c r="H152" s="4">
        <v>1.4063510240792958</v>
      </c>
      <c r="I152" s="4">
        <v>1.4063510240792958</v>
      </c>
      <c r="J152" s="4">
        <v>1.4063510240792958</v>
      </c>
      <c r="K152" s="4">
        <v>1.4063510240792958</v>
      </c>
      <c r="L152" s="4">
        <v>1.4063510240792958</v>
      </c>
      <c r="M152" s="4">
        <v>1.4063510240792958</v>
      </c>
      <c r="N152" s="4">
        <v>1.4063510240792958</v>
      </c>
      <c r="O152" s="4">
        <v>1.4063510240792958</v>
      </c>
      <c r="P152" s="4">
        <v>1.4063510240792958</v>
      </c>
      <c r="Q152" s="4">
        <v>1.4063510240792958</v>
      </c>
      <c r="R152" s="4">
        <v>1.4063510240792958</v>
      </c>
      <c r="S152" s="4">
        <v>1.4063510240792958</v>
      </c>
      <c r="T152" s="4">
        <v>1.4063510240792958</v>
      </c>
      <c r="U152" s="4">
        <v>1.4063510240792958</v>
      </c>
      <c r="V152" s="4">
        <v>1.4063510240792958</v>
      </c>
      <c r="W152" s="4">
        <v>1.4063510240792958</v>
      </c>
      <c r="X152" s="4">
        <v>1.4063510240792958</v>
      </c>
      <c r="Y152" s="4">
        <v>1.4063510240792958</v>
      </c>
      <c r="Z152" s="4">
        <v>1.4063510240792958</v>
      </c>
      <c r="AA152" s="4">
        <v>1.4063510240792958</v>
      </c>
      <c r="AB152" s="4">
        <v>1.4063510240792958</v>
      </c>
      <c r="AC152" s="4">
        <v>1.4063510240792958</v>
      </c>
      <c r="AD152" s="4">
        <v>1.4063510240792958</v>
      </c>
      <c r="AE152" s="4">
        <v>1.4063510240792958</v>
      </c>
      <c r="AF152" s="4">
        <v>1.4063510240792958</v>
      </c>
      <c r="AG152" s="4">
        <v>1.4063510240792958</v>
      </c>
      <c r="AH152" s="4">
        <v>1.4063510240792958</v>
      </c>
      <c r="AI152" s="4">
        <v>1.4063510240792958</v>
      </c>
      <c r="AJ152" s="4">
        <v>1.4063510240792958</v>
      </c>
      <c r="AK152" s="4">
        <v>1.4063510240792958</v>
      </c>
      <c r="AL152" s="4">
        <v>1.4063510240792958</v>
      </c>
      <c r="AM152" s="4">
        <v>1.4063510240792958</v>
      </c>
      <c r="AN152" s="4">
        <v>1.4063510240792958</v>
      </c>
      <c r="AO152" s="4">
        <v>1.4063510240792958</v>
      </c>
      <c r="AP152" s="4">
        <v>1.4063510240792958</v>
      </c>
      <c r="AQ152" s="4">
        <v>1.4063510240792958</v>
      </c>
      <c r="AR152" s="4">
        <v>1.4063510240792958</v>
      </c>
      <c r="AS152" s="4">
        <v>1.4063510240792958</v>
      </c>
      <c r="AT152" s="4">
        <v>1.4063510240792958</v>
      </c>
      <c r="AU152" s="4">
        <v>1.4063510240792958</v>
      </c>
      <c r="AV152" s="4">
        <v>1.4063510240792958</v>
      </c>
      <c r="AW152" s="4">
        <v>0</v>
      </c>
      <c r="AX152" s="4">
        <v>0</v>
      </c>
      <c r="AY152" s="4">
        <v>0</v>
      </c>
      <c r="AZ152" s="4">
        <v>0</v>
      </c>
      <c r="BA152" s="4">
        <v>0</v>
      </c>
      <c r="BB152" s="4">
        <v>0</v>
      </c>
      <c r="BC152" s="4">
        <v>0</v>
      </c>
      <c r="BD152" s="4">
        <v>0</v>
      </c>
      <c r="BE152" s="4">
        <v>0</v>
      </c>
      <c r="BF152" s="4">
        <v>0</v>
      </c>
      <c r="BG152" s="4">
        <v>0</v>
      </c>
      <c r="BH152" s="4">
        <v>0</v>
      </c>
      <c r="BI152" s="4">
        <v>0</v>
      </c>
      <c r="BJ152" s="4">
        <v>0</v>
      </c>
      <c r="BK152" s="4">
        <v>0</v>
      </c>
      <c r="BL152" s="4">
        <v>0</v>
      </c>
    </row>
    <row r="153" spans="1:64" x14ac:dyDescent="0.35">
      <c r="A153" s="1"/>
      <c r="C153" s="2" t="s">
        <v>502</v>
      </c>
      <c r="E153" s="4">
        <v>0</v>
      </c>
      <c r="F153" s="4">
        <v>0</v>
      </c>
      <c r="G153" s="4">
        <v>0</v>
      </c>
      <c r="H153" s="4">
        <v>0</v>
      </c>
      <c r="I153" s="4">
        <v>0</v>
      </c>
      <c r="J153" s="4">
        <v>0</v>
      </c>
      <c r="K153" s="4">
        <v>0</v>
      </c>
      <c r="L153" s="4">
        <v>0</v>
      </c>
      <c r="M153" s="4">
        <v>0</v>
      </c>
      <c r="N153" s="4">
        <v>0</v>
      </c>
      <c r="O153" s="4">
        <v>0</v>
      </c>
      <c r="P153" s="4">
        <v>0</v>
      </c>
      <c r="Q153" s="4">
        <v>0</v>
      </c>
      <c r="R153" s="4">
        <v>0</v>
      </c>
      <c r="S153" s="4">
        <v>0</v>
      </c>
      <c r="T153" s="4">
        <v>0</v>
      </c>
      <c r="U153" s="4">
        <v>0</v>
      </c>
      <c r="V153" s="4">
        <v>0</v>
      </c>
      <c r="W153" s="4">
        <v>0</v>
      </c>
      <c r="X153" s="4">
        <v>0</v>
      </c>
      <c r="Y153" s="4">
        <v>0</v>
      </c>
      <c r="Z153" s="4">
        <v>0</v>
      </c>
      <c r="AA153" s="4">
        <v>0</v>
      </c>
      <c r="AB153" s="4">
        <v>0</v>
      </c>
      <c r="AC153" s="4">
        <v>0</v>
      </c>
      <c r="AD153" s="4">
        <v>0</v>
      </c>
      <c r="AE153" s="4">
        <v>0</v>
      </c>
      <c r="AF153" s="4">
        <v>0</v>
      </c>
      <c r="AG153" s="4">
        <v>0</v>
      </c>
      <c r="AH153" s="4">
        <v>0</v>
      </c>
      <c r="AI153" s="4">
        <v>0</v>
      </c>
      <c r="AJ153" s="4">
        <v>0</v>
      </c>
      <c r="AK153" s="4">
        <v>0</v>
      </c>
      <c r="AL153" s="4">
        <v>0</v>
      </c>
      <c r="AM153" s="4">
        <v>0</v>
      </c>
      <c r="AN153" s="4">
        <v>0</v>
      </c>
      <c r="AO153" s="4">
        <v>0</v>
      </c>
      <c r="AP153" s="4">
        <v>0</v>
      </c>
      <c r="AQ153" s="4">
        <v>0</v>
      </c>
      <c r="AR153" s="4">
        <v>0</v>
      </c>
      <c r="AS153" s="4">
        <v>0</v>
      </c>
      <c r="AT153" s="4">
        <v>0</v>
      </c>
      <c r="AU153" s="4">
        <v>0</v>
      </c>
      <c r="AV153" s="4">
        <v>0</v>
      </c>
      <c r="AW153" s="4">
        <v>0</v>
      </c>
      <c r="AX153" s="4">
        <v>0</v>
      </c>
      <c r="AY153" s="4">
        <v>0</v>
      </c>
      <c r="AZ153" s="4">
        <v>0</v>
      </c>
      <c r="BA153" s="4">
        <v>0</v>
      </c>
      <c r="BB153" s="4">
        <v>0</v>
      </c>
      <c r="BC153" s="4">
        <v>0</v>
      </c>
      <c r="BD153" s="4">
        <v>0</v>
      </c>
      <c r="BE153" s="4">
        <v>0</v>
      </c>
      <c r="BF153" s="4">
        <v>0</v>
      </c>
      <c r="BG153" s="4">
        <v>0</v>
      </c>
      <c r="BH153" s="4">
        <v>0</v>
      </c>
      <c r="BI153" s="4">
        <v>0</v>
      </c>
      <c r="BJ153" s="4">
        <v>0</v>
      </c>
      <c r="BK153" s="4">
        <v>0</v>
      </c>
      <c r="BL153" s="4">
        <v>0</v>
      </c>
    </row>
    <row r="154" spans="1:64" x14ac:dyDescent="0.35">
      <c r="A154" s="1"/>
      <c r="C154" s="2" t="s">
        <v>525</v>
      </c>
      <c r="E154" s="4">
        <v>-0.15576934814453125</v>
      </c>
      <c r="F154" s="4">
        <v>-0.1576995849609375</v>
      </c>
      <c r="G154" s="4">
        <v>-0.15964508056640625</v>
      </c>
      <c r="H154" s="4">
        <v>-0.16162109375</v>
      </c>
      <c r="I154" s="4">
        <v>-0.1636199951171875</v>
      </c>
      <c r="J154" s="4">
        <v>0.646514892578125</v>
      </c>
      <c r="K154" s="4">
        <v>0.6504364013671875</v>
      </c>
      <c r="L154" s="4">
        <v>0.6543731689453125</v>
      </c>
      <c r="M154" s="4">
        <v>0.65831756591796875</v>
      </c>
      <c r="N154" s="4">
        <v>-1.027984619140625</v>
      </c>
      <c r="O154" s="4">
        <v>-1.0195541381835938</v>
      </c>
      <c r="P154" s="4">
        <v>-1.0112380981445313</v>
      </c>
      <c r="Q154" s="4">
        <v>-1.003021240234375</v>
      </c>
      <c r="R154" s="4">
        <v>0.62872314453125</v>
      </c>
      <c r="S154" s="4">
        <v>0.63243865966796875</v>
      </c>
      <c r="T154" s="4">
        <v>0.6361541748046875</v>
      </c>
      <c r="U154" s="4">
        <v>0.6398773193359375</v>
      </c>
      <c r="V154" s="4">
        <v>-1.0459747314453125</v>
      </c>
      <c r="W154" s="4">
        <v>-1.03778076171875</v>
      </c>
      <c r="X154" s="4">
        <v>-1.0297012329101563</v>
      </c>
      <c r="Y154" s="4">
        <v>-1.0217208862304688</v>
      </c>
      <c r="Z154" s="4">
        <v>-1.0138473510742188</v>
      </c>
      <c r="AA154" s="4">
        <v>-1.0060958862304688</v>
      </c>
      <c r="AB154" s="4">
        <v>-0.998443603515625</v>
      </c>
      <c r="AC154" s="4">
        <v>-0.99089813232421875</v>
      </c>
      <c r="AD154" s="4">
        <v>-0.98345184326171875</v>
      </c>
      <c r="AE154" s="4">
        <v>-0.9761199951171875</v>
      </c>
      <c r="AF154" s="4">
        <v>-0.9688873291015625</v>
      </c>
      <c r="AG154" s="4">
        <v>-0.961761474609375</v>
      </c>
      <c r="AH154" s="4">
        <v>-0.95473480224609375</v>
      </c>
      <c r="AI154" s="4">
        <v>-0.94781494140625</v>
      </c>
      <c r="AJ154" s="4">
        <v>-0.9409942626953125</v>
      </c>
      <c r="AK154" s="4">
        <v>-0.93427276611328125</v>
      </c>
      <c r="AL154" s="4">
        <v>-0.92765045166015625</v>
      </c>
      <c r="AM154" s="4">
        <v>-0.92113494873046875</v>
      </c>
      <c r="AN154" s="4">
        <v>-0.91471099853515625</v>
      </c>
      <c r="AO154" s="4">
        <v>-0.90839385986328125</v>
      </c>
      <c r="AP154" s="4">
        <v>-0.90216827392578125</v>
      </c>
      <c r="AQ154" s="4">
        <v>-0.8960418701171875</v>
      </c>
      <c r="AR154" s="4">
        <v>-0.8900146484375</v>
      </c>
      <c r="AS154" s="4">
        <v>-0.8840789794921875</v>
      </c>
      <c r="AT154" s="4">
        <v>-0.87824249267578125</v>
      </c>
      <c r="AU154" s="4">
        <v>-0.87250518798828125</v>
      </c>
      <c r="AV154" s="4">
        <v>-83.078834533691406</v>
      </c>
      <c r="AW154" s="4">
        <v>0</v>
      </c>
      <c r="AX154" s="4">
        <v>0</v>
      </c>
      <c r="AY154" s="4">
        <v>0</v>
      </c>
      <c r="AZ154" s="4">
        <v>0</v>
      </c>
      <c r="BA154" s="4">
        <v>0</v>
      </c>
      <c r="BB154" s="4">
        <v>0</v>
      </c>
      <c r="BC154" s="4">
        <v>0</v>
      </c>
      <c r="BD154" s="4">
        <v>0</v>
      </c>
      <c r="BE154" s="4">
        <v>0</v>
      </c>
      <c r="BF154" s="4">
        <v>0</v>
      </c>
      <c r="BG154" s="4">
        <v>0</v>
      </c>
      <c r="BH154" s="4">
        <v>0</v>
      </c>
      <c r="BI154" s="4">
        <v>0</v>
      </c>
      <c r="BJ154" s="4">
        <v>0</v>
      </c>
      <c r="BK154" s="4">
        <v>0</v>
      </c>
      <c r="BL154" s="4">
        <v>0</v>
      </c>
    </row>
    <row r="155" spans="1:64" x14ac:dyDescent="0.35">
      <c r="A155" s="1"/>
      <c r="C155" s="2" t="s">
        <v>529</v>
      </c>
      <c r="E155" s="4">
        <v>107.44382476806641</v>
      </c>
      <c r="F155" s="4">
        <v>107.28612518310547</v>
      </c>
      <c r="G155" s="4">
        <v>107.12648010253906</v>
      </c>
      <c r="H155" s="4">
        <v>106.96485900878906</v>
      </c>
      <c r="I155" s="4">
        <v>106.80123901367188</v>
      </c>
      <c r="J155" s="4">
        <v>107.44775390625</v>
      </c>
      <c r="K155" s="4">
        <v>108.09819030761719</v>
      </c>
      <c r="L155" s="4">
        <v>108.7525634765625</v>
      </c>
      <c r="M155" s="4">
        <v>109.41088104248047</v>
      </c>
      <c r="N155" s="4">
        <v>108.38289642333984</v>
      </c>
      <c r="O155" s="4">
        <v>107.36334228515625</v>
      </c>
      <c r="P155" s="4">
        <v>106.35210418701172</v>
      </c>
      <c r="Q155" s="4">
        <v>105.34908294677734</v>
      </c>
      <c r="R155" s="4">
        <v>105.97780609130859</v>
      </c>
      <c r="S155" s="4">
        <v>106.61024475097656</v>
      </c>
      <c r="T155" s="4">
        <v>107.24639892578125</v>
      </c>
      <c r="U155" s="4">
        <v>107.88627624511719</v>
      </c>
      <c r="V155" s="4">
        <v>106.84030151367188</v>
      </c>
      <c r="W155" s="4">
        <v>105.80252075195313</v>
      </c>
      <c r="X155" s="4">
        <v>104.77281951904297</v>
      </c>
      <c r="Y155" s="4">
        <v>103.7510986328125</v>
      </c>
      <c r="Z155" s="4">
        <v>102.73725128173828</v>
      </c>
      <c r="AA155" s="4">
        <v>101.73115539550781</v>
      </c>
      <c r="AB155" s="4">
        <v>100.73271179199219</v>
      </c>
      <c r="AC155" s="4">
        <v>99.741813659667969</v>
      </c>
      <c r="AD155" s="4">
        <v>98.75836181640625</v>
      </c>
      <c r="AE155" s="4">
        <v>97.782241821289063</v>
      </c>
      <c r="AF155" s="4">
        <v>96.8133544921875</v>
      </c>
      <c r="AG155" s="4">
        <v>95.851593017578125</v>
      </c>
      <c r="AH155" s="4">
        <v>94.896858215332031</v>
      </c>
      <c r="AI155" s="4">
        <v>93.949043273925781</v>
      </c>
      <c r="AJ155" s="4">
        <v>93.008049011230469</v>
      </c>
      <c r="AK155" s="4">
        <v>92.073776245117188</v>
      </c>
      <c r="AL155" s="4">
        <v>91.146125793457031</v>
      </c>
      <c r="AM155" s="4">
        <v>90.224990844726563</v>
      </c>
      <c r="AN155" s="4">
        <v>89.310279846191406</v>
      </c>
      <c r="AO155" s="4">
        <v>88.401885986328125</v>
      </c>
      <c r="AP155" s="4">
        <v>87.499717712402344</v>
      </c>
      <c r="AQ155" s="4">
        <v>86.603675842285156</v>
      </c>
      <c r="AR155" s="4">
        <v>85.713661193847656</v>
      </c>
      <c r="AS155" s="4">
        <v>84.829582214355469</v>
      </c>
      <c r="AT155" s="4">
        <v>83.951339721679688</v>
      </c>
      <c r="AU155" s="4">
        <v>83.078834533691406</v>
      </c>
      <c r="AV155" s="4">
        <v>0</v>
      </c>
      <c r="AW155" s="4">
        <v>0</v>
      </c>
      <c r="AX155" s="4">
        <v>0</v>
      </c>
      <c r="AY155" s="4">
        <v>0</v>
      </c>
      <c r="AZ155" s="4">
        <v>0</v>
      </c>
      <c r="BA155" s="4">
        <v>0</v>
      </c>
      <c r="BB155" s="4">
        <v>0</v>
      </c>
      <c r="BC155" s="4">
        <v>0</v>
      </c>
      <c r="BD155" s="4">
        <v>0</v>
      </c>
      <c r="BE155" s="4">
        <v>0</v>
      </c>
      <c r="BF155" s="4">
        <v>0</v>
      </c>
      <c r="BG155" s="4">
        <v>0</v>
      </c>
      <c r="BH155" s="4">
        <v>0</v>
      </c>
      <c r="BI155" s="4">
        <v>0</v>
      </c>
      <c r="BJ155" s="4">
        <v>0</v>
      </c>
      <c r="BK155" s="4">
        <v>0</v>
      </c>
      <c r="BL155" s="4">
        <v>0</v>
      </c>
    </row>
    <row r="156" spans="1:64" x14ac:dyDescent="0.35">
      <c r="A156" s="1"/>
      <c r="C156" s="2" t="s">
        <v>2</v>
      </c>
      <c r="E156" s="4">
        <v>151.32279968261719</v>
      </c>
      <c r="F156" s="4">
        <v>151.10372924804688</v>
      </c>
      <c r="G156" s="4">
        <v>150.88194274902344</v>
      </c>
      <c r="H156" s="4">
        <v>150.65742492675781</v>
      </c>
      <c r="I156" s="4">
        <v>150.43013000488281</v>
      </c>
      <c r="J156" s="4">
        <v>150.20002746582031</v>
      </c>
      <c r="K156" s="4">
        <v>151.1092529296875</v>
      </c>
      <c r="L156" s="4">
        <v>152.02400207519531</v>
      </c>
      <c r="M156" s="4">
        <v>152.94427490234375</v>
      </c>
      <c r="N156" s="4">
        <v>153.87010192871094</v>
      </c>
      <c r="O156" s="4">
        <v>152.42440795898438</v>
      </c>
      <c r="P156" s="4">
        <v>150.99055480957031</v>
      </c>
      <c r="Q156" s="4">
        <v>149.56838989257813</v>
      </c>
      <c r="R156" s="4">
        <v>148.15779113769531</v>
      </c>
      <c r="S156" s="4">
        <v>149.04200744628906</v>
      </c>
      <c r="T156" s="4">
        <v>149.93142700195313</v>
      </c>
      <c r="U156" s="4">
        <v>150.82608032226563</v>
      </c>
      <c r="V156" s="4">
        <v>151.72596740722656</v>
      </c>
      <c r="W156" s="4">
        <v>150.25495910644531</v>
      </c>
      <c r="X156" s="4">
        <v>148.79548645019531</v>
      </c>
      <c r="Y156" s="4">
        <v>147.34736633300781</v>
      </c>
      <c r="Z156" s="4">
        <v>145.91046142578125</v>
      </c>
      <c r="AA156" s="4">
        <v>144.48463439941406</v>
      </c>
      <c r="AB156" s="4">
        <v>143.06971740722656</v>
      </c>
      <c r="AC156" s="4">
        <v>141.66555786132813</v>
      </c>
      <c r="AD156" s="4">
        <v>140.27200317382813</v>
      </c>
      <c r="AE156" s="4">
        <v>138.88893127441406</v>
      </c>
      <c r="AF156" s="4">
        <v>137.51615905761719</v>
      </c>
      <c r="AG156" s="4">
        <v>136.153564453125</v>
      </c>
      <c r="AH156" s="4">
        <v>134.80097961425781</v>
      </c>
      <c r="AI156" s="4">
        <v>133.45829772949219</v>
      </c>
      <c r="AJ156" s="4">
        <v>132.12533569335938</v>
      </c>
      <c r="AK156" s="4">
        <v>130.80197143554688</v>
      </c>
      <c r="AL156" s="4">
        <v>129.48805236816406</v>
      </c>
      <c r="AM156" s="4">
        <v>128.18344116210938</v>
      </c>
      <c r="AN156" s="4">
        <v>126.88800811767578</v>
      </c>
      <c r="AO156" s="4">
        <v>125.60160064697266</v>
      </c>
      <c r="AP156" s="4">
        <v>124.32408142089844</v>
      </c>
      <c r="AQ156" s="4">
        <v>123.05532073974609</v>
      </c>
      <c r="AR156" s="4">
        <v>121.795166015625</v>
      </c>
      <c r="AS156" s="4">
        <v>120.54349517822266</v>
      </c>
      <c r="AT156" s="4">
        <v>119.3001708984375</v>
      </c>
      <c r="AU156" s="4">
        <v>118.06504821777344</v>
      </c>
      <c r="AV156" s="4">
        <v>116.83799743652344</v>
      </c>
      <c r="AW156" s="4">
        <v>0</v>
      </c>
      <c r="AX156" s="4">
        <v>0</v>
      </c>
      <c r="AY156" s="4">
        <v>0</v>
      </c>
      <c r="AZ156" s="4">
        <v>0</v>
      </c>
      <c r="BA156" s="4">
        <v>0</v>
      </c>
      <c r="BB156" s="4">
        <v>0</v>
      </c>
      <c r="BC156" s="4">
        <v>0</v>
      </c>
      <c r="BD156" s="4">
        <v>0</v>
      </c>
      <c r="BE156" s="4">
        <v>0</v>
      </c>
      <c r="BF156" s="4">
        <v>0</v>
      </c>
      <c r="BG156" s="4">
        <v>0</v>
      </c>
      <c r="BH156" s="4">
        <v>0</v>
      </c>
      <c r="BI156" s="4">
        <v>0</v>
      </c>
      <c r="BJ156" s="4">
        <v>0</v>
      </c>
      <c r="BK156" s="4">
        <v>0</v>
      </c>
      <c r="BL156" s="4">
        <v>0</v>
      </c>
    </row>
    <row r="157" spans="1:64" x14ac:dyDescent="0.35">
      <c r="A157" s="1"/>
      <c r="C157" s="2" t="s">
        <v>568</v>
      </c>
      <c r="E157" s="4">
        <v>41.90774899150162</v>
      </c>
      <c r="F157" s="4">
        <v>41.90774899150162</v>
      </c>
      <c r="G157" s="4">
        <v>41.90774899150162</v>
      </c>
      <c r="H157" s="4">
        <v>41.90774899150162</v>
      </c>
      <c r="I157" s="4">
        <v>41.90774899150162</v>
      </c>
      <c r="J157" s="4">
        <v>41.90774899150162</v>
      </c>
      <c r="K157" s="4">
        <v>41.90774899150162</v>
      </c>
      <c r="L157" s="4">
        <v>41.90774899150162</v>
      </c>
      <c r="M157" s="4">
        <v>41.90774899150162</v>
      </c>
      <c r="N157" s="4">
        <v>41.90774899150162</v>
      </c>
      <c r="O157" s="4">
        <v>41.90774899150162</v>
      </c>
      <c r="P157" s="4">
        <v>41.90774899150162</v>
      </c>
      <c r="Q157" s="4">
        <v>41.90774899150162</v>
      </c>
      <c r="R157" s="4">
        <v>41.90774899150162</v>
      </c>
      <c r="S157" s="4">
        <v>41.90774899150162</v>
      </c>
      <c r="T157" s="4">
        <v>41.90774899150162</v>
      </c>
      <c r="U157" s="4">
        <v>41.90774899150162</v>
      </c>
      <c r="V157" s="4">
        <v>41.90774899150162</v>
      </c>
      <c r="W157" s="4">
        <v>41.90774899150162</v>
      </c>
      <c r="X157" s="4">
        <v>41.90774899150162</v>
      </c>
      <c r="Y157" s="4">
        <v>41.90774899150162</v>
      </c>
      <c r="Z157" s="4">
        <v>41.90774899150162</v>
      </c>
      <c r="AA157" s="4">
        <v>41.90774899150162</v>
      </c>
      <c r="AB157" s="4">
        <v>41.90774899150162</v>
      </c>
      <c r="AC157" s="4">
        <v>41.90774899150162</v>
      </c>
      <c r="AD157" s="4">
        <v>41.90774899150162</v>
      </c>
      <c r="AE157" s="4">
        <v>41.90774899150162</v>
      </c>
      <c r="AF157" s="4">
        <v>41.90774899150162</v>
      </c>
      <c r="AG157" s="4">
        <v>41.90774899150162</v>
      </c>
      <c r="AH157" s="4">
        <v>41.90774899150162</v>
      </c>
      <c r="AI157" s="4">
        <v>41.90774899150162</v>
      </c>
      <c r="AJ157" s="4">
        <v>41.90774899150162</v>
      </c>
      <c r="AK157" s="4">
        <v>41.90774899150162</v>
      </c>
      <c r="AL157" s="4">
        <v>41.90774899150162</v>
      </c>
      <c r="AM157" s="4">
        <v>41.90774899150162</v>
      </c>
      <c r="AN157" s="4">
        <v>41.90774899150162</v>
      </c>
      <c r="AO157" s="4">
        <v>41.90774899150162</v>
      </c>
      <c r="AP157" s="4">
        <v>41.90774899150162</v>
      </c>
      <c r="AQ157" s="4">
        <v>41.90774899150162</v>
      </c>
      <c r="AR157" s="4">
        <v>41.90774899150162</v>
      </c>
      <c r="AS157" s="4">
        <v>41.90774899150162</v>
      </c>
      <c r="AT157" s="4">
        <v>41.90774899150162</v>
      </c>
      <c r="AU157" s="4">
        <v>41.90774899150162</v>
      </c>
      <c r="AV157" s="4">
        <v>41.90774899150162</v>
      </c>
      <c r="AW157" s="4">
        <v>0</v>
      </c>
      <c r="AX157" s="4">
        <v>0</v>
      </c>
      <c r="AY157" s="4">
        <v>0</v>
      </c>
      <c r="AZ157" s="4">
        <v>0</v>
      </c>
      <c r="BA157" s="4">
        <v>0</v>
      </c>
      <c r="BB157" s="4">
        <v>0</v>
      </c>
      <c r="BC157" s="4">
        <v>0</v>
      </c>
      <c r="BD157" s="4">
        <v>0</v>
      </c>
      <c r="BE157" s="4">
        <v>0</v>
      </c>
      <c r="BF157" s="4">
        <v>0</v>
      </c>
      <c r="BG157" s="4">
        <v>0</v>
      </c>
      <c r="BH157" s="4">
        <v>0</v>
      </c>
      <c r="BI157" s="4">
        <v>0</v>
      </c>
      <c r="BJ157" s="4">
        <v>0</v>
      </c>
      <c r="BK157" s="4">
        <v>0</v>
      </c>
      <c r="BL157" s="4">
        <v>0</v>
      </c>
    </row>
    <row r="158" spans="1:64" x14ac:dyDescent="0.35">
      <c r="A158" s="1"/>
    </row>
    <row r="159" spans="1:64" x14ac:dyDescent="0.35">
      <c r="A159" s="1"/>
      <c r="B159" s="2" t="s">
        <v>575</v>
      </c>
    </row>
    <row r="160" spans="1:64" x14ac:dyDescent="0.35">
      <c r="A160" s="1"/>
      <c r="C160" s="2" t="s">
        <v>108</v>
      </c>
      <c r="E160" s="4">
        <f ca="1">$D$106</f>
        <v>3286.0796752929705</v>
      </c>
      <c r="F160" s="4">
        <f t="shared" ref="F160:BL160" ca="1" si="66">$D$106</f>
        <v>3286.0796752929705</v>
      </c>
      <c r="G160" s="4">
        <f t="shared" ca="1" si="66"/>
        <v>3286.0796752929705</v>
      </c>
      <c r="H160" s="4">
        <f t="shared" ca="1" si="66"/>
        <v>3286.0796752929705</v>
      </c>
      <c r="I160" s="4">
        <f t="shared" ca="1" si="66"/>
        <v>3286.0796752929705</v>
      </c>
      <c r="J160" s="4">
        <f t="shared" ca="1" si="66"/>
        <v>3286.0796752929705</v>
      </c>
      <c r="K160" s="4">
        <f t="shared" ca="1" si="66"/>
        <v>3286.0796752929705</v>
      </c>
      <c r="L160" s="4">
        <f t="shared" ca="1" si="66"/>
        <v>3286.0796752929705</v>
      </c>
      <c r="M160" s="4">
        <f t="shared" ca="1" si="66"/>
        <v>3286.0796752929705</v>
      </c>
      <c r="N160" s="4">
        <f t="shared" ca="1" si="66"/>
        <v>3286.0796752929705</v>
      </c>
      <c r="O160" s="4">
        <f t="shared" ca="1" si="66"/>
        <v>3286.0796752929705</v>
      </c>
      <c r="P160" s="4">
        <f t="shared" ca="1" si="66"/>
        <v>3286.0796752929705</v>
      </c>
      <c r="Q160" s="4">
        <f t="shared" ca="1" si="66"/>
        <v>3286.0796752929705</v>
      </c>
      <c r="R160" s="4">
        <f t="shared" ca="1" si="66"/>
        <v>3286.0796752929705</v>
      </c>
      <c r="S160" s="4">
        <f t="shared" ca="1" si="66"/>
        <v>3286.0796752929705</v>
      </c>
      <c r="T160" s="4">
        <f t="shared" ca="1" si="66"/>
        <v>3286.0796752929705</v>
      </c>
      <c r="U160" s="4">
        <f t="shared" ca="1" si="66"/>
        <v>3286.0796752929705</v>
      </c>
      <c r="V160" s="4">
        <f t="shared" ca="1" si="66"/>
        <v>3286.0796752929705</v>
      </c>
      <c r="W160" s="4">
        <f t="shared" ca="1" si="66"/>
        <v>3286.0796752929705</v>
      </c>
      <c r="X160" s="4">
        <f t="shared" ca="1" si="66"/>
        <v>3286.0796752929705</v>
      </c>
      <c r="Y160" s="4">
        <f t="shared" ca="1" si="66"/>
        <v>3286.0796752929705</v>
      </c>
      <c r="Z160" s="4">
        <f t="shared" ca="1" si="66"/>
        <v>3286.0796752929705</v>
      </c>
      <c r="AA160" s="4">
        <f t="shared" ca="1" si="66"/>
        <v>3286.0796752929705</v>
      </c>
      <c r="AB160" s="4">
        <f t="shared" ca="1" si="66"/>
        <v>3286.0796752929705</v>
      </c>
      <c r="AC160" s="4">
        <f t="shared" ca="1" si="66"/>
        <v>3286.0796752929705</v>
      </c>
      <c r="AD160" s="4">
        <f t="shared" ca="1" si="66"/>
        <v>3286.0796752929705</v>
      </c>
      <c r="AE160" s="4">
        <f t="shared" ca="1" si="66"/>
        <v>3286.0796752929705</v>
      </c>
      <c r="AF160" s="4">
        <f t="shared" ca="1" si="66"/>
        <v>3286.0796752929705</v>
      </c>
      <c r="AG160" s="4">
        <f t="shared" ca="1" si="66"/>
        <v>3286.0796752929705</v>
      </c>
      <c r="AH160" s="4">
        <f t="shared" ca="1" si="66"/>
        <v>3286.0796752929705</v>
      </c>
      <c r="AI160" s="4">
        <f t="shared" ca="1" si="66"/>
        <v>3286.0796752929705</v>
      </c>
      <c r="AJ160" s="4">
        <f t="shared" ca="1" si="66"/>
        <v>3286.0796752929705</v>
      </c>
      <c r="AK160" s="4">
        <f t="shared" ca="1" si="66"/>
        <v>3286.0796752929705</v>
      </c>
      <c r="AL160" s="4">
        <f t="shared" ca="1" si="66"/>
        <v>3286.0796752929705</v>
      </c>
      <c r="AM160" s="4">
        <f t="shared" ca="1" si="66"/>
        <v>3286.0796752929705</v>
      </c>
      <c r="AN160" s="4">
        <f t="shared" ca="1" si="66"/>
        <v>3286.0796752929705</v>
      </c>
      <c r="AO160" s="4">
        <f t="shared" ca="1" si="66"/>
        <v>3286.0796752929705</v>
      </c>
      <c r="AP160" s="4">
        <f t="shared" ca="1" si="66"/>
        <v>3286.0796752929705</v>
      </c>
      <c r="AQ160" s="4">
        <f t="shared" ca="1" si="66"/>
        <v>3286.0796752929705</v>
      </c>
      <c r="AR160" s="4">
        <f t="shared" ca="1" si="66"/>
        <v>3286.0796752929705</v>
      </c>
      <c r="AS160" s="4">
        <f t="shared" ca="1" si="66"/>
        <v>3286.0796752929705</v>
      </c>
      <c r="AT160" s="4">
        <f t="shared" ca="1" si="66"/>
        <v>3286.0796752929705</v>
      </c>
      <c r="AU160" s="4">
        <f t="shared" ca="1" si="66"/>
        <v>3286.0796752929705</v>
      </c>
      <c r="AV160" s="4">
        <f t="shared" ca="1" si="66"/>
        <v>3286.0796752929705</v>
      </c>
      <c r="AW160" s="4">
        <f t="shared" ca="1" si="66"/>
        <v>3286.0796752929705</v>
      </c>
      <c r="AX160" s="4">
        <f t="shared" ca="1" si="66"/>
        <v>3286.0796752929705</v>
      </c>
      <c r="AY160" s="4">
        <f t="shared" ca="1" si="66"/>
        <v>3286.0796752929705</v>
      </c>
      <c r="AZ160" s="4">
        <f t="shared" ca="1" si="66"/>
        <v>3286.0796752929705</v>
      </c>
      <c r="BA160" s="4">
        <f t="shared" ca="1" si="66"/>
        <v>3286.0796752929705</v>
      </c>
      <c r="BB160" s="4">
        <f t="shared" ca="1" si="66"/>
        <v>3286.0796752929705</v>
      </c>
      <c r="BC160" s="4">
        <f t="shared" ca="1" si="66"/>
        <v>3286.0796752929705</v>
      </c>
      <c r="BD160" s="4">
        <f t="shared" ca="1" si="66"/>
        <v>3286.0796752929705</v>
      </c>
      <c r="BE160" s="4">
        <f t="shared" ca="1" si="66"/>
        <v>3286.0796752929705</v>
      </c>
      <c r="BF160" s="4">
        <f t="shared" ca="1" si="66"/>
        <v>3286.0796752929705</v>
      </c>
      <c r="BG160" s="4">
        <f t="shared" ca="1" si="66"/>
        <v>3286.0796752929705</v>
      </c>
      <c r="BH160" s="4">
        <f t="shared" ca="1" si="66"/>
        <v>3286.0796752929705</v>
      </c>
      <c r="BI160" s="4">
        <f t="shared" ca="1" si="66"/>
        <v>3286.0796752929705</v>
      </c>
      <c r="BJ160" s="4">
        <f t="shared" ca="1" si="66"/>
        <v>3286.0796752929705</v>
      </c>
      <c r="BK160" s="4">
        <f t="shared" ca="1" si="66"/>
        <v>3286.0796752929705</v>
      </c>
      <c r="BL160" s="4">
        <f t="shared" ca="1" si="66"/>
        <v>3286.0796752929705</v>
      </c>
    </row>
    <row r="161" spans="1:64" x14ac:dyDescent="0.35">
      <c r="A161" s="1"/>
      <c r="C161" s="2" t="s">
        <v>148</v>
      </c>
      <c r="E161" s="4">
        <f ca="1">E121</f>
        <v>0</v>
      </c>
      <c r="F161" s="4">
        <f t="shared" ref="F161:BL161" ca="1" si="67">F121</f>
        <v>0</v>
      </c>
      <c r="G161" s="4">
        <f t="shared" ca="1" si="67"/>
        <v>0</v>
      </c>
      <c r="H161" s="4">
        <f t="shared" ca="1" si="67"/>
        <v>0</v>
      </c>
      <c r="I161" s="4">
        <f t="shared" ca="1" si="67"/>
        <v>0</v>
      </c>
      <c r="J161" s="4">
        <f t="shared" ca="1" si="67"/>
        <v>0</v>
      </c>
      <c r="K161" s="4">
        <f t="shared" ca="1" si="67"/>
        <v>0</v>
      </c>
      <c r="L161" s="4">
        <f t="shared" ca="1" si="67"/>
        <v>0</v>
      </c>
      <c r="M161" s="4">
        <f t="shared" ca="1" si="67"/>
        <v>0</v>
      </c>
      <c r="N161" s="4">
        <f t="shared" ca="1" si="67"/>
        <v>0</v>
      </c>
      <c r="O161" s="4">
        <f t="shared" ca="1" si="67"/>
        <v>0</v>
      </c>
      <c r="P161" s="4">
        <f t="shared" ca="1" si="67"/>
        <v>0</v>
      </c>
      <c r="Q161" s="4">
        <f t="shared" ca="1" si="67"/>
        <v>0</v>
      </c>
      <c r="R161" s="4">
        <f t="shared" ca="1" si="67"/>
        <v>0</v>
      </c>
      <c r="S161" s="4">
        <f t="shared" ca="1" si="67"/>
        <v>0</v>
      </c>
      <c r="T161" s="4">
        <f t="shared" ca="1" si="67"/>
        <v>0</v>
      </c>
      <c r="U161" s="4">
        <f t="shared" ca="1" si="67"/>
        <v>0</v>
      </c>
      <c r="V161" s="4">
        <f t="shared" ca="1" si="67"/>
        <v>0</v>
      </c>
      <c r="W161" s="4">
        <f t="shared" ca="1" si="67"/>
        <v>0</v>
      </c>
      <c r="X161" s="4">
        <f t="shared" ca="1" si="67"/>
        <v>0</v>
      </c>
      <c r="Y161" s="4">
        <f t="shared" ca="1" si="67"/>
        <v>0</v>
      </c>
      <c r="Z161" s="4">
        <f t="shared" ca="1" si="67"/>
        <v>0</v>
      </c>
      <c r="AA161" s="4">
        <f t="shared" ca="1" si="67"/>
        <v>0</v>
      </c>
      <c r="AB161" s="4">
        <f t="shared" ca="1" si="67"/>
        <v>0</v>
      </c>
      <c r="AC161" s="4">
        <f t="shared" ca="1" si="67"/>
        <v>0</v>
      </c>
      <c r="AD161" s="4">
        <f t="shared" ca="1" si="67"/>
        <v>0</v>
      </c>
      <c r="AE161" s="4">
        <f t="shared" ca="1" si="67"/>
        <v>0</v>
      </c>
      <c r="AF161" s="4">
        <f t="shared" ca="1" si="67"/>
        <v>0</v>
      </c>
      <c r="AG161" s="4">
        <f t="shared" ca="1" si="67"/>
        <v>0</v>
      </c>
      <c r="AH161" s="4">
        <f t="shared" ca="1" si="67"/>
        <v>0</v>
      </c>
      <c r="AI161" s="4">
        <f t="shared" ca="1" si="67"/>
        <v>0</v>
      </c>
      <c r="AJ161" s="4">
        <f t="shared" ca="1" si="67"/>
        <v>0</v>
      </c>
      <c r="AK161" s="4">
        <f t="shared" ca="1" si="67"/>
        <v>0</v>
      </c>
      <c r="AL161" s="4">
        <f t="shared" ca="1" si="67"/>
        <v>0</v>
      </c>
      <c r="AM161" s="4">
        <f t="shared" ca="1" si="67"/>
        <v>0</v>
      </c>
      <c r="AN161" s="4">
        <f t="shared" ca="1" si="67"/>
        <v>0</v>
      </c>
      <c r="AO161" s="4">
        <f t="shared" ca="1" si="67"/>
        <v>0</v>
      </c>
      <c r="AP161" s="4">
        <f t="shared" ca="1" si="67"/>
        <v>0</v>
      </c>
      <c r="AQ161" s="4">
        <f t="shared" ca="1" si="67"/>
        <v>0</v>
      </c>
      <c r="AR161" s="4">
        <f t="shared" ca="1" si="67"/>
        <v>0</v>
      </c>
      <c r="AS161" s="4">
        <f t="shared" ca="1" si="67"/>
        <v>0</v>
      </c>
      <c r="AT161" s="4">
        <f t="shared" ca="1" si="67"/>
        <v>0</v>
      </c>
      <c r="AU161" s="4">
        <f t="shared" ca="1" si="67"/>
        <v>0</v>
      </c>
      <c r="AV161" s="4">
        <f t="shared" ca="1" si="67"/>
        <v>0</v>
      </c>
      <c r="AW161" s="4">
        <f t="shared" ca="1" si="67"/>
        <v>0</v>
      </c>
      <c r="AX161" s="4">
        <f t="shared" ca="1" si="67"/>
        <v>0</v>
      </c>
      <c r="AY161" s="4">
        <f t="shared" ca="1" si="67"/>
        <v>0</v>
      </c>
      <c r="AZ161" s="4">
        <f t="shared" ca="1" si="67"/>
        <v>0</v>
      </c>
      <c r="BA161" s="4">
        <f t="shared" ca="1" si="67"/>
        <v>0</v>
      </c>
      <c r="BB161" s="4">
        <f t="shared" ca="1" si="67"/>
        <v>0</v>
      </c>
      <c r="BC161" s="4">
        <f t="shared" ca="1" si="67"/>
        <v>0</v>
      </c>
      <c r="BD161" s="4">
        <f t="shared" ca="1" si="67"/>
        <v>0</v>
      </c>
      <c r="BE161" s="4">
        <f t="shared" ca="1" si="67"/>
        <v>0</v>
      </c>
      <c r="BF161" s="4">
        <f t="shared" ca="1" si="67"/>
        <v>0</v>
      </c>
      <c r="BG161" s="4">
        <f t="shared" ca="1" si="67"/>
        <v>0</v>
      </c>
      <c r="BH161" s="4">
        <f t="shared" ca="1" si="67"/>
        <v>0</v>
      </c>
      <c r="BI161" s="4">
        <f t="shared" ca="1" si="67"/>
        <v>0</v>
      </c>
      <c r="BJ161" s="4">
        <f t="shared" ca="1" si="67"/>
        <v>0</v>
      </c>
      <c r="BK161" s="4">
        <f t="shared" ca="1" si="67"/>
        <v>0</v>
      </c>
      <c r="BL161" s="4">
        <f t="shared" ca="1" si="67"/>
        <v>0</v>
      </c>
    </row>
    <row r="162" spans="1:64" x14ac:dyDescent="0.35">
      <c r="A162" s="1"/>
    </row>
    <row r="163" spans="1:64" x14ac:dyDescent="0.35">
      <c r="A163" s="1"/>
      <c r="B163" s="2" t="s">
        <v>434</v>
      </c>
    </row>
    <row r="164" spans="1:64" x14ac:dyDescent="0.35">
      <c r="A164" s="1"/>
      <c r="C164" s="2" t="s">
        <v>574</v>
      </c>
      <c r="E164" s="4">
        <f ca="1">E151-$D$106</f>
        <v>4.3697978117052116E-4</v>
      </c>
      <c r="F164" s="4">
        <f t="shared" ref="F164:BL164" ca="1" si="68">F151-$D$106</f>
        <v>4.3697978117052116E-4</v>
      </c>
      <c r="G164" s="4">
        <f t="shared" ca="1" si="68"/>
        <v>4.3697978117052116E-4</v>
      </c>
      <c r="H164" s="4">
        <f t="shared" ca="1" si="68"/>
        <v>4.3697978117052116E-4</v>
      </c>
      <c r="I164" s="4">
        <f t="shared" ca="1" si="68"/>
        <v>4.3697978117052116E-4</v>
      </c>
      <c r="J164" s="4">
        <f t="shared" ca="1" si="68"/>
        <v>4.3697978117052116E-4</v>
      </c>
      <c r="K164" s="4">
        <f t="shared" ca="1" si="68"/>
        <v>4.3697978117052116E-4</v>
      </c>
      <c r="L164" s="4">
        <f t="shared" ca="1" si="68"/>
        <v>4.3697978117052116E-4</v>
      </c>
      <c r="M164" s="4">
        <f t="shared" ca="1" si="68"/>
        <v>4.3697978117052116E-4</v>
      </c>
      <c r="N164" s="4">
        <f t="shared" ca="1" si="68"/>
        <v>4.3697978117052116E-4</v>
      </c>
      <c r="O164" s="4">
        <f t="shared" ca="1" si="68"/>
        <v>4.3697978117052116E-4</v>
      </c>
      <c r="P164" s="4">
        <f t="shared" ca="1" si="68"/>
        <v>4.3697978117052116E-4</v>
      </c>
      <c r="Q164" s="4">
        <f t="shared" ca="1" si="68"/>
        <v>4.3697978117052116E-4</v>
      </c>
      <c r="R164" s="4">
        <f t="shared" ca="1" si="68"/>
        <v>4.3697978117052116E-4</v>
      </c>
      <c r="S164" s="4">
        <f t="shared" ca="1" si="68"/>
        <v>4.3697978117052116E-4</v>
      </c>
      <c r="T164" s="4">
        <f t="shared" ca="1" si="68"/>
        <v>4.3697978117052116E-4</v>
      </c>
      <c r="U164" s="4">
        <f t="shared" ca="1" si="68"/>
        <v>4.3697978117052116E-4</v>
      </c>
      <c r="V164" s="4">
        <f t="shared" ca="1" si="68"/>
        <v>4.3697978117052116E-4</v>
      </c>
      <c r="W164" s="4">
        <f t="shared" ca="1" si="68"/>
        <v>4.3697978117052116E-4</v>
      </c>
      <c r="X164" s="4">
        <f t="shared" ca="1" si="68"/>
        <v>4.3697978117052116E-4</v>
      </c>
      <c r="Y164" s="4">
        <f t="shared" ca="1" si="68"/>
        <v>4.3697978117052116E-4</v>
      </c>
      <c r="Z164" s="4">
        <f t="shared" ca="1" si="68"/>
        <v>4.3697978117052116E-4</v>
      </c>
      <c r="AA164" s="4">
        <f t="shared" ca="1" si="68"/>
        <v>4.3697978117052116E-4</v>
      </c>
      <c r="AB164" s="4">
        <f t="shared" ca="1" si="68"/>
        <v>4.3697978117052116E-4</v>
      </c>
      <c r="AC164" s="4">
        <f t="shared" ca="1" si="68"/>
        <v>4.3697978117052116E-4</v>
      </c>
      <c r="AD164" s="4">
        <f t="shared" ca="1" si="68"/>
        <v>4.3697978117052116E-4</v>
      </c>
      <c r="AE164" s="4">
        <f t="shared" ca="1" si="68"/>
        <v>4.3697978117052116E-4</v>
      </c>
      <c r="AF164" s="4">
        <f t="shared" ca="1" si="68"/>
        <v>4.3697978117052116E-4</v>
      </c>
      <c r="AG164" s="4">
        <f t="shared" ca="1" si="68"/>
        <v>4.3697978117052116E-4</v>
      </c>
      <c r="AH164" s="4">
        <f t="shared" ca="1" si="68"/>
        <v>4.3697978117052116E-4</v>
      </c>
      <c r="AI164" s="4">
        <f t="shared" ca="1" si="68"/>
        <v>4.3697978117052116E-4</v>
      </c>
      <c r="AJ164" s="4">
        <f t="shared" ca="1" si="68"/>
        <v>4.3697978117052116E-4</v>
      </c>
      <c r="AK164" s="4">
        <f t="shared" ca="1" si="68"/>
        <v>4.3697978117052116E-4</v>
      </c>
      <c r="AL164" s="4">
        <f t="shared" ca="1" si="68"/>
        <v>4.3697978117052116E-4</v>
      </c>
      <c r="AM164" s="4">
        <f t="shared" ca="1" si="68"/>
        <v>4.3697978117052116E-4</v>
      </c>
      <c r="AN164" s="4">
        <f t="shared" ca="1" si="68"/>
        <v>4.3697978117052116E-4</v>
      </c>
      <c r="AO164" s="4">
        <f t="shared" ca="1" si="68"/>
        <v>4.3697978117052116E-4</v>
      </c>
      <c r="AP164" s="4">
        <f t="shared" ca="1" si="68"/>
        <v>4.3697978117052116E-4</v>
      </c>
      <c r="AQ164" s="4">
        <f t="shared" ca="1" si="68"/>
        <v>4.3697978117052116E-4</v>
      </c>
      <c r="AR164" s="4">
        <f t="shared" ca="1" si="68"/>
        <v>4.3697978117052116E-4</v>
      </c>
      <c r="AS164" s="4">
        <f t="shared" ca="1" si="68"/>
        <v>4.3697978117052116E-4</v>
      </c>
      <c r="AT164" s="4">
        <f t="shared" ca="1" si="68"/>
        <v>4.3697978117052116E-4</v>
      </c>
      <c r="AU164" s="4">
        <f t="shared" ca="1" si="68"/>
        <v>4.3697978117052116E-4</v>
      </c>
      <c r="AV164" s="4">
        <f t="shared" ca="1" si="68"/>
        <v>4.3697978117052116E-4</v>
      </c>
      <c r="AW164" s="4">
        <f t="shared" ca="1" si="68"/>
        <v>-3286.0796752929705</v>
      </c>
      <c r="AX164" s="4">
        <f t="shared" ca="1" si="68"/>
        <v>-3286.0796752929705</v>
      </c>
      <c r="AY164" s="4">
        <f t="shared" ca="1" si="68"/>
        <v>-3286.0796752929705</v>
      </c>
      <c r="AZ164" s="4">
        <f t="shared" ca="1" si="68"/>
        <v>-3286.0796752929705</v>
      </c>
      <c r="BA164" s="4">
        <f t="shared" ca="1" si="68"/>
        <v>-3286.0796752929705</v>
      </c>
      <c r="BB164" s="4">
        <f t="shared" ca="1" si="68"/>
        <v>-3286.0796752929705</v>
      </c>
      <c r="BC164" s="4">
        <f t="shared" ca="1" si="68"/>
        <v>-3286.0796752929705</v>
      </c>
      <c r="BD164" s="4">
        <f t="shared" ca="1" si="68"/>
        <v>-3286.0796752929705</v>
      </c>
      <c r="BE164" s="4">
        <f t="shared" ca="1" si="68"/>
        <v>-3286.0796752929705</v>
      </c>
      <c r="BF164" s="4">
        <f t="shared" ca="1" si="68"/>
        <v>-3286.0796752929705</v>
      </c>
      <c r="BG164" s="4">
        <f t="shared" ca="1" si="68"/>
        <v>-3286.0796752929705</v>
      </c>
      <c r="BH164" s="4">
        <f t="shared" ca="1" si="68"/>
        <v>-3286.0796752929705</v>
      </c>
      <c r="BI164" s="4">
        <f t="shared" ca="1" si="68"/>
        <v>-3286.0796752929705</v>
      </c>
      <c r="BJ164" s="4">
        <f t="shared" ca="1" si="68"/>
        <v>-3286.0796752929705</v>
      </c>
      <c r="BK164" s="4">
        <f t="shared" ca="1" si="68"/>
        <v>-3286.0796752929705</v>
      </c>
      <c r="BL164" s="4">
        <f t="shared" ca="1" si="68"/>
        <v>-3286.0796752929705</v>
      </c>
    </row>
    <row r="165" spans="1:64" x14ac:dyDescent="0.35">
      <c r="A165" s="1"/>
      <c r="C165" s="2" t="s">
        <v>416</v>
      </c>
      <c r="E165" s="4">
        <f t="shared" ref="E165:AJ165" ca="1" si="69">E145-E121</f>
        <v>0</v>
      </c>
      <c r="F165" s="4">
        <f t="shared" ca="1" si="69"/>
        <v>0</v>
      </c>
      <c r="G165" s="4">
        <f t="shared" ca="1" si="69"/>
        <v>0</v>
      </c>
      <c r="H165" s="4">
        <f t="shared" ca="1" si="69"/>
        <v>0</v>
      </c>
      <c r="I165" s="4">
        <f t="shared" ca="1" si="69"/>
        <v>0</v>
      </c>
      <c r="J165" s="4">
        <f t="shared" ca="1" si="69"/>
        <v>0</v>
      </c>
      <c r="K165" s="4">
        <f t="shared" ca="1" si="69"/>
        <v>0</v>
      </c>
      <c r="L165" s="4">
        <f t="shared" ca="1" si="69"/>
        <v>0</v>
      </c>
      <c r="M165" s="4">
        <f t="shared" ca="1" si="69"/>
        <v>0</v>
      </c>
      <c r="N165" s="4">
        <f t="shared" ca="1" si="69"/>
        <v>0</v>
      </c>
      <c r="O165" s="4">
        <f t="shared" ca="1" si="69"/>
        <v>0</v>
      </c>
      <c r="P165" s="4">
        <f t="shared" ca="1" si="69"/>
        <v>0</v>
      </c>
      <c r="Q165" s="4">
        <f t="shared" ca="1" si="69"/>
        <v>0</v>
      </c>
      <c r="R165" s="4">
        <f t="shared" ca="1" si="69"/>
        <v>0</v>
      </c>
      <c r="S165" s="4">
        <f t="shared" ca="1" si="69"/>
        <v>0</v>
      </c>
      <c r="T165" s="4">
        <f t="shared" ca="1" si="69"/>
        <v>0</v>
      </c>
      <c r="U165" s="4">
        <f t="shared" ca="1" si="69"/>
        <v>0</v>
      </c>
      <c r="V165" s="4">
        <f t="shared" ca="1" si="69"/>
        <v>0</v>
      </c>
      <c r="W165" s="4">
        <f t="shared" ca="1" si="69"/>
        <v>0</v>
      </c>
      <c r="X165" s="4">
        <f t="shared" ca="1" si="69"/>
        <v>0</v>
      </c>
      <c r="Y165" s="4">
        <f t="shared" ca="1" si="69"/>
        <v>0</v>
      </c>
      <c r="Z165" s="4">
        <f t="shared" ca="1" si="69"/>
        <v>0</v>
      </c>
      <c r="AA165" s="4">
        <f t="shared" ca="1" si="69"/>
        <v>0</v>
      </c>
      <c r="AB165" s="4">
        <f t="shared" ca="1" si="69"/>
        <v>0</v>
      </c>
      <c r="AC165" s="4">
        <f t="shared" ca="1" si="69"/>
        <v>0</v>
      </c>
      <c r="AD165" s="4">
        <f t="shared" ca="1" si="69"/>
        <v>0</v>
      </c>
      <c r="AE165" s="4">
        <f t="shared" ca="1" si="69"/>
        <v>0</v>
      </c>
      <c r="AF165" s="4">
        <f t="shared" ca="1" si="69"/>
        <v>0</v>
      </c>
      <c r="AG165" s="4">
        <f t="shared" ca="1" si="69"/>
        <v>0</v>
      </c>
      <c r="AH165" s="4">
        <f t="shared" ca="1" si="69"/>
        <v>0</v>
      </c>
      <c r="AI165" s="4">
        <f t="shared" ca="1" si="69"/>
        <v>0</v>
      </c>
      <c r="AJ165" s="4">
        <f t="shared" ca="1" si="69"/>
        <v>0</v>
      </c>
      <c r="AK165" s="4">
        <f t="shared" ref="AK165:BL165" ca="1" si="70">AK145-AK121</f>
        <v>0</v>
      </c>
      <c r="AL165" s="4">
        <f t="shared" ca="1" si="70"/>
        <v>0</v>
      </c>
      <c r="AM165" s="4">
        <f t="shared" ca="1" si="70"/>
        <v>0</v>
      </c>
      <c r="AN165" s="4">
        <f t="shared" ca="1" si="70"/>
        <v>0</v>
      </c>
      <c r="AO165" s="4">
        <f t="shared" ca="1" si="70"/>
        <v>0</v>
      </c>
      <c r="AP165" s="4">
        <f t="shared" ca="1" si="70"/>
        <v>0</v>
      </c>
      <c r="AQ165" s="4">
        <f t="shared" ca="1" si="70"/>
        <v>0</v>
      </c>
      <c r="AR165" s="4">
        <f t="shared" ca="1" si="70"/>
        <v>0</v>
      </c>
      <c r="AS165" s="4">
        <f t="shared" ca="1" si="70"/>
        <v>0</v>
      </c>
      <c r="AT165" s="4">
        <f t="shared" ca="1" si="70"/>
        <v>0</v>
      </c>
      <c r="AU165" s="4">
        <f t="shared" ca="1" si="70"/>
        <v>0</v>
      </c>
      <c r="AV165" s="4">
        <f t="shared" ca="1" si="70"/>
        <v>0</v>
      </c>
      <c r="AW165" s="4">
        <f t="shared" ca="1" si="70"/>
        <v>0</v>
      </c>
      <c r="AX165" s="4">
        <f t="shared" ca="1" si="70"/>
        <v>0</v>
      </c>
      <c r="AY165" s="4">
        <f t="shared" ca="1" si="70"/>
        <v>0</v>
      </c>
      <c r="AZ165" s="4">
        <f t="shared" ca="1" si="70"/>
        <v>0</v>
      </c>
      <c r="BA165" s="4">
        <f t="shared" ca="1" si="70"/>
        <v>0</v>
      </c>
      <c r="BB165" s="4">
        <f t="shared" ca="1" si="70"/>
        <v>0</v>
      </c>
      <c r="BC165" s="4">
        <f t="shared" ca="1" si="70"/>
        <v>0</v>
      </c>
      <c r="BD165" s="4">
        <f t="shared" ca="1" si="70"/>
        <v>0</v>
      </c>
      <c r="BE165" s="4">
        <f t="shared" ca="1" si="70"/>
        <v>0</v>
      </c>
      <c r="BF165" s="4">
        <f t="shared" ca="1" si="70"/>
        <v>0</v>
      </c>
      <c r="BG165" s="4">
        <f t="shared" ca="1" si="70"/>
        <v>0</v>
      </c>
      <c r="BH165" s="4">
        <f t="shared" ca="1" si="70"/>
        <v>0</v>
      </c>
      <c r="BI165" s="4">
        <f t="shared" ca="1" si="70"/>
        <v>0</v>
      </c>
      <c r="BJ165" s="4">
        <f t="shared" ca="1" si="70"/>
        <v>0</v>
      </c>
      <c r="BK165" s="4">
        <f t="shared" ca="1" si="70"/>
        <v>0</v>
      </c>
      <c r="BL165" s="4">
        <f t="shared" ca="1" si="70"/>
        <v>0</v>
      </c>
    </row>
    <row r="166" spans="1:64" x14ac:dyDescent="0.35">
      <c r="A166" s="1"/>
      <c r="C166" s="2" t="s">
        <v>417</v>
      </c>
      <c r="E166" s="4">
        <f t="shared" ref="E166:AJ166" si="71">E146-E92</f>
        <v>9.4305214872747456E-6</v>
      </c>
      <c r="F166" s="4">
        <f t="shared" si="71"/>
        <v>1.3653230013233042E-5</v>
      </c>
      <c r="G166" s="4">
        <f t="shared" si="71"/>
        <v>1.2142609421061934E-5</v>
      </c>
      <c r="H166" s="4">
        <f t="shared" si="71"/>
        <v>1.3374057431292385E-5</v>
      </c>
      <c r="I166" s="4">
        <f t="shared" si="71"/>
        <v>1.1920421940203596E-5</v>
      </c>
      <c r="J166" s="4">
        <f t="shared" si="71"/>
        <v>8.6277060944439654E-6</v>
      </c>
      <c r="K166" s="4">
        <f t="shared" si="71"/>
        <v>1.4091821014972084E-5</v>
      </c>
      <c r="L166" s="4">
        <f t="shared" si="71"/>
        <v>1.1968296831810221E-5</v>
      </c>
      <c r="M166" s="4">
        <f t="shared" si="71"/>
        <v>1.1491811648056682E-5</v>
      </c>
      <c r="N166" s="4">
        <f t="shared" si="71"/>
        <v>1.1491538913332988E-5</v>
      </c>
      <c r="O166" s="4">
        <f t="shared" si="71"/>
        <v>7.1461663537775166E-6</v>
      </c>
      <c r="P166" s="4">
        <f t="shared" si="71"/>
        <v>8.3124904790565779E-6</v>
      </c>
      <c r="Q166" s="4">
        <f t="shared" si="71"/>
        <v>7.0856872866897902E-6</v>
      </c>
      <c r="R166" s="4">
        <f t="shared" si="71"/>
        <v>1.1051264721118059E-5</v>
      </c>
      <c r="S166" s="4">
        <f t="shared" si="71"/>
        <v>6.378414170171709E-6</v>
      </c>
      <c r="T166" s="4">
        <f t="shared" si="71"/>
        <v>7.2412585865322399E-6</v>
      </c>
      <c r="U166" s="4">
        <f t="shared" si="71"/>
        <v>7.9979727729551087E-6</v>
      </c>
      <c r="V166" s="4">
        <f t="shared" si="71"/>
        <v>1.2268225717093628E-5</v>
      </c>
      <c r="W166" s="4">
        <f t="shared" si="71"/>
        <v>1.2175062437336237E-5</v>
      </c>
      <c r="X166" s="4">
        <f t="shared" si="71"/>
        <v>1.2072429981913047E-5</v>
      </c>
      <c r="Y166" s="4">
        <f t="shared" si="71"/>
        <v>6.8925316440981987E-6</v>
      </c>
      <c r="Z166" s="4">
        <f t="shared" si="71"/>
        <v>6.3802327900930322E-6</v>
      </c>
      <c r="AA166" s="4">
        <f t="shared" si="71"/>
        <v>1.1877060003939732E-5</v>
      </c>
      <c r="AB166" s="4">
        <f t="shared" si="71"/>
        <v>1.0398235502862008E-5</v>
      </c>
      <c r="AC166" s="4">
        <f t="shared" si="71"/>
        <v>8.3828911101591075E-6</v>
      </c>
      <c r="AD166" s="4">
        <f t="shared" si="71"/>
        <v>5.9342360003711292E-6</v>
      </c>
      <c r="AE166" s="4">
        <f t="shared" si="71"/>
        <v>9.0376069437070328E-6</v>
      </c>
      <c r="AF166" s="4">
        <f t="shared" si="71"/>
        <v>9.056394830508907E-6</v>
      </c>
      <c r="AG166" s="4">
        <f t="shared" si="71"/>
        <v>9.5305494483000075E-6</v>
      </c>
      <c r="AH166" s="4">
        <f t="shared" si="71"/>
        <v>8.723831598445031E-6</v>
      </c>
      <c r="AI166" s="4">
        <f t="shared" si="71"/>
        <v>9.4680190727558511E-6</v>
      </c>
      <c r="AJ166" s="4">
        <f t="shared" si="71"/>
        <v>7.9831055614931756E-6</v>
      </c>
      <c r="AK166" s="4">
        <f t="shared" ref="AK166:BL166" si="72">AK146-AK92</f>
        <v>6.0947188416093923E-6</v>
      </c>
      <c r="AL166" s="4">
        <f t="shared" si="72"/>
        <v>5.6491509496936487E-6</v>
      </c>
      <c r="AM166" s="4">
        <f t="shared" si="72"/>
        <v>8.5233233448889223E-6</v>
      </c>
      <c r="AN166" s="4">
        <f t="shared" si="72"/>
        <v>7.3099587893921125E-6</v>
      </c>
      <c r="AO166" s="4">
        <f t="shared" si="72"/>
        <v>9.5717711161569241E-6</v>
      </c>
      <c r="AP166" s="4">
        <f t="shared" si="72"/>
        <v>7.3335561125986715E-6</v>
      </c>
      <c r="AQ166" s="4">
        <f t="shared" si="72"/>
        <v>7.2702824951420553E-6</v>
      </c>
      <c r="AR166" s="4">
        <f t="shared" si="72"/>
        <v>7.828385022889961E-6</v>
      </c>
      <c r="AS166" s="4">
        <f t="shared" si="72"/>
        <v>6.8645409214695974E-6</v>
      </c>
      <c r="AT166" s="4">
        <f t="shared" si="72"/>
        <v>9.2843527568220452E-6</v>
      </c>
      <c r="AU166" s="4">
        <f t="shared" si="72"/>
        <v>1.1792754534667438E-5</v>
      </c>
      <c r="AV166" s="4">
        <f t="shared" si="72"/>
        <v>1.0532509577387827E-5</v>
      </c>
      <c r="AW166" s="4">
        <f t="shared" si="72"/>
        <v>0</v>
      </c>
      <c r="AX166" s="4">
        <f t="shared" si="72"/>
        <v>0</v>
      </c>
      <c r="AY166" s="4">
        <f t="shared" si="72"/>
        <v>0</v>
      </c>
      <c r="AZ166" s="4">
        <f t="shared" si="72"/>
        <v>0</v>
      </c>
      <c r="BA166" s="4">
        <f t="shared" si="72"/>
        <v>0</v>
      </c>
      <c r="BB166" s="4">
        <f t="shared" si="72"/>
        <v>0</v>
      </c>
      <c r="BC166" s="4">
        <f t="shared" si="72"/>
        <v>0</v>
      </c>
      <c r="BD166" s="4">
        <f t="shared" si="72"/>
        <v>0</v>
      </c>
      <c r="BE166" s="4">
        <f t="shared" si="72"/>
        <v>0</v>
      </c>
      <c r="BF166" s="4">
        <f t="shared" si="72"/>
        <v>0</v>
      </c>
      <c r="BG166" s="4">
        <f t="shared" si="72"/>
        <v>0</v>
      </c>
      <c r="BH166" s="4">
        <f t="shared" si="72"/>
        <v>0</v>
      </c>
      <c r="BI166" s="4">
        <f t="shared" si="72"/>
        <v>0</v>
      </c>
      <c r="BJ166" s="4">
        <f t="shared" si="72"/>
        <v>0</v>
      </c>
      <c r="BK166" s="4">
        <f t="shared" si="72"/>
        <v>0</v>
      </c>
      <c r="BL166" s="4">
        <f t="shared" si="72"/>
        <v>0</v>
      </c>
    </row>
    <row r="167" spans="1:64" x14ac:dyDescent="0.35">
      <c r="A167" s="1"/>
      <c r="C167" s="2" t="s">
        <v>418</v>
      </c>
      <c r="E167" s="4">
        <f t="shared" ref="E167:AJ167" ca="1" si="73">E147-E124</f>
        <v>0</v>
      </c>
      <c r="F167" s="4">
        <f t="shared" ca="1" si="73"/>
        <v>0</v>
      </c>
      <c r="G167" s="4">
        <f t="shared" ca="1" si="73"/>
        <v>0</v>
      </c>
      <c r="H167" s="4">
        <f t="shared" ca="1" si="73"/>
        <v>0</v>
      </c>
      <c r="I167" s="4">
        <f t="shared" ca="1" si="73"/>
        <v>0</v>
      </c>
      <c r="J167" s="4">
        <f t="shared" ca="1" si="73"/>
        <v>0</v>
      </c>
      <c r="K167" s="4">
        <f t="shared" ca="1" si="73"/>
        <v>0</v>
      </c>
      <c r="L167" s="4">
        <f t="shared" ca="1" si="73"/>
        <v>0</v>
      </c>
      <c r="M167" s="4">
        <f t="shared" ca="1" si="73"/>
        <v>0</v>
      </c>
      <c r="N167" s="4">
        <f t="shared" ca="1" si="73"/>
        <v>0</v>
      </c>
      <c r="O167" s="4">
        <f t="shared" ca="1" si="73"/>
        <v>0</v>
      </c>
      <c r="P167" s="4">
        <f t="shared" ca="1" si="73"/>
        <v>0</v>
      </c>
      <c r="Q167" s="4">
        <f t="shared" ca="1" si="73"/>
        <v>0</v>
      </c>
      <c r="R167" s="4">
        <f t="shared" ca="1" si="73"/>
        <v>0</v>
      </c>
      <c r="S167" s="4">
        <f t="shared" ca="1" si="73"/>
        <v>0</v>
      </c>
      <c r="T167" s="4">
        <f t="shared" ca="1" si="73"/>
        <v>0</v>
      </c>
      <c r="U167" s="4">
        <f t="shared" ca="1" si="73"/>
        <v>0</v>
      </c>
      <c r="V167" s="4">
        <f t="shared" ca="1" si="73"/>
        <v>0</v>
      </c>
      <c r="W167" s="4">
        <f t="shared" ca="1" si="73"/>
        <v>0</v>
      </c>
      <c r="X167" s="4">
        <f t="shared" ca="1" si="73"/>
        <v>0</v>
      </c>
      <c r="Y167" s="4">
        <f t="shared" ca="1" si="73"/>
        <v>0</v>
      </c>
      <c r="Z167" s="4">
        <f t="shared" ca="1" si="73"/>
        <v>0</v>
      </c>
      <c r="AA167" s="4">
        <f t="shared" ca="1" si="73"/>
        <v>0</v>
      </c>
      <c r="AB167" s="4">
        <f t="shared" ca="1" si="73"/>
        <v>0</v>
      </c>
      <c r="AC167" s="4">
        <f t="shared" ca="1" si="73"/>
        <v>0</v>
      </c>
      <c r="AD167" s="4">
        <f t="shared" ca="1" si="73"/>
        <v>0</v>
      </c>
      <c r="AE167" s="4">
        <f t="shared" ca="1" si="73"/>
        <v>0</v>
      </c>
      <c r="AF167" s="4">
        <f t="shared" ca="1" si="73"/>
        <v>0</v>
      </c>
      <c r="AG167" s="4">
        <f t="shared" ca="1" si="73"/>
        <v>0</v>
      </c>
      <c r="AH167" s="4">
        <f t="shared" ca="1" si="73"/>
        <v>0</v>
      </c>
      <c r="AI167" s="4">
        <f t="shared" ca="1" si="73"/>
        <v>0</v>
      </c>
      <c r="AJ167" s="4">
        <f t="shared" ca="1" si="73"/>
        <v>0</v>
      </c>
      <c r="AK167" s="4">
        <f t="shared" ref="AK167:BL167" ca="1" si="74">AK147-AK124</f>
        <v>0</v>
      </c>
      <c r="AL167" s="4">
        <f t="shared" ca="1" si="74"/>
        <v>0</v>
      </c>
      <c r="AM167" s="4">
        <f t="shared" ca="1" si="74"/>
        <v>0</v>
      </c>
      <c r="AN167" s="4">
        <f t="shared" ca="1" si="74"/>
        <v>0</v>
      </c>
      <c r="AO167" s="4">
        <f t="shared" ca="1" si="74"/>
        <v>0</v>
      </c>
      <c r="AP167" s="4">
        <f t="shared" ca="1" si="74"/>
        <v>0</v>
      </c>
      <c r="AQ167" s="4">
        <f t="shared" ca="1" si="74"/>
        <v>0</v>
      </c>
      <c r="AR167" s="4">
        <f t="shared" ca="1" si="74"/>
        <v>0</v>
      </c>
      <c r="AS167" s="4">
        <f t="shared" ca="1" si="74"/>
        <v>0</v>
      </c>
      <c r="AT167" s="4">
        <f t="shared" ca="1" si="74"/>
        <v>0</v>
      </c>
      <c r="AU167" s="4">
        <f t="shared" ca="1" si="74"/>
        <v>0</v>
      </c>
      <c r="AV167" s="4">
        <f t="shared" ca="1" si="74"/>
        <v>0</v>
      </c>
      <c r="AW167" s="4">
        <f t="shared" ca="1" si="74"/>
        <v>0</v>
      </c>
      <c r="AX167" s="4">
        <f t="shared" ca="1" si="74"/>
        <v>0</v>
      </c>
      <c r="AY167" s="4">
        <f t="shared" ca="1" si="74"/>
        <v>0</v>
      </c>
      <c r="AZ167" s="4">
        <f t="shared" ca="1" si="74"/>
        <v>0</v>
      </c>
      <c r="BA167" s="4">
        <f t="shared" ca="1" si="74"/>
        <v>0</v>
      </c>
      <c r="BB167" s="4">
        <f t="shared" ca="1" si="74"/>
        <v>0</v>
      </c>
      <c r="BC167" s="4">
        <f t="shared" ca="1" si="74"/>
        <v>0</v>
      </c>
      <c r="BD167" s="4">
        <f t="shared" ca="1" si="74"/>
        <v>0</v>
      </c>
      <c r="BE167" s="4">
        <f t="shared" ca="1" si="74"/>
        <v>0</v>
      </c>
      <c r="BF167" s="4">
        <f t="shared" ca="1" si="74"/>
        <v>0</v>
      </c>
      <c r="BG167" s="4">
        <f t="shared" ca="1" si="74"/>
        <v>0</v>
      </c>
      <c r="BH167" s="4">
        <f t="shared" ca="1" si="74"/>
        <v>0</v>
      </c>
      <c r="BI167" s="4">
        <f t="shared" ca="1" si="74"/>
        <v>0</v>
      </c>
      <c r="BJ167" s="4">
        <f t="shared" ca="1" si="74"/>
        <v>0</v>
      </c>
      <c r="BK167" s="4">
        <f t="shared" ca="1" si="74"/>
        <v>0</v>
      </c>
      <c r="BL167" s="4">
        <f t="shared" ca="1" si="74"/>
        <v>0</v>
      </c>
    </row>
    <row r="168" spans="1:64" x14ac:dyDescent="0.35">
      <c r="A168" s="1"/>
      <c r="C168" s="2" t="s">
        <v>419</v>
      </c>
      <c r="E168" s="4">
        <f ca="1">E140-E150</f>
        <v>1.8539428658925772E-6</v>
      </c>
      <c r="F168" s="4">
        <f t="shared" ref="F168:BL168" ca="1" si="75">F140-F150</f>
        <v>1.3279097075269419E-6</v>
      </c>
      <c r="G168" s="4">
        <f t="shared" ca="1" si="75"/>
        <v>1.3474421152182003E-6</v>
      </c>
      <c r="H168" s="4">
        <f t="shared" ca="1" si="75"/>
        <v>1.9638372350527789E-6</v>
      </c>
      <c r="I168" s="4">
        <f t="shared" ca="1" si="75"/>
        <v>1.7741760487410829E-6</v>
      </c>
      <c r="J168" s="4">
        <f t="shared" ca="1" si="75"/>
        <v>1.6767009327622873E-6</v>
      </c>
      <c r="K168" s="4">
        <f t="shared" ca="1" si="75"/>
        <v>1.1720302310891384E-6</v>
      </c>
      <c r="L168" s="4">
        <f t="shared" ca="1" si="75"/>
        <v>2.0135965570489134E-6</v>
      </c>
      <c r="M168" s="4">
        <f t="shared" ca="1" si="75"/>
        <v>1.5016935535072662E-6</v>
      </c>
      <c r="N168" s="4">
        <f t="shared" ca="1" si="75"/>
        <v>1.2861588096768628E-6</v>
      </c>
      <c r="O168" s="4">
        <f t="shared" ca="1" si="75"/>
        <v>1.792317789295339E-6</v>
      </c>
      <c r="P168" s="4">
        <f t="shared" ca="1" si="75"/>
        <v>1.6701187774970094E-6</v>
      </c>
      <c r="Q168" s="4">
        <f t="shared" ca="1" si="75"/>
        <v>1.8269293065031889E-6</v>
      </c>
      <c r="R168" s="4">
        <f t="shared" ca="1" si="75"/>
        <v>1.6995852902823572E-6</v>
      </c>
      <c r="S168" s="4">
        <f t="shared" ca="1" si="75"/>
        <v>1.5586536079581492E-6</v>
      </c>
      <c r="T168" s="4">
        <f t="shared" ca="1" si="75"/>
        <v>1.3104048832701665E-6</v>
      </c>
      <c r="U168" s="4">
        <f t="shared" ca="1" si="75"/>
        <v>1.5142347251639876E-6</v>
      </c>
      <c r="V168" s="4">
        <f t="shared" ca="1" si="75"/>
        <v>8.9419395976619853E-7</v>
      </c>
      <c r="W168" s="4">
        <f t="shared" ca="1" si="75"/>
        <v>1.5499646970340564E-6</v>
      </c>
      <c r="X168" s="4">
        <f t="shared" ca="1" si="75"/>
        <v>1.3352981085290594E-6</v>
      </c>
      <c r="Y168" s="4">
        <f t="shared" ca="1" si="75"/>
        <v>1.0520472883968068E-6</v>
      </c>
      <c r="Z168" s="4">
        <f t="shared" ca="1" si="75"/>
        <v>1.0333878499579896E-6</v>
      </c>
      <c r="AA168" s="4">
        <f t="shared" ca="1" si="75"/>
        <v>1.6807519855888131E-6</v>
      </c>
      <c r="AB168" s="4">
        <f t="shared" ca="1" si="75"/>
        <v>1.1012820166911297E-6</v>
      </c>
      <c r="AC168" s="4">
        <f t="shared" ca="1" si="75"/>
        <v>1.2003145428707285E-6</v>
      </c>
      <c r="AD168" s="4">
        <f t="shared" ca="1" si="75"/>
        <v>1.0973423094640111E-6</v>
      </c>
      <c r="AE168" s="4">
        <f t="shared" ca="1" si="75"/>
        <v>1.3707988131272941E-6</v>
      </c>
      <c r="AF168" s="4">
        <f t="shared" ca="1" si="75"/>
        <v>7.8596270469688534E-7</v>
      </c>
      <c r="AG168" s="4">
        <f t="shared" ca="1" si="75"/>
        <v>1.4556659913012027E-6</v>
      </c>
      <c r="AH168" s="4">
        <f t="shared" ca="1" si="75"/>
        <v>1.2815761039064455E-6</v>
      </c>
      <c r="AI168" s="4">
        <f t="shared" ca="1" si="75"/>
        <v>1.5333184784083187E-6</v>
      </c>
      <c r="AJ168" s="4">
        <f t="shared" ca="1" si="75"/>
        <v>1.1771748518185632E-6</v>
      </c>
      <c r="AK168" s="4">
        <f t="shared" ca="1" si="75"/>
        <v>1.1225427414274236E-6</v>
      </c>
      <c r="AL168" s="4">
        <f t="shared" ca="1" si="75"/>
        <v>1.3876867122064596E-6</v>
      </c>
      <c r="AM168" s="4">
        <f t="shared" ca="1" si="75"/>
        <v>1.0989925023352498E-6</v>
      </c>
      <c r="AN168" s="4">
        <f t="shared" ca="1" si="75"/>
        <v>8.9478955800359472E-7</v>
      </c>
      <c r="AO168" s="4">
        <f t="shared" ca="1" si="75"/>
        <v>9.6296642482229799E-7</v>
      </c>
      <c r="AP168" s="4">
        <f t="shared" ca="1" si="75"/>
        <v>1.1224777054508195E-6</v>
      </c>
      <c r="AQ168" s="4">
        <f t="shared" ca="1" si="75"/>
        <v>1.2202107591008371E-6</v>
      </c>
      <c r="AR168" s="4">
        <f t="shared" ca="1" si="75"/>
        <v>1.1935405446195091E-6</v>
      </c>
      <c r="AS168" s="4">
        <f t="shared" ca="1" si="75"/>
        <v>1.0524962128499737E-6</v>
      </c>
      <c r="AT168" s="4">
        <f t="shared" ca="1" si="75"/>
        <v>8.6170743074376333E-7</v>
      </c>
      <c r="AU168" s="4">
        <f t="shared" ca="1" si="75"/>
        <v>7.8315752105595493E-7</v>
      </c>
      <c r="AV168" s="4">
        <f t="shared" ca="1" si="75"/>
        <v>1.0585934546725184E-6</v>
      </c>
      <c r="AW168" s="4">
        <f t="shared" ca="1" si="75"/>
        <v>5.1332253428149741</v>
      </c>
      <c r="AX168" s="4">
        <f t="shared" ca="1" si="75"/>
        <v>4.8318930892921088</v>
      </c>
      <c r="AY168" s="4">
        <f t="shared" ca="1" si="75"/>
        <v>4.533574158303054</v>
      </c>
      <c r="AZ168" s="4">
        <f t="shared" ca="1" si="75"/>
        <v>4.238238416622444</v>
      </c>
      <c r="BA168" s="4">
        <f t="shared" ca="1" si="75"/>
        <v>3.945856032357181</v>
      </c>
      <c r="BB168" s="4">
        <f t="shared" ca="1" si="75"/>
        <v>3.656397471933083</v>
      </c>
      <c r="BC168" s="4">
        <f t="shared" ca="1" si="75"/>
        <v>3.369833497111717</v>
      </c>
      <c r="BD168" s="4">
        <f t="shared" ca="1" si="75"/>
        <v>3.0861351620370385</v>
      </c>
      <c r="BE168" s="4">
        <f t="shared" ca="1" si="75"/>
        <v>2.8052738103115509</v>
      </c>
      <c r="BF168" s="4">
        <f t="shared" ca="1" si="75"/>
        <v>2.5272210721017423</v>
      </c>
      <c r="BG168" s="4">
        <f t="shared" ca="1" si="75"/>
        <v>2.2519488612724281</v>
      </c>
      <c r="BH168" s="4">
        <f t="shared" ca="1" si="75"/>
        <v>1.979429372549788</v>
      </c>
      <c r="BI168" s="4">
        <f t="shared" ca="1" si="75"/>
        <v>1.7096350787127221</v>
      </c>
      <c r="BJ168" s="4">
        <f t="shared" ca="1" si="75"/>
        <v>1.4425387278123516</v>
      </c>
      <c r="BK168" s="4">
        <f t="shared" ca="1" si="75"/>
        <v>1.1781133404192872</v>
      </c>
      <c r="BL168" s="4">
        <f t="shared" ca="1" si="75"/>
        <v>0.91633220689843142</v>
      </c>
    </row>
    <row r="169" spans="1:64" x14ac:dyDescent="0.35">
      <c r="A169" s="1"/>
      <c r="C169" s="2" t="s">
        <v>528</v>
      </c>
      <c r="E169" s="4">
        <f t="shared" ref="E169:AJ169" si="76">E154-E63</f>
        <v>0</v>
      </c>
      <c r="F169" s="4">
        <f t="shared" si="76"/>
        <v>0</v>
      </c>
      <c r="G169" s="4">
        <f t="shared" si="76"/>
        <v>0</v>
      </c>
      <c r="H169" s="4">
        <f t="shared" si="76"/>
        <v>0</v>
      </c>
      <c r="I169" s="4">
        <f t="shared" si="76"/>
        <v>0</v>
      </c>
      <c r="J169" s="4">
        <f t="shared" si="76"/>
        <v>0</v>
      </c>
      <c r="K169" s="4">
        <f t="shared" si="76"/>
        <v>0</v>
      </c>
      <c r="L169" s="4">
        <f t="shared" si="76"/>
        <v>0</v>
      </c>
      <c r="M169" s="4">
        <f t="shared" si="76"/>
        <v>0</v>
      </c>
      <c r="N169" s="4">
        <f t="shared" si="76"/>
        <v>0</v>
      </c>
      <c r="O169" s="4">
        <f t="shared" si="76"/>
        <v>0</v>
      </c>
      <c r="P169" s="4">
        <f t="shared" si="76"/>
        <v>0</v>
      </c>
      <c r="Q169" s="4">
        <f t="shared" si="76"/>
        <v>0</v>
      </c>
      <c r="R169" s="4">
        <f t="shared" si="76"/>
        <v>0</v>
      </c>
      <c r="S169" s="4">
        <f t="shared" si="76"/>
        <v>0</v>
      </c>
      <c r="T169" s="4">
        <f t="shared" si="76"/>
        <v>0</v>
      </c>
      <c r="U169" s="4">
        <f t="shared" si="76"/>
        <v>0</v>
      </c>
      <c r="V169" s="4">
        <f t="shared" si="76"/>
        <v>0</v>
      </c>
      <c r="W169" s="4">
        <f t="shared" si="76"/>
        <v>0</v>
      </c>
      <c r="X169" s="4">
        <f t="shared" si="76"/>
        <v>0</v>
      </c>
      <c r="Y169" s="4">
        <f t="shared" si="76"/>
        <v>0</v>
      </c>
      <c r="Z169" s="4">
        <f t="shared" si="76"/>
        <v>0</v>
      </c>
      <c r="AA169" s="4">
        <f t="shared" si="76"/>
        <v>0</v>
      </c>
      <c r="AB169" s="4">
        <f t="shared" si="76"/>
        <v>0</v>
      </c>
      <c r="AC169" s="4">
        <f t="shared" si="76"/>
        <v>0</v>
      </c>
      <c r="AD169" s="4">
        <f t="shared" si="76"/>
        <v>0</v>
      </c>
      <c r="AE169" s="4">
        <f t="shared" si="76"/>
        <v>0</v>
      </c>
      <c r="AF169" s="4">
        <f t="shared" si="76"/>
        <v>0</v>
      </c>
      <c r="AG169" s="4">
        <f t="shared" si="76"/>
        <v>0</v>
      </c>
      <c r="AH169" s="4">
        <f t="shared" si="76"/>
        <v>0</v>
      </c>
      <c r="AI169" s="4">
        <f t="shared" si="76"/>
        <v>0</v>
      </c>
      <c r="AJ169" s="4">
        <f t="shared" si="76"/>
        <v>0</v>
      </c>
      <c r="AK169" s="4">
        <f t="shared" ref="AK169:BL169" si="77">AK154-AK63</f>
        <v>0</v>
      </c>
      <c r="AL169" s="4">
        <f t="shared" si="77"/>
        <v>0</v>
      </c>
      <c r="AM169" s="4">
        <f t="shared" si="77"/>
        <v>0</v>
      </c>
      <c r="AN169" s="4">
        <f t="shared" si="77"/>
        <v>0</v>
      </c>
      <c r="AO169" s="4">
        <f t="shared" si="77"/>
        <v>0</v>
      </c>
      <c r="AP169" s="4">
        <f t="shared" si="77"/>
        <v>0</v>
      </c>
      <c r="AQ169" s="4">
        <f t="shared" si="77"/>
        <v>0</v>
      </c>
      <c r="AR169" s="4">
        <f t="shared" si="77"/>
        <v>0</v>
      </c>
      <c r="AS169" s="4">
        <f t="shared" si="77"/>
        <v>0</v>
      </c>
      <c r="AT169" s="4">
        <f t="shared" si="77"/>
        <v>0</v>
      </c>
      <c r="AU169" s="4">
        <f t="shared" si="77"/>
        <v>0</v>
      </c>
      <c r="AV169" s="4">
        <f t="shared" si="77"/>
        <v>0</v>
      </c>
      <c r="AW169" s="4">
        <f t="shared" si="77"/>
        <v>0</v>
      </c>
      <c r="AX169" s="4">
        <f t="shared" si="77"/>
        <v>0</v>
      </c>
      <c r="AY169" s="4">
        <f t="shared" si="77"/>
        <v>0</v>
      </c>
      <c r="AZ169" s="4">
        <f t="shared" si="77"/>
        <v>0</v>
      </c>
      <c r="BA169" s="4">
        <f t="shared" si="77"/>
        <v>0</v>
      </c>
      <c r="BB169" s="4">
        <f t="shared" si="77"/>
        <v>0</v>
      </c>
      <c r="BC169" s="4">
        <f t="shared" si="77"/>
        <v>0</v>
      </c>
      <c r="BD169" s="4">
        <f t="shared" si="77"/>
        <v>0</v>
      </c>
      <c r="BE169" s="4">
        <f t="shared" si="77"/>
        <v>0</v>
      </c>
      <c r="BF169" s="4">
        <f t="shared" si="77"/>
        <v>0</v>
      </c>
      <c r="BG169" s="4">
        <f t="shared" si="77"/>
        <v>0</v>
      </c>
      <c r="BH169" s="4">
        <f t="shared" si="77"/>
        <v>0</v>
      </c>
      <c r="BI169" s="4">
        <f t="shared" si="77"/>
        <v>0</v>
      </c>
      <c r="BJ169" s="4">
        <f t="shared" si="77"/>
        <v>0</v>
      </c>
      <c r="BK169" s="4">
        <f t="shared" si="77"/>
        <v>0</v>
      </c>
      <c r="BL169" s="4">
        <f t="shared" si="77"/>
        <v>0</v>
      </c>
    </row>
    <row r="170" spans="1:64" x14ac:dyDescent="0.35">
      <c r="A170" s="1"/>
      <c r="C170" s="2" t="s">
        <v>529</v>
      </c>
      <c r="E170" s="4">
        <f>E155-E118</f>
        <v>0</v>
      </c>
      <c r="F170" s="4">
        <f t="shared" ref="F170:BL170" si="78">F155-F118</f>
        <v>0</v>
      </c>
      <c r="G170" s="4">
        <f t="shared" si="78"/>
        <v>0</v>
      </c>
      <c r="H170" s="4">
        <f t="shared" si="78"/>
        <v>0</v>
      </c>
      <c r="I170" s="4">
        <f t="shared" si="78"/>
        <v>0</v>
      </c>
      <c r="J170" s="4">
        <f t="shared" si="78"/>
        <v>0</v>
      </c>
      <c r="K170" s="4">
        <f t="shared" si="78"/>
        <v>0</v>
      </c>
      <c r="L170" s="4">
        <f t="shared" si="78"/>
        <v>0</v>
      </c>
      <c r="M170" s="4">
        <f t="shared" si="78"/>
        <v>0</v>
      </c>
      <c r="N170" s="4">
        <f t="shared" si="78"/>
        <v>0</v>
      </c>
      <c r="O170" s="4">
        <f t="shared" si="78"/>
        <v>0</v>
      </c>
      <c r="P170" s="4">
        <f t="shared" si="78"/>
        <v>0</v>
      </c>
      <c r="Q170" s="4">
        <f t="shared" si="78"/>
        <v>0</v>
      </c>
      <c r="R170" s="4">
        <f t="shared" si="78"/>
        <v>0</v>
      </c>
      <c r="S170" s="4">
        <f t="shared" si="78"/>
        <v>0</v>
      </c>
      <c r="T170" s="4">
        <f t="shared" si="78"/>
        <v>0</v>
      </c>
      <c r="U170" s="4">
        <f t="shared" si="78"/>
        <v>0</v>
      </c>
      <c r="V170" s="4">
        <f t="shared" si="78"/>
        <v>0</v>
      </c>
      <c r="W170" s="4">
        <f t="shared" si="78"/>
        <v>0</v>
      </c>
      <c r="X170" s="4">
        <f t="shared" si="78"/>
        <v>0</v>
      </c>
      <c r="Y170" s="4">
        <f t="shared" si="78"/>
        <v>0</v>
      </c>
      <c r="Z170" s="4">
        <f t="shared" si="78"/>
        <v>0</v>
      </c>
      <c r="AA170" s="4">
        <f t="shared" si="78"/>
        <v>0</v>
      </c>
      <c r="AB170" s="4">
        <f t="shared" si="78"/>
        <v>0</v>
      </c>
      <c r="AC170" s="4">
        <f t="shared" si="78"/>
        <v>0</v>
      </c>
      <c r="AD170" s="4">
        <f t="shared" si="78"/>
        <v>0</v>
      </c>
      <c r="AE170" s="4">
        <f t="shared" si="78"/>
        <v>0</v>
      </c>
      <c r="AF170" s="4">
        <f t="shared" si="78"/>
        <v>0</v>
      </c>
      <c r="AG170" s="4">
        <f t="shared" si="78"/>
        <v>0</v>
      </c>
      <c r="AH170" s="4">
        <f t="shared" si="78"/>
        <v>0</v>
      </c>
      <c r="AI170" s="4">
        <f t="shared" si="78"/>
        <v>0</v>
      </c>
      <c r="AJ170" s="4">
        <f t="shared" si="78"/>
        <v>0</v>
      </c>
      <c r="AK170" s="4">
        <f t="shared" si="78"/>
        <v>0</v>
      </c>
      <c r="AL170" s="4">
        <f t="shared" si="78"/>
        <v>0</v>
      </c>
      <c r="AM170" s="4">
        <f t="shared" si="78"/>
        <v>0</v>
      </c>
      <c r="AN170" s="4">
        <f t="shared" si="78"/>
        <v>0</v>
      </c>
      <c r="AO170" s="4">
        <f t="shared" si="78"/>
        <v>0</v>
      </c>
      <c r="AP170" s="4">
        <f t="shared" si="78"/>
        <v>0</v>
      </c>
      <c r="AQ170" s="4">
        <f t="shared" si="78"/>
        <v>0</v>
      </c>
      <c r="AR170" s="4">
        <f t="shared" si="78"/>
        <v>0</v>
      </c>
      <c r="AS170" s="4">
        <f t="shared" si="78"/>
        <v>0</v>
      </c>
      <c r="AT170" s="4">
        <f t="shared" si="78"/>
        <v>0</v>
      </c>
      <c r="AU170" s="4">
        <f t="shared" si="78"/>
        <v>0</v>
      </c>
      <c r="AV170" s="4">
        <f t="shared" si="78"/>
        <v>0</v>
      </c>
      <c r="AW170" s="4">
        <f t="shared" si="78"/>
        <v>0</v>
      </c>
      <c r="AX170" s="4">
        <f t="shared" si="78"/>
        <v>0</v>
      </c>
      <c r="AY170" s="4">
        <f t="shared" si="78"/>
        <v>0</v>
      </c>
      <c r="AZ170" s="4">
        <f t="shared" si="78"/>
        <v>0</v>
      </c>
      <c r="BA170" s="4">
        <f t="shared" si="78"/>
        <v>0</v>
      </c>
      <c r="BB170" s="4">
        <f t="shared" si="78"/>
        <v>0</v>
      </c>
      <c r="BC170" s="4">
        <f t="shared" si="78"/>
        <v>0</v>
      </c>
      <c r="BD170" s="4">
        <f t="shared" si="78"/>
        <v>0</v>
      </c>
      <c r="BE170" s="4">
        <f t="shared" si="78"/>
        <v>0</v>
      </c>
      <c r="BF170" s="4">
        <f t="shared" si="78"/>
        <v>0</v>
      </c>
      <c r="BG170" s="4">
        <f t="shared" si="78"/>
        <v>0</v>
      </c>
      <c r="BH170" s="4">
        <f t="shared" si="78"/>
        <v>0</v>
      </c>
      <c r="BI170" s="4">
        <f t="shared" si="78"/>
        <v>0</v>
      </c>
      <c r="BJ170" s="4">
        <f t="shared" si="78"/>
        <v>0</v>
      </c>
      <c r="BK170" s="4">
        <f t="shared" si="78"/>
        <v>0</v>
      </c>
      <c r="BL170" s="4">
        <f t="shared" si="78"/>
        <v>0</v>
      </c>
    </row>
    <row r="171" spans="1:64" x14ac:dyDescent="0.35">
      <c r="A171" s="1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4"/>
      <c r="AM171" s="4"/>
      <c r="AN171" s="4"/>
      <c r="AO171" s="4"/>
      <c r="AP171" s="4"/>
      <c r="AQ171" s="4"/>
      <c r="AR171" s="4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</row>
    <row r="172" spans="1:64" s="40" customFormat="1" x14ac:dyDescent="0.35">
      <c r="A172" s="40" t="s">
        <v>543</v>
      </c>
      <c r="H172" s="175"/>
      <c r="I172" s="175"/>
      <c r="J172" s="175"/>
      <c r="K172" s="175"/>
      <c r="L172" s="175"/>
      <c r="M172" s="175"/>
      <c r="N172" s="175"/>
      <c r="O172" s="175"/>
      <c r="P172" s="175"/>
      <c r="Q172" s="175"/>
      <c r="R172" s="175"/>
      <c r="S172" s="175"/>
      <c r="T172" s="175"/>
      <c r="U172" s="175"/>
      <c r="V172" s="175"/>
      <c r="W172" s="175"/>
      <c r="X172" s="175"/>
      <c r="Y172" s="175"/>
      <c r="Z172" s="175"/>
      <c r="AA172" s="175"/>
      <c r="AB172" s="175"/>
      <c r="AC172" s="175"/>
      <c r="AD172" s="175"/>
      <c r="AE172" s="175"/>
      <c r="AF172" s="175"/>
      <c r="AG172" s="175"/>
      <c r="AH172" s="175"/>
      <c r="AI172" s="175"/>
      <c r="AJ172" s="175"/>
      <c r="AK172" s="175"/>
      <c r="AL172" s="175"/>
      <c r="AM172" s="175"/>
      <c r="AN172" s="175"/>
      <c r="AO172" s="175"/>
      <c r="AP172" s="175"/>
      <c r="AQ172" s="175"/>
      <c r="AR172" s="175"/>
      <c r="AS172" s="175"/>
      <c r="AT172" s="175"/>
      <c r="AU172" s="175"/>
      <c r="AV172" s="175"/>
      <c r="AW172" s="175"/>
      <c r="AX172" s="175"/>
      <c r="AY172" s="175"/>
      <c r="AZ172" s="175"/>
      <c r="BA172" s="175"/>
      <c r="BB172" s="175"/>
      <c r="BC172" s="175"/>
      <c r="BD172" s="175"/>
      <c r="BE172" s="175"/>
      <c r="BF172" s="175"/>
      <c r="BG172" s="175"/>
      <c r="BH172" s="175"/>
      <c r="BI172" s="175"/>
      <c r="BJ172" s="175"/>
      <c r="BK172" s="175"/>
      <c r="BL172" s="175"/>
    </row>
    <row r="173" spans="1:64" ht="15" thickBot="1" x14ac:dyDescent="0.4">
      <c r="A173" s="1"/>
      <c r="B173" s="2" t="s">
        <v>453</v>
      </c>
    </row>
    <row r="174" spans="1:64" ht="15" thickBot="1" x14ac:dyDescent="0.4">
      <c r="A174" s="1"/>
      <c r="C174" s="2" t="s">
        <v>556</v>
      </c>
      <c r="D174" s="33">
        <f>I33</f>
        <v>0</v>
      </c>
      <c r="E174" s="4">
        <f>E51</f>
        <v>151.3228006362915</v>
      </c>
      <c r="F174" s="4">
        <f t="shared" ref="F174:BL174" si="79">F51</f>
        <v>151.10372829437256</v>
      </c>
      <c r="G174" s="4">
        <f t="shared" si="79"/>
        <v>150.88194942474365</v>
      </c>
      <c r="H174" s="4">
        <f t="shared" si="79"/>
        <v>150.65743064880371</v>
      </c>
      <c r="I174" s="4">
        <f t="shared" si="79"/>
        <v>150.43013668060303</v>
      </c>
      <c r="J174" s="4">
        <f t="shared" si="79"/>
        <v>150.20003414154053</v>
      </c>
      <c r="K174" s="4">
        <f t="shared" si="79"/>
        <v>151.10925342559815</v>
      </c>
      <c r="L174" s="4">
        <f t="shared" si="79"/>
        <v>152.02399839897157</v>
      </c>
      <c r="M174" s="4">
        <f t="shared" si="79"/>
        <v>152.94427753367617</v>
      </c>
      <c r="N174" s="4">
        <f t="shared" si="79"/>
        <v>153.87010320591313</v>
      </c>
      <c r="O174" s="4">
        <f t="shared" si="79"/>
        <v>152.42440195641626</v>
      </c>
      <c r="P174" s="4">
        <f t="shared" si="79"/>
        <v>150.99054917220366</v>
      </c>
      <c r="Q174" s="4">
        <f t="shared" si="79"/>
        <v>149.56839502611609</v>
      </c>
      <c r="R174" s="4">
        <f t="shared" si="79"/>
        <v>148.15778936536375</v>
      </c>
      <c r="S174" s="4">
        <f t="shared" si="79"/>
        <v>149.04200146006721</v>
      </c>
      <c r="T174" s="4">
        <f t="shared" si="79"/>
        <v>149.93143108865866</v>
      </c>
      <c r="U174" s="4">
        <f t="shared" si="79"/>
        <v>150.82608618552547</v>
      </c>
      <c r="V174" s="4">
        <f t="shared" si="79"/>
        <v>151.72597238974981</v>
      </c>
      <c r="W174" s="4">
        <f t="shared" si="79"/>
        <v>150.25496474486232</v>
      </c>
      <c r="X174" s="4">
        <f t="shared" si="79"/>
        <v>148.795480712114</v>
      </c>
      <c r="Y174" s="4">
        <f t="shared" si="79"/>
        <v>147.34736647448901</v>
      </c>
      <c r="Z174" s="4">
        <f t="shared" si="79"/>
        <v>145.91046884238267</v>
      </c>
      <c r="AA174" s="4">
        <f t="shared" si="79"/>
        <v>144.48463571462779</v>
      </c>
      <c r="AB174" s="4">
        <f t="shared" si="79"/>
        <v>143.06971367865611</v>
      </c>
      <c r="AC174" s="4">
        <f t="shared" si="79"/>
        <v>141.66555419388524</v>
      </c>
      <c r="AD174" s="4">
        <f t="shared" si="79"/>
        <v>140.27200690065703</v>
      </c>
      <c r="AE174" s="4">
        <f t="shared" si="79"/>
        <v>138.88892389658423</v>
      </c>
      <c r="AF174" s="4">
        <f t="shared" si="79"/>
        <v>137.51615638365445</v>
      </c>
      <c r="AG174" s="4">
        <f t="shared" si="79"/>
        <v>136.15355989855325</v>
      </c>
      <c r="AH174" s="4">
        <f t="shared" si="79"/>
        <v>134.80098666853286</v>
      </c>
      <c r="AI174" s="4">
        <f t="shared" si="79"/>
        <v>133.45829322621734</v>
      </c>
      <c r="AJ174" s="4">
        <f t="shared" si="79"/>
        <v>132.12533467311317</v>
      </c>
      <c r="AK174" s="4">
        <f t="shared" si="79"/>
        <v>130.80196895684469</v>
      </c>
      <c r="AL174" s="4">
        <f t="shared" si="79"/>
        <v>129.48805399597498</v>
      </c>
      <c r="AM174" s="4">
        <f t="shared" si="79"/>
        <v>128.18344766599142</v>
      </c>
      <c r="AN174" s="4">
        <f t="shared" si="79"/>
        <v>126.88801016961716</v>
      </c>
      <c r="AO174" s="4">
        <f t="shared" si="79"/>
        <v>125.60160211572676</v>
      </c>
      <c r="AP174" s="4">
        <f t="shared" si="79"/>
        <v>124.32408450574809</v>
      </c>
      <c r="AQ174" s="4">
        <f t="shared" si="79"/>
        <v>123.05531919703705</v>
      </c>
      <c r="AR174" s="4">
        <f t="shared" si="79"/>
        <v>121.79516888955001</v>
      </c>
      <c r="AS174" s="4">
        <f t="shared" si="79"/>
        <v>120.54349711264945</v>
      </c>
      <c r="AT174" s="4">
        <f t="shared" si="79"/>
        <v>119.30016821204144</v>
      </c>
      <c r="AU174" s="4">
        <f t="shared" si="79"/>
        <v>118.06504733684393</v>
      </c>
      <c r="AV174" s="4">
        <f t="shared" si="79"/>
        <v>116.83800042678421</v>
      </c>
      <c r="AW174" s="4">
        <f t="shared" si="79"/>
        <v>120.53290138641407</v>
      </c>
      <c r="AX174" s="4">
        <f t="shared" si="79"/>
        <v>119.32757237254992</v>
      </c>
      <c r="AY174" s="4">
        <f t="shared" si="79"/>
        <v>118.13429664882442</v>
      </c>
      <c r="AZ174" s="4">
        <f t="shared" si="79"/>
        <v>116.95295368233617</v>
      </c>
      <c r="BA174" s="4">
        <f t="shared" si="79"/>
        <v>115.78342414551281</v>
      </c>
      <c r="BB174" s="4">
        <f t="shared" si="79"/>
        <v>114.62558990405768</v>
      </c>
      <c r="BC174" s="4">
        <f t="shared" si="79"/>
        <v>113.47933400501709</v>
      </c>
      <c r="BD174" s="4">
        <f t="shared" si="79"/>
        <v>112.34454066496693</v>
      </c>
      <c r="BE174" s="4">
        <f t="shared" si="79"/>
        <v>111.22109525831726</v>
      </c>
      <c r="BF174" s="4">
        <f t="shared" si="79"/>
        <v>110.10888430573409</v>
      </c>
      <c r="BG174" s="4">
        <f t="shared" si="79"/>
        <v>109.00779546267675</v>
      </c>
      <c r="BH174" s="4">
        <f t="shared" si="79"/>
        <v>107.91771750804999</v>
      </c>
      <c r="BI174" s="4">
        <f t="shared" si="79"/>
        <v>106.83854033296949</v>
      </c>
      <c r="BJ174" s="4">
        <f t="shared" si="79"/>
        <v>105.77015492963979</v>
      </c>
      <c r="BK174" s="4">
        <f t="shared" si="79"/>
        <v>104.71245338034339</v>
      </c>
      <c r="BL174" s="4">
        <f t="shared" si="79"/>
        <v>103.66532884653995</v>
      </c>
    </row>
    <row r="175" spans="1:64" x14ac:dyDescent="0.35">
      <c r="A175" s="1"/>
      <c r="C175" s="2" t="s">
        <v>525</v>
      </c>
      <c r="D175" s="12"/>
      <c r="E175" s="4">
        <f t="shared" ref="E175:AJ175" si="80">-E63</f>
        <v>0.15576934814453125</v>
      </c>
      <c r="F175" s="4">
        <f t="shared" si="80"/>
        <v>0.1576995849609375</v>
      </c>
      <c r="G175" s="4">
        <f t="shared" si="80"/>
        <v>0.15964508056640625</v>
      </c>
      <c r="H175" s="4">
        <f t="shared" si="80"/>
        <v>0.16162109375</v>
      </c>
      <c r="I175" s="4">
        <f t="shared" si="80"/>
        <v>0.1636199951171875</v>
      </c>
      <c r="J175" s="4">
        <f t="shared" si="80"/>
        <v>-0.646514892578125</v>
      </c>
      <c r="K175" s="4">
        <f t="shared" si="80"/>
        <v>-0.6504364013671875</v>
      </c>
      <c r="L175" s="4">
        <f t="shared" si="80"/>
        <v>-0.6543731689453125</v>
      </c>
      <c r="M175" s="4">
        <f t="shared" si="80"/>
        <v>-0.65831756591796875</v>
      </c>
      <c r="N175" s="4">
        <f t="shared" si="80"/>
        <v>1.027984619140625</v>
      </c>
      <c r="O175" s="4">
        <f t="shared" si="80"/>
        <v>1.0195541381835938</v>
      </c>
      <c r="P175" s="4">
        <f t="shared" si="80"/>
        <v>1.0112380981445313</v>
      </c>
      <c r="Q175" s="4">
        <f t="shared" si="80"/>
        <v>1.003021240234375</v>
      </c>
      <c r="R175" s="4">
        <f t="shared" si="80"/>
        <v>-0.62872314453125</v>
      </c>
      <c r="S175" s="4">
        <f t="shared" si="80"/>
        <v>-0.63243865966796875</v>
      </c>
      <c r="T175" s="4">
        <f t="shared" si="80"/>
        <v>-0.6361541748046875</v>
      </c>
      <c r="U175" s="4">
        <f t="shared" si="80"/>
        <v>-0.6398773193359375</v>
      </c>
      <c r="V175" s="4">
        <f t="shared" si="80"/>
        <v>1.0459747314453125</v>
      </c>
      <c r="W175" s="4">
        <f t="shared" si="80"/>
        <v>1.03778076171875</v>
      </c>
      <c r="X175" s="4">
        <f t="shared" si="80"/>
        <v>1.0297012329101563</v>
      </c>
      <c r="Y175" s="4">
        <f t="shared" si="80"/>
        <v>1.0217208862304688</v>
      </c>
      <c r="Z175" s="4">
        <f t="shared" si="80"/>
        <v>1.0138473510742188</v>
      </c>
      <c r="AA175" s="4">
        <f t="shared" si="80"/>
        <v>1.0060958862304688</v>
      </c>
      <c r="AB175" s="4">
        <f t="shared" si="80"/>
        <v>0.998443603515625</v>
      </c>
      <c r="AC175" s="4">
        <f t="shared" si="80"/>
        <v>0.99089813232421875</v>
      </c>
      <c r="AD175" s="4">
        <f t="shared" si="80"/>
        <v>0.98345184326171875</v>
      </c>
      <c r="AE175" s="4">
        <f t="shared" si="80"/>
        <v>0.9761199951171875</v>
      </c>
      <c r="AF175" s="4">
        <f t="shared" si="80"/>
        <v>0.9688873291015625</v>
      </c>
      <c r="AG175" s="4">
        <f t="shared" si="80"/>
        <v>0.961761474609375</v>
      </c>
      <c r="AH175" s="4">
        <f t="shared" si="80"/>
        <v>0.95473480224609375</v>
      </c>
      <c r="AI175" s="4">
        <f t="shared" si="80"/>
        <v>0.94781494140625</v>
      </c>
      <c r="AJ175" s="4">
        <f t="shared" si="80"/>
        <v>0.9409942626953125</v>
      </c>
      <c r="AK175" s="4">
        <f t="shared" ref="AK175:BL175" si="81">-AK63</f>
        <v>0.93427276611328125</v>
      </c>
      <c r="AL175" s="4">
        <f t="shared" si="81"/>
        <v>0.92765045166015625</v>
      </c>
      <c r="AM175" s="4">
        <f t="shared" si="81"/>
        <v>0.92113494873046875</v>
      </c>
      <c r="AN175" s="4">
        <f t="shared" si="81"/>
        <v>0.91471099853515625</v>
      </c>
      <c r="AO175" s="4">
        <f t="shared" si="81"/>
        <v>0.90839385986328125</v>
      </c>
      <c r="AP175" s="4">
        <f t="shared" si="81"/>
        <v>0.90216827392578125</v>
      </c>
      <c r="AQ175" s="4">
        <f t="shared" si="81"/>
        <v>0.8960418701171875</v>
      </c>
      <c r="AR175" s="4">
        <f t="shared" si="81"/>
        <v>0.8900146484375</v>
      </c>
      <c r="AS175" s="4">
        <f t="shared" si="81"/>
        <v>0.8840789794921875</v>
      </c>
      <c r="AT175" s="4">
        <f t="shared" si="81"/>
        <v>0.87824249267578125</v>
      </c>
      <c r="AU175" s="4">
        <f t="shared" si="81"/>
        <v>0.87250518798828125</v>
      </c>
      <c r="AV175" s="4">
        <f t="shared" si="81"/>
        <v>83.078834533691406</v>
      </c>
      <c r="AW175" s="4">
        <f t="shared" si="81"/>
        <v>0</v>
      </c>
      <c r="AX175" s="4">
        <f t="shared" si="81"/>
        <v>0</v>
      </c>
      <c r="AY175" s="4">
        <f t="shared" si="81"/>
        <v>0</v>
      </c>
      <c r="AZ175" s="4">
        <f t="shared" si="81"/>
        <v>0</v>
      </c>
      <c r="BA175" s="4">
        <f t="shared" si="81"/>
        <v>0</v>
      </c>
      <c r="BB175" s="4">
        <f t="shared" si="81"/>
        <v>0</v>
      </c>
      <c r="BC175" s="4">
        <f t="shared" si="81"/>
        <v>0</v>
      </c>
      <c r="BD175" s="4">
        <f t="shared" si="81"/>
        <v>0</v>
      </c>
      <c r="BE175" s="4">
        <f t="shared" si="81"/>
        <v>0</v>
      </c>
      <c r="BF175" s="4">
        <f t="shared" si="81"/>
        <v>0</v>
      </c>
      <c r="BG175" s="4">
        <f t="shared" si="81"/>
        <v>0</v>
      </c>
      <c r="BH175" s="4">
        <f t="shared" si="81"/>
        <v>0</v>
      </c>
      <c r="BI175" s="4">
        <f t="shared" si="81"/>
        <v>0</v>
      </c>
      <c r="BJ175" s="4">
        <f t="shared" si="81"/>
        <v>0</v>
      </c>
      <c r="BK175" s="4">
        <f t="shared" si="81"/>
        <v>0</v>
      </c>
      <c r="BL175" s="4">
        <f t="shared" si="81"/>
        <v>0</v>
      </c>
    </row>
    <row r="176" spans="1:64" ht="15" thickBot="1" x14ac:dyDescent="0.4">
      <c r="A176" s="1"/>
      <c r="C176" s="24" t="s">
        <v>557</v>
      </c>
      <c r="D176" s="174"/>
      <c r="E176" s="25">
        <f>E174+E175</f>
        <v>151.47856998443604</v>
      </c>
      <c r="F176" s="25">
        <f t="shared" ref="F176:BL176" si="82">F174+F175</f>
        <v>151.2614278793335</v>
      </c>
      <c r="G176" s="25">
        <f t="shared" si="82"/>
        <v>151.04159450531006</v>
      </c>
      <c r="H176" s="25">
        <f t="shared" si="82"/>
        <v>150.81905174255371</v>
      </c>
      <c r="I176" s="25">
        <f t="shared" si="82"/>
        <v>150.59375667572021</v>
      </c>
      <c r="J176" s="25">
        <f t="shared" si="82"/>
        <v>149.5535192489624</v>
      </c>
      <c r="K176" s="25">
        <f t="shared" si="82"/>
        <v>150.45881702423097</v>
      </c>
      <c r="L176" s="25">
        <f t="shared" si="82"/>
        <v>151.36962523002626</v>
      </c>
      <c r="M176" s="25">
        <f t="shared" si="82"/>
        <v>152.2859599677582</v>
      </c>
      <c r="N176" s="25">
        <f t="shared" si="82"/>
        <v>154.89808782505375</v>
      </c>
      <c r="O176" s="25">
        <f t="shared" si="82"/>
        <v>153.44395609459986</v>
      </c>
      <c r="P176" s="25">
        <f t="shared" si="82"/>
        <v>152.00178727034819</v>
      </c>
      <c r="Q176" s="25">
        <f t="shared" si="82"/>
        <v>150.57141626635047</v>
      </c>
      <c r="R176" s="25">
        <f t="shared" si="82"/>
        <v>147.5290662208325</v>
      </c>
      <c r="S176" s="25">
        <f t="shared" si="82"/>
        <v>148.40956280039924</v>
      </c>
      <c r="T176" s="25">
        <f t="shared" si="82"/>
        <v>149.29527691385397</v>
      </c>
      <c r="U176" s="25">
        <f t="shared" si="82"/>
        <v>150.18620886618953</v>
      </c>
      <c r="V176" s="25">
        <f t="shared" si="82"/>
        <v>152.77194712119513</v>
      </c>
      <c r="W176" s="25">
        <f t="shared" si="82"/>
        <v>151.29274550658107</v>
      </c>
      <c r="X176" s="25">
        <f t="shared" si="82"/>
        <v>149.82518194502416</v>
      </c>
      <c r="Y176" s="25">
        <f t="shared" si="82"/>
        <v>148.36908736071948</v>
      </c>
      <c r="Z176" s="25">
        <f t="shared" si="82"/>
        <v>146.92431619345689</v>
      </c>
      <c r="AA176" s="25">
        <f t="shared" si="82"/>
        <v>145.49073160085825</v>
      </c>
      <c r="AB176" s="25">
        <f t="shared" si="82"/>
        <v>144.06815728217174</v>
      </c>
      <c r="AC176" s="25">
        <f t="shared" si="82"/>
        <v>142.65645232620946</v>
      </c>
      <c r="AD176" s="25">
        <f t="shared" si="82"/>
        <v>141.25545874391875</v>
      </c>
      <c r="AE176" s="25">
        <f t="shared" si="82"/>
        <v>139.86504389170142</v>
      </c>
      <c r="AF176" s="25">
        <f t="shared" si="82"/>
        <v>138.48504371275601</v>
      </c>
      <c r="AG176" s="25">
        <f t="shared" si="82"/>
        <v>137.11532137316263</v>
      </c>
      <c r="AH176" s="25">
        <f t="shared" si="82"/>
        <v>135.75572147077895</v>
      </c>
      <c r="AI176" s="25">
        <f t="shared" si="82"/>
        <v>134.40610816762359</v>
      </c>
      <c r="AJ176" s="25">
        <f t="shared" si="82"/>
        <v>133.06632893580849</v>
      </c>
      <c r="AK176" s="25">
        <f t="shared" si="82"/>
        <v>131.73624172295797</v>
      </c>
      <c r="AL176" s="25">
        <f t="shared" si="82"/>
        <v>130.41570444763514</v>
      </c>
      <c r="AM176" s="25">
        <f t="shared" si="82"/>
        <v>129.10458261472189</v>
      </c>
      <c r="AN176" s="25">
        <f t="shared" si="82"/>
        <v>127.80272116815232</v>
      </c>
      <c r="AO176" s="25">
        <f t="shared" si="82"/>
        <v>126.50999597559004</v>
      </c>
      <c r="AP176" s="25">
        <f t="shared" si="82"/>
        <v>125.22625277967387</v>
      </c>
      <c r="AQ176" s="25">
        <f t="shared" si="82"/>
        <v>123.95136106715424</v>
      </c>
      <c r="AR176" s="25">
        <f t="shared" si="82"/>
        <v>122.68518353798751</v>
      </c>
      <c r="AS176" s="25">
        <f t="shared" si="82"/>
        <v>121.42757609214163</v>
      </c>
      <c r="AT176" s="25">
        <f t="shared" si="82"/>
        <v>120.17841070471722</v>
      </c>
      <c r="AU176" s="25">
        <f t="shared" si="82"/>
        <v>118.93755252483221</v>
      </c>
      <c r="AV176" s="25">
        <f t="shared" si="82"/>
        <v>199.91683496047563</v>
      </c>
      <c r="AW176" s="25">
        <f t="shared" si="82"/>
        <v>120.53290138641407</v>
      </c>
      <c r="AX176" s="25">
        <f t="shared" si="82"/>
        <v>119.32757237254992</v>
      </c>
      <c r="AY176" s="25">
        <f t="shared" si="82"/>
        <v>118.13429664882442</v>
      </c>
      <c r="AZ176" s="25">
        <f t="shared" si="82"/>
        <v>116.95295368233617</v>
      </c>
      <c r="BA176" s="25">
        <f t="shared" si="82"/>
        <v>115.78342414551281</v>
      </c>
      <c r="BB176" s="25">
        <f t="shared" si="82"/>
        <v>114.62558990405768</v>
      </c>
      <c r="BC176" s="25">
        <f t="shared" si="82"/>
        <v>113.47933400501709</v>
      </c>
      <c r="BD176" s="25">
        <f t="shared" si="82"/>
        <v>112.34454066496693</v>
      </c>
      <c r="BE176" s="25">
        <f t="shared" si="82"/>
        <v>111.22109525831726</v>
      </c>
      <c r="BF176" s="25">
        <f t="shared" si="82"/>
        <v>110.10888430573409</v>
      </c>
      <c r="BG176" s="25">
        <f t="shared" si="82"/>
        <v>109.00779546267675</v>
      </c>
      <c r="BH176" s="25">
        <f t="shared" si="82"/>
        <v>107.91771750804999</v>
      </c>
      <c r="BI176" s="25">
        <f t="shared" si="82"/>
        <v>106.83854033296949</v>
      </c>
      <c r="BJ176" s="25">
        <f t="shared" si="82"/>
        <v>105.77015492963979</v>
      </c>
      <c r="BK176" s="25">
        <f t="shared" si="82"/>
        <v>104.71245338034339</v>
      </c>
      <c r="BL176" s="25">
        <f t="shared" si="82"/>
        <v>103.66532884653995</v>
      </c>
    </row>
    <row r="177" spans="1:64" x14ac:dyDescent="0.35">
      <c r="A177" s="1"/>
      <c r="C177" s="2" t="s">
        <v>28</v>
      </c>
      <c r="D177" s="12"/>
      <c r="E177" s="4">
        <f ca="1">E104+E105</f>
        <v>58.419150902877405</v>
      </c>
      <c r="F177" s="4">
        <f t="shared" ref="F177:BL177" ca="1" si="83">F104+F105</f>
        <v>59.141037109682479</v>
      </c>
      <c r="G177" s="4">
        <f t="shared" ca="1" si="83"/>
        <v>59.871837956016293</v>
      </c>
      <c r="H177" s="4">
        <f t="shared" ca="1" si="83"/>
        <v>60.611674277198951</v>
      </c>
      <c r="I177" s="4">
        <f t="shared" ca="1" si="83"/>
        <v>61.36065108997019</v>
      </c>
      <c r="J177" s="4">
        <f t="shared" ca="1" si="83"/>
        <v>61.541389672446577</v>
      </c>
      <c r="K177" s="4">
        <f t="shared" ca="1" si="83"/>
        <v>63.108231518110728</v>
      </c>
      <c r="L177" s="4">
        <f t="shared" ca="1" si="83"/>
        <v>64.702494237974051</v>
      </c>
      <c r="M177" s="4">
        <f t="shared" ca="1" si="83"/>
        <v>66.324600594217472</v>
      </c>
      <c r="N177" s="4">
        <f t="shared" ca="1" si="83"/>
        <v>69.176849134893857</v>
      </c>
      <c r="O177" s="4">
        <f t="shared" ca="1" si="83"/>
        <v>69.180527020690533</v>
      </c>
      <c r="P177" s="4">
        <f t="shared" ca="1" si="83"/>
        <v>69.192766418389141</v>
      </c>
      <c r="Q177" s="4">
        <f t="shared" ca="1" si="83"/>
        <v>69.213578364660307</v>
      </c>
      <c r="R177" s="4">
        <f t="shared" ca="1" si="83"/>
        <v>68.088488736082581</v>
      </c>
      <c r="S177" s="4">
        <f t="shared" ca="1" si="83"/>
        <v>69.73590193045824</v>
      </c>
      <c r="T177" s="4">
        <f t="shared" ca="1" si="83"/>
        <v>71.411736302191287</v>
      </c>
      <c r="U177" s="4">
        <f t="shared" ca="1" si="83"/>
        <v>73.116418385810277</v>
      </c>
      <c r="V177" s="4">
        <f t="shared" ca="1" si="83"/>
        <v>76.051779603791246</v>
      </c>
      <c r="W177" s="4">
        <f t="shared" ca="1" si="83"/>
        <v>76.140755255773669</v>
      </c>
      <c r="X177" s="4">
        <f t="shared" ca="1" si="83"/>
        <v>76.239340896086219</v>
      </c>
      <c r="Y177" s="4">
        <f t="shared" ca="1" si="83"/>
        <v>76.347560451518618</v>
      </c>
      <c r="Z177" s="4">
        <f t="shared" ca="1" si="83"/>
        <v>76.46545492876038</v>
      </c>
      <c r="AA177" s="4">
        <f t="shared" ca="1" si="83"/>
        <v>76.593072148502571</v>
      </c>
      <c r="AB177" s="4">
        <f t="shared" ca="1" si="83"/>
        <v>76.730432591477026</v>
      </c>
      <c r="AC177" s="4">
        <f t="shared" ca="1" si="83"/>
        <v>76.877582209728516</v>
      </c>
      <c r="AD177" s="4">
        <f t="shared" ca="1" si="83"/>
        <v>77.034555501196579</v>
      </c>
      <c r="AE177" s="4">
        <f t="shared" ca="1" si="83"/>
        <v>77.201405503427765</v>
      </c>
      <c r="AF177" s="4">
        <f t="shared" ca="1" si="83"/>
        <v>77.378163712860712</v>
      </c>
      <c r="AG177" s="4">
        <f t="shared" ca="1" si="83"/>
        <v>77.564881455481682</v>
      </c>
      <c r="AH177" s="4">
        <f t="shared" ca="1" si="83"/>
        <v>77.76159762404734</v>
      </c>
      <c r="AI177" s="4">
        <f t="shared" ca="1" si="83"/>
        <v>77.968365605997093</v>
      </c>
      <c r="AJ177" s="4">
        <f t="shared" ca="1" si="83"/>
        <v>78.185227722057604</v>
      </c>
      <c r="AK177" s="4">
        <f t="shared" ca="1" si="83"/>
        <v>78.412234376483866</v>
      </c>
      <c r="AL177" s="4">
        <f t="shared" ca="1" si="83"/>
        <v>78.649436708930423</v>
      </c>
      <c r="AM177" s="4">
        <f t="shared" ca="1" si="83"/>
        <v>78.896892020474183</v>
      </c>
      <c r="AN177" s="4">
        <f t="shared" ca="1" si="83"/>
        <v>79.154643851641438</v>
      </c>
      <c r="AO177" s="4">
        <f t="shared" ca="1" si="83"/>
        <v>79.422758384692315</v>
      </c>
      <c r="AP177" s="4">
        <f t="shared" ca="1" si="83"/>
        <v>79.701281373921859</v>
      </c>
      <c r="AQ177" s="4">
        <f t="shared" ca="1" si="83"/>
        <v>79.990276143426655</v>
      </c>
      <c r="AR177" s="4">
        <f t="shared" ca="1" si="83"/>
        <v>80.289802141347153</v>
      </c>
      <c r="AS177" s="4">
        <f t="shared" ca="1" si="83"/>
        <v>80.599914872346503</v>
      </c>
      <c r="AT177" s="4">
        <f t="shared" ca="1" si="83"/>
        <v>80.920682104040921</v>
      </c>
      <c r="AU177" s="4">
        <f t="shared" ca="1" si="83"/>
        <v>81.252167766877889</v>
      </c>
      <c r="AV177" s="4">
        <f t="shared" ca="1" si="83"/>
        <v>140.05207567613084</v>
      </c>
      <c r="AW177" s="4">
        <f t="shared" ca="1" si="83"/>
        <v>-1.5154171357778524E-8</v>
      </c>
      <c r="AX177" s="4">
        <f t="shared" ca="1" si="83"/>
        <v>-1.5381483928145198E-8</v>
      </c>
      <c r="AY177" s="4">
        <f t="shared" ca="1" si="83"/>
        <v>-1.5612206187067376E-8</v>
      </c>
      <c r="AZ177" s="4">
        <f t="shared" ca="1" si="83"/>
        <v>-1.5846389279873387E-8</v>
      </c>
      <c r="BA177" s="4">
        <f t="shared" ca="1" si="83"/>
        <v>-1.6084085119071489E-8</v>
      </c>
      <c r="BB177" s="4">
        <f t="shared" ca="1" si="83"/>
        <v>-1.6325346395857562E-8</v>
      </c>
      <c r="BC177" s="4">
        <f t="shared" ca="1" si="83"/>
        <v>-1.6570226591795425E-8</v>
      </c>
      <c r="BD177" s="4">
        <f t="shared" ca="1" si="83"/>
        <v>-1.6818779990672357E-8</v>
      </c>
      <c r="BE177" s="4">
        <f t="shared" ca="1" si="83"/>
        <v>-1.7071061690532444E-8</v>
      </c>
      <c r="BF177" s="4">
        <f t="shared" ca="1" si="83"/>
        <v>-1.7327127615890429E-8</v>
      </c>
      <c r="BG177" s="4">
        <f t="shared" ca="1" si="83"/>
        <v>-1.7587034530128787E-8</v>
      </c>
      <c r="BH177" s="4">
        <f t="shared" ca="1" si="83"/>
        <v>-1.7850840048080718E-8</v>
      </c>
      <c r="BI177" s="4">
        <f t="shared" ca="1" si="83"/>
        <v>-1.811860264880193E-8</v>
      </c>
      <c r="BJ177" s="4">
        <f t="shared" ca="1" si="83"/>
        <v>-1.8390381688533955E-8</v>
      </c>
      <c r="BK177" s="4">
        <f t="shared" ca="1" si="83"/>
        <v>-1.8666237413861965E-8</v>
      </c>
      <c r="BL177" s="4">
        <f t="shared" ca="1" si="83"/>
        <v>-1.8946230975069892E-8</v>
      </c>
    </row>
    <row r="178" spans="1:64" x14ac:dyDescent="0.35">
      <c r="A178" s="1"/>
      <c r="C178" s="2" t="s">
        <v>310</v>
      </c>
      <c r="D178" s="12"/>
      <c r="E178" s="4">
        <f t="shared" ref="E178:AJ178" ca="1" si="84">E108</f>
        <v>49.291195129394552</v>
      </c>
      <c r="F178" s="4">
        <f t="shared" ca="1" si="84"/>
        <v>48.414907865851397</v>
      </c>
      <c r="G178" s="4">
        <f t="shared" ca="1" si="84"/>
        <v>47.527792309206156</v>
      </c>
      <c r="H178" s="4">
        <f t="shared" ca="1" si="84"/>
        <v>46.629714739865911</v>
      </c>
      <c r="I178" s="4">
        <f t="shared" ca="1" si="84"/>
        <v>45.720539625707922</v>
      </c>
      <c r="J178" s="4">
        <f t="shared" ca="1" si="84"/>
        <v>44.800129859358371</v>
      </c>
      <c r="K178" s="4">
        <f t="shared" ca="1" si="84"/>
        <v>43.877009014271671</v>
      </c>
      <c r="L178" s="4">
        <f t="shared" ca="1" si="84"/>
        <v>42.930385541500009</v>
      </c>
      <c r="M178" s="4">
        <f t="shared" ca="1" si="84"/>
        <v>41.9598481279304</v>
      </c>
      <c r="N178" s="4">
        <f t="shared" ca="1" si="84"/>
        <v>40.964979119017144</v>
      </c>
      <c r="O178" s="4">
        <f t="shared" ca="1" si="84"/>
        <v>39.92732638199373</v>
      </c>
      <c r="P178" s="4">
        <f t="shared" ca="1" si="84"/>
        <v>38.889618476683374</v>
      </c>
      <c r="Q178" s="4">
        <f t="shared" ca="1" si="84"/>
        <v>37.851726980407534</v>
      </c>
      <c r="R178" s="4">
        <f t="shared" ca="1" si="84"/>
        <v>36.813523304937625</v>
      </c>
      <c r="S178" s="4">
        <f t="shared" ca="1" si="84"/>
        <v>35.792195973896384</v>
      </c>
      <c r="T178" s="4">
        <f t="shared" ca="1" si="84"/>
        <v>34.746157444939506</v>
      </c>
      <c r="U178" s="4">
        <f t="shared" ca="1" si="84"/>
        <v>33.674981400406637</v>
      </c>
      <c r="V178" s="4">
        <f t="shared" ca="1" si="84"/>
        <v>32.578235124619482</v>
      </c>
      <c r="W178" s="4">
        <f t="shared" ca="1" si="84"/>
        <v>31.437458430562614</v>
      </c>
      <c r="X178" s="4">
        <f t="shared" ca="1" si="84"/>
        <v>30.295347101726009</v>
      </c>
      <c r="Y178" s="4">
        <f t="shared" ca="1" si="84"/>
        <v>29.151756988284713</v>
      </c>
      <c r="Z178" s="4">
        <f t="shared" ca="1" si="84"/>
        <v>28.006543581511934</v>
      </c>
      <c r="AA178" s="4">
        <f t="shared" ca="1" si="84"/>
        <v>26.859561757580529</v>
      </c>
      <c r="AB178" s="4">
        <f t="shared" ca="1" si="84"/>
        <v>25.710665675352992</v>
      </c>
      <c r="AC178" s="4">
        <f t="shared" ca="1" si="84"/>
        <v>24.559709186480838</v>
      </c>
      <c r="AD178" s="4">
        <f t="shared" ca="1" si="84"/>
        <v>23.40654545333491</v>
      </c>
      <c r="AE178" s="4">
        <f t="shared" ca="1" si="84"/>
        <v>22.251027120816964</v>
      </c>
      <c r="AF178" s="4">
        <f t="shared" ca="1" si="84"/>
        <v>21.093006038265546</v>
      </c>
      <c r="AG178" s="4">
        <f t="shared" ca="1" si="84"/>
        <v>19.932333582572635</v>
      </c>
      <c r="AH178" s="4">
        <f t="shared" ca="1" si="84"/>
        <v>18.768860360740408</v>
      </c>
      <c r="AI178" s="4">
        <f t="shared" ca="1" si="84"/>
        <v>17.602436396379701</v>
      </c>
      <c r="AJ178" s="4">
        <f t="shared" ca="1" si="84"/>
        <v>16.432910912289742</v>
      </c>
      <c r="AK178" s="4">
        <f t="shared" ref="AK178:BL178" ca="1" si="85">AK108</f>
        <v>15.26013249645888</v>
      </c>
      <c r="AL178" s="4">
        <f t="shared" ca="1" si="85"/>
        <v>14.083948980811622</v>
      </c>
      <c r="AM178" s="4">
        <f t="shared" ca="1" si="85"/>
        <v>12.904207430177665</v>
      </c>
      <c r="AN178" s="4">
        <f t="shared" ca="1" si="85"/>
        <v>11.720754049870553</v>
      </c>
      <c r="AO178" s="4">
        <f t="shared" ca="1" si="85"/>
        <v>10.533434392095931</v>
      </c>
      <c r="AP178" s="4">
        <f t="shared" ca="1" si="85"/>
        <v>9.3420930163255473</v>
      </c>
      <c r="AQ178" s="4">
        <f t="shared" ca="1" si="85"/>
        <v>8.1465737957167192</v>
      </c>
      <c r="AR178" s="4">
        <f t="shared" ca="1" si="85"/>
        <v>6.94671965356532</v>
      </c>
      <c r="AS178" s="4">
        <f t="shared" ca="1" si="85"/>
        <v>5.7423726214451127</v>
      </c>
      <c r="AT178" s="4">
        <f t="shared" ca="1" si="85"/>
        <v>4.5333738983599154</v>
      </c>
      <c r="AU178" s="4">
        <f t="shared" ca="1" si="85"/>
        <v>3.319563666799302</v>
      </c>
      <c r="AV178" s="4">
        <f t="shared" ca="1" si="85"/>
        <v>2.1007811502961338</v>
      </c>
      <c r="AW178" s="4">
        <f t="shared" ca="1" si="85"/>
        <v>1.5154171357778524E-8</v>
      </c>
      <c r="AX178" s="4">
        <f t="shared" ca="1" si="85"/>
        <v>1.5381483928145198E-8</v>
      </c>
      <c r="AY178" s="4">
        <f t="shared" ca="1" si="85"/>
        <v>1.5612206187067376E-8</v>
      </c>
      <c r="AZ178" s="4">
        <f t="shared" ca="1" si="85"/>
        <v>1.5846389279873387E-8</v>
      </c>
      <c r="BA178" s="4">
        <f t="shared" ca="1" si="85"/>
        <v>1.6084085119071489E-8</v>
      </c>
      <c r="BB178" s="4">
        <f t="shared" ca="1" si="85"/>
        <v>1.6325346395857562E-8</v>
      </c>
      <c r="BC178" s="4">
        <f t="shared" ca="1" si="85"/>
        <v>1.6570226591795425E-8</v>
      </c>
      <c r="BD178" s="4">
        <f t="shared" ca="1" si="85"/>
        <v>1.6818779990672357E-8</v>
      </c>
      <c r="BE178" s="4">
        <f t="shared" ca="1" si="85"/>
        <v>1.7071061690532444E-8</v>
      </c>
      <c r="BF178" s="4">
        <f t="shared" ca="1" si="85"/>
        <v>1.7327127615890429E-8</v>
      </c>
      <c r="BG178" s="4">
        <f t="shared" ca="1" si="85"/>
        <v>1.7587034530128787E-8</v>
      </c>
      <c r="BH178" s="4">
        <f t="shared" ca="1" si="85"/>
        <v>1.7850840048080718E-8</v>
      </c>
      <c r="BI178" s="4">
        <f t="shared" ca="1" si="85"/>
        <v>1.811860264880193E-8</v>
      </c>
      <c r="BJ178" s="4">
        <f t="shared" ca="1" si="85"/>
        <v>1.8390381688533955E-8</v>
      </c>
      <c r="BK178" s="4">
        <f t="shared" ca="1" si="85"/>
        <v>1.8666237413861965E-8</v>
      </c>
      <c r="BL178" s="4">
        <f t="shared" ca="1" si="85"/>
        <v>1.8946230975069892E-8</v>
      </c>
    </row>
    <row r="179" spans="1:64" x14ac:dyDescent="0.35">
      <c r="A179" s="1"/>
      <c r="C179" s="2" t="s">
        <v>171</v>
      </c>
      <c r="D179" s="12"/>
      <c r="E179" s="4">
        <f ca="1">E124</f>
        <v>0</v>
      </c>
      <c r="F179" s="4">
        <f t="shared" ref="F179:BL179" ca="1" si="86">F124</f>
        <v>0</v>
      </c>
      <c r="G179" s="4">
        <f t="shared" ca="1" si="86"/>
        <v>0</v>
      </c>
      <c r="H179" s="4">
        <f t="shared" ca="1" si="86"/>
        <v>0</v>
      </c>
      <c r="I179" s="4">
        <f t="shared" ca="1" si="86"/>
        <v>0</v>
      </c>
      <c r="J179" s="4">
        <f t="shared" ca="1" si="86"/>
        <v>0</v>
      </c>
      <c r="K179" s="4">
        <f t="shared" ca="1" si="86"/>
        <v>0</v>
      </c>
      <c r="L179" s="4">
        <f t="shared" ca="1" si="86"/>
        <v>0</v>
      </c>
      <c r="M179" s="4">
        <f t="shared" ca="1" si="86"/>
        <v>0</v>
      </c>
      <c r="N179" s="4">
        <f t="shared" ca="1" si="86"/>
        <v>0</v>
      </c>
      <c r="O179" s="4">
        <f t="shared" ca="1" si="86"/>
        <v>0</v>
      </c>
      <c r="P179" s="4">
        <f t="shared" ca="1" si="86"/>
        <v>0</v>
      </c>
      <c r="Q179" s="4">
        <f t="shared" ca="1" si="86"/>
        <v>0</v>
      </c>
      <c r="R179" s="4">
        <f t="shared" ca="1" si="86"/>
        <v>0</v>
      </c>
      <c r="S179" s="4">
        <f t="shared" ca="1" si="86"/>
        <v>0</v>
      </c>
      <c r="T179" s="4">
        <f t="shared" ca="1" si="86"/>
        <v>0</v>
      </c>
      <c r="U179" s="4">
        <f t="shared" ca="1" si="86"/>
        <v>0</v>
      </c>
      <c r="V179" s="4">
        <f t="shared" ca="1" si="86"/>
        <v>0</v>
      </c>
      <c r="W179" s="4">
        <f t="shared" ca="1" si="86"/>
        <v>0</v>
      </c>
      <c r="X179" s="4">
        <f t="shared" ca="1" si="86"/>
        <v>0</v>
      </c>
      <c r="Y179" s="4">
        <f t="shared" ca="1" si="86"/>
        <v>0</v>
      </c>
      <c r="Z179" s="4">
        <f t="shared" ca="1" si="86"/>
        <v>0</v>
      </c>
      <c r="AA179" s="4">
        <f t="shared" ca="1" si="86"/>
        <v>0</v>
      </c>
      <c r="AB179" s="4">
        <f t="shared" ca="1" si="86"/>
        <v>0</v>
      </c>
      <c r="AC179" s="4">
        <f t="shared" ca="1" si="86"/>
        <v>0</v>
      </c>
      <c r="AD179" s="4">
        <f t="shared" ca="1" si="86"/>
        <v>0</v>
      </c>
      <c r="AE179" s="4">
        <f t="shared" ca="1" si="86"/>
        <v>0</v>
      </c>
      <c r="AF179" s="4">
        <f t="shared" ca="1" si="86"/>
        <v>0</v>
      </c>
      <c r="AG179" s="4">
        <f t="shared" ca="1" si="86"/>
        <v>0</v>
      </c>
      <c r="AH179" s="4">
        <f t="shared" ca="1" si="86"/>
        <v>0</v>
      </c>
      <c r="AI179" s="4">
        <f t="shared" ca="1" si="86"/>
        <v>0</v>
      </c>
      <c r="AJ179" s="4">
        <f t="shared" ca="1" si="86"/>
        <v>0</v>
      </c>
      <c r="AK179" s="4">
        <f t="shared" ca="1" si="86"/>
        <v>0</v>
      </c>
      <c r="AL179" s="4">
        <f t="shared" ca="1" si="86"/>
        <v>0</v>
      </c>
      <c r="AM179" s="4">
        <f t="shared" ca="1" si="86"/>
        <v>0</v>
      </c>
      <c r="AN179" s="4">
        <f t="shared" ca="1" si="86"/>
        <v>0</v>
      </c>
      <c r="AO179" s="4">
        <f t="shared" ca="1" si="86"/>
        <v>0</v>
      </c>
      <c r="AP179" s="4">
        <f t="shared" ca="1" si="86"/>
        <v>0</v>
      </c>
      <c r="AQ179" s="4">
        <f t="shared" ca="1" si="86"/>
        <v>0</v>
      </c>
      <c r="AR179" s="4">
        <f t="shared" ca="1" si="86"/>
        <v>0</v>
      </c>
      <c r="AS179" s="4">
        <f t="shared" ca="1" si="86"/>
        <v>0</v>
      </c>
      <c r="AT179" s="4">
        <f t="shared" ca="1" si="86"/>
        <v>0</v>
      </c>
      <c r="AU179" s="4">
        <f t="shared" ca="1" si="86"/>
        <v>0</v>
      </c>
      <c r="AV179" s="4">
        <f t="shared" ca="1" si="86"/>
        <v>0</v>
      </c>
      <c r="AW179" s="4">
        <f t="shared" ca="1" si="86"/>
        <v>0</v>
      </c>
      <c r="AX179" s="4">
        <f t="shared" ca="1" si="86"/>
        <v>0</v>
      </c>
      <c r="AY179" s="4">
        <f t="shared" ca="1" si="86"/>
        <v>0</v>
      </c>
      <c r="AZ179" s="4">
        <f t="shared" ca="1" si="86"/>
        <v>0</v>
      </c>
      <c r="BA179" s="4">
        <f t="shared" ca="1" si="86"/>
        <v>0</v>
      </c>
      <c r="BB179" s="4">
        <f t="shared" ca="1" si="86"/>
        <v>0</v>
      </c>
      <c r="BC179" s="4">
        <f t="shared" ca="1" si="86"/>
        <v>0</v>
      </c>
      <c r="BD179" s="4">
        <f t="shared" ca="1" si="86"/>
        <v>0</v>
      </c>
      <c r="BE179" s="4">
        <f t="shared" ca="1" si="86"/>
        <v>0</v>
      </c>
      <c r="BF179" s="4">
        <f t="shared" ca="1" si="86"/>
        <v>0</v>
      </c>
      <c r="BG179" s="4">
        <f t="shared" ca="1" si="86"/>
        <v>0</v>
      </c>
      <c r="BH179" s="4">
        <f t="shared" ca="1" si="86"/>
        <v>0</v>
      </c>
      <c r="BI179" s="4">
        <f t="shared" ca="1" si="86"/>
        <v>0</v>
      </c>
      <c r="BJ179" s="4">
        <f t="shared" ca="1" si="86"/>
        <v>0</v>
      </c>
      <c r="BK179" s="4">
        <f t="shared" ca="1" si="86"/>
        <v>0</v>
      </c>
      <c r="BL179" s="4">
        <f t="shared" ca="1" si="86"/>
        <v>0</v>
      </c>
    </row>
    <row r="180" spans="1:64" ht="15" thickBot="1" x14ac:dyDescent="0.4">
      <c r="A180" s="1"/>
      <c r="C180" s="24" t="s">
        <v>101</v>
      </c>
      <c r="D180" s="25">
        <f ca="1">-D35+D100</f>
        <v>-821.51991882324046</v>
      </c>
      <c r="E180" s="25">
        <f ca="1">E176-E177-E178-E179</f>
        <v>43.768223952164078</v>
      </c>
      <c r="F180" s="25">
        <f t="shared" ref="F180:BL180" ca="1" si="87">F176-F177-F178-F179</f>
        <v>43.705482903799613</v>
      </c>
      <c r="G180" s="25">
        <f t="shared" ca="1" si="87"/>
        <v>43.64196424008761</v>
      </c>
      <c r="H180" s="25">
        <f t="shared" ca="1" si="87"/>
        <v>43.577662725488857</v>
      </c>
      <c r="I180" s="25">
        <f t="shared" ca="1" si="87"/>
        <v>43.512565960042103</v>
      </c>
      <c r="J180" s="25">
        <f t="shared" ca="1" si="87"/>
        <v>43.211999717157461</v>
      </c>
      <c r="K180" s="25">
        <f t="shared" ca="1" si="87"/>
        <v>43.473576491848569</v>
      </c>
      <c r="L180" s="25">
        <f t="shared" ca="1" si="87"/>
        <v>43.736745450552199</v>
      </c>
      <c r="M180" s="25">
        <f t="shared" ca="1" si="87"/>
        <v>44.001511245610331</v>
      </c>
      <c r="N180" s="25">
        <f t="shared" ca="1" si="87"/>
        <v>44.756259571142749</v>
      </c>
      <c r="O180" s="25">
        <f t="shared" ca="1" si="87"/>
        <v>44.336102691915592</v>
      </c>
      <c r="P180" s="25">
        <f t="shared" ca="1" si="87"/>
        <v>43.919402375275673</v>
      </c>
      <c r="Q180" s="25">
        <f t="shared" ca="1" si="87"/>
        <v>43.506110921282627</v>
      </c>
      <c r="R180" s="25">
        <f t="shared" ca="1" si="87"/>
        <v>42.627054179812298</v>
      </c>
      <c r="S180" s="25">
        <f t="shared" ca="1" si="87"/>
        <v>42.881464896044619</v>
      </c>
      <c r="T180" s="25">
        <f t="shared" ca="1" si="87"/>
        <v>43.137383166723176</v>
      </c>
      <c r="U180" s="25">
        <f t="shared" ca="1" si="87"/>
        <v>43.394809079972617</v>
      </c>
      <c r="V180" s="25">
        <f t="shared" ca="1" si="87"/>
        <v>44.141932392784398</v>
      </c>
      <c r="W180" s="25">
        <f t="shared" ca="1" si="87"/>
        <v>43.714531820244787</v>
      </c>
      <c r="X180" s="25">
        <f t="shared" ca="1" si="87"/>
        <v>43.290493947211928</v>
      </c>
      <c r="Y180" s="25">
        <f t="shared" ca="1" si="87"/>
        <v>42.869769920916141</v>
      </c>
      <c r="Z180" s="25">
        <f t="shared" ca="1" si="87"/>
        <v>42.452317683184575</v>
      </c>
      <c r="AA180" s="25">
        <f t="shared" ca="1" si="87"/>
        <v>42.038097694775153</v>
      </c>
      <c r="AB180" s="25">
        <f t="shared" ca="1" si="87"/>
        <v>41.627059015341722</v>
      </c>
      <c r="AC180" s="25">
        <f t="shared" ca="1" si="87"/>
        <v>41.219160930000108</v>
      </c>
      <c r="AD180" s="25">
        <f t="shared" ca="1" si="87"/>
        <v>40.814357789387259</v>
      </c>
      <c r="AE180" s="25">
        <f t="shared" ca="1" si="87"/>
        <v>40.41261126745669</v>
      </c>
      <c r="AF180" s="25">
        <f t="shared" ca="1" si="87"/>
        <v>40.013873961629756</v>
      </c>
      <c r="AG180" s="25">
        <f t="shared" ca="1" si="87"/>
        <v>39.618106335108308</v>
      </c>
      <c r="AH180" s="25">
        <f t="shared" ca="1" si="87"/>
        <v>39.225263485991206</v>
      </c>
      <c r="AI180" s="25">
        <f t="shared" ca="1" si="87"/>
        <v>38.835306165246791</v>
      </c>
      <c r="AJ180" s="25">
        <f t="shared" ca="1" si="87"/>
        <v>38.448190301461139</v>
      </c>
      <c r="AK180" s="25">
        <f t="shared" ca="1" si="87"/>
        <v>38.063874850015225</v>
      </c>
      <c r="AL180" s="25">
        <f t="shared" ca="1" si="87"/>
        <v>37.682318757893093</v>
      </c>
      <c r="AM180" s="25">
        <f t="shared" ca="1" si="87"/>
        <v>37.303483164070045</v>
      </c>
      <c r="AN180" s="25">
        <f t="shared" ca="1" si="87"/>
        <v>36.927323266640329</v>
      </c>
      <c r="AO180" s="25">
        <f t="shared" ca="1" si="87"/>
        <v>36.553803198801802</v>
      </c>
      <c r="AP180" s="25">
        <f t="shared" ca="1" si="87"/>
        <v>36.182878389426463</v>
      </c>
      <c r="AQ180" s="25">
        <f t="shared" ca="1" si="87"/>
        <v>35.814511128010864</v>
      </c>
      <c r="AR180" s="25">
        <f t="shared" ca="1" si="87"/>
        <v>35.448661743075043</v>
      </c>
      <c r="AS180" s="25">
        <f t="shared" ca="1" si="87"/>
        <v>35.085288598350019</v>
      </c>
      <c r="AT180" s="25">
        <f t="shared" ca="1" si="87"/>
        <v>34.72435470231639</v>
      </c>
      <c r="AU180" s="25">
        <f t="shared" ca="1" si="87"/>
        <v>34.36582109115502</v>
      </c>
      <c r="AV180" s="25">
        <f t="shared" ca="1" si="87"/>
        <v>57.763978134048649</v>
      </c>
      <c r="AW180" s="25">
        <f t="shared" ca="1" si="87"/>
        <v>120.53290138641407</v>
      </c>
      <c r="AX180" s="25">
        <f t="shared" ca="1" si="87"/>
        <v>119.32757237254992</v>
      </c>
      <c r="AY180" s="25">
        <f t="shared" ca="1" si="87"/>
        <v>118.13429664882442</v>
      </c>
      <c r="AZ180" s="25">
        <f t="shared" ca="1" si="87"/>
        <v>116.95295368233617</v>
      </c>
      <c r="BA180" s="25">
        <f t="shared" ca="1" si="87"/>
        <v>115.78342414551281</v>
      </c>
      <c r="BB180" s="25">
        <f t="shared" ca="1" si="87"/>
        <v>114.62558990405768</v>
      </c>
      <c r="BC180" s="25">
        <f t="shared" ca="1" si="87"/>
        <v>113.47933400501709</v>
      </c>
      <c r="BD180" s="25">
        <f t="shared" ca="1" si="87"/>
        <v>112.34454066496693</v>
      </c>
      <c r="BE180" s="25">
        <f t="shared" ca="1" si="87"/>
        <v>111.22109525831726</v>
      </c>
      <c r="BF180" s="25">
        <f t="shared" ca="1" si="87"/>
        <v>110.10888430573409</v>
      </c>
      <c r="BG180" s="25">
        <f t="shared" ca="1" si="87"/>
        <v>109.00779546267675</v>
      </c>
      <c r="BH180" s="25">
        <f t="shared" ca="1" si="87"/>
        <v>107.91771750804999</v>
      </c>
      <c r="BI180" s="25">
        <f t="shared" ca="1" si="87"/>
        <v>106.83854033296949</v>
      </c>
      <c r="BJ180" s="25">
        <f t="shared" ca="1" si="87"/>
        <v>105.77015492963979</v>
      </c>
      <c r="BK180" s="25">
        <f t="shared" ca="1" si="87"/>
        <v>104.71245338034339</v>
      </c>
      <c r="BL180" s="25">
        <f t="shared" ca="1" si="87"/>
        <v>103.66532884653995</v>
      </c>
    </row>
    <row r="181" spans="1:64" x14ac:dyDescent="0.35">
      <c r="A181" s="1"/>
      <c r="C181" s="2" t="s">
        <v>309</v>
      </c>
      <c r="D181" s="12">
        <f ca="1">(1+IRR(180:180))^2-1</f>
        <v>0.11183771731634229</v>
      </c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/>
      <c r="AO181" s="4"/>
      <c r="AP181" s="4"/>
      <c r="AQ181" s="4"/>
      <c r="AR181" s="4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/>
      <c r="BL181" s="4"/>
    </row>
    <row r="182" spans="1:64" x14ac:dyDescent="0.35">
      <c r="A182" s="1"/>
      <c r="C182" s="2" t="s">
        <v>514</v>
      </c>
      <c r="D182" s="4">
        <f>-D32</f>
        <v>-4000</v>
      </c>
      <c r="E182" s="4">
        <f>E48</f>
        <v>152</v>
      </c>
      <c r="F182" s="4">
        <f t="shared" ref="F182:BL182" si="88">F48</f>
        <v>152</v>
      </c>
      <c r="G182" s="4">
        <f t="shared" si="88"/>
        <v>152</v>
      </c>
      <c r="H182" s="4">
        <f t="shared" si="88"/>
        <v>152</v>
      </c>
      <c r="I182" s="4">
        <f t="shared" si="88"/>
        <v>152</v>
      </c>
      <c r="J182" s="4">
        <f t="shared" si="88"/>
        <v>152</v>
      </c>
      <c r="K182" s="4">
        <f t="shared" si="88"/>
        <v>153.52000000000001</v>
      </c>
      <c r="L182" s="4">
        <f t="shared" si="88"/>
        <v>155.05520000000001</v>
      </c>
      <c r="M182" s="4">
        <f t="shared" si="88"/>
        <v>156.60575200000002</v>
      </c>
      <c r="N182" s="4">
        <f t="shared" si="88"/>
        <v>158.17180952000004</v>
      </c>
      <c r="O182" s="4">
        <f t="shared" si="88"/>
        <v>156.59009142480005</v>
      </c>
      <c r="P182" s="4">
        <f t="shared" si="88"/>
        <v>155.02419051055205</v>
      </c>
      <c r="Q182" s="4">
        <f t="shared" si="88"/>
        <v>153.47394860544654</v>
      </c>
      <c r="R182" s="4">
        <f t="shared" si="88"/>
        <v>151.93920911939207</v>
      </c>
      <c r="S182" s="4">
        <f t="shared" si="88"/>
        <v>153.45860121058601</v>
      </c>
      <c r="T182" s="4">
        <f t="shared" si="88"/>
        <v>154.99318722269186</v>
      </c>
      <c r="U182" s="4">
        <f t="shared" si="88"/>
        <v>156.54311909491878</v>
      </c>
      <c r="V182" s="4">
        <f t="shared" si="88"/>
        <v>158.10855028586798</v>
      </c>
      <c r="W182" s="4">
        <f t="shared" si="88"/>
        <v>156.52746478300929</v>
      </c>
      <c r="X182" s="4">
        <f t="shared" si="88"/>
        <v>154.96219013517918</v>
      </c>
      <c r="Y182" s="4">
        <f t="shared" si="88"/>
        <v>153.41256823382739</v>
      </c>
      <c r="Z182" s="4">
        <f t="shared" si="88"/>
        <v>151.87844255148912</v>
      </c>
      <c r="AA182" s="4">
        <f t="shared" si="88"/>
        <v>150.35965812597422</v>
      </c>
      <c r="AB182" s="4">
        <f t="shared" si="88"/>
        <v>148.85606154471446</v>
      </c>
      <c r="AC182" s="4">
        <f t="shared" si="88"/>
        <v>147.36750092926732</v>
      </c>
      <c r="AD182" s="4">
        <f t="shared" si="88"/>
        <v>145.89382591997466</v>
      </c>
      <c r="AE182" s="4">
        <f t="shared" si="88"/>
        <v>144.4348876607749</v>
      </c>
      <c r="AF182" s="4">
        <f t="shared" si="88"/>
        <v>142.99053878416714</v>
      </c>
      <c r="AG182" s="4">
        <f t="shared" si="88"/>
        <v>141.56063339632547</v>
      </c>
      <c r="AH182" s="4">
        <f t="shared" si="88"/>
        <v>140.1450270623622</v>
      </c>
      <c r="AI182" s="4">
        <f t="shared" si="88"/>
        <v>138.74357679173858</v>
      </c>
      <c r="AJ182" s="4">
        <f t="shared" si="88"/>
        <v>137.35614102382118</v>
      </c>
      <c r="AK182" s="4">
        <f t="shared" si="88"/>
        <v>135.98257961358297</v>
      </c>
      <c r="AL182" s="4">
        <f t="shared" si="88"/>
        <v>134.62275381744715</v>
      </c>
      <c r="AM182" s="4">
        <f t="shared" si="88"/>
        <v>133.27652627927267</v>
      </c>
      <c r="AN182" s="4">
        <f t="shared" si="88"/>
        <v>131.94376101647995</v>
      </c>
      <c r="AO182" s="4">
        <f t="shared" si="88"/>
        <v>130.62432340631514</v>
      </c>
      <c r="AP182" s="4">
        <f t="shared" si="88"/>
        <v>129.318080172252</v>
      </c>
      <c r="AQ182" s="4">
        <f t="shared" si="88"/>
        <v>128.02489937052948</v>
      </c>
      <c r="AR182" s="4">
        <f t="shared" si="88"/>
        <v>126.74465037682418</v>
      </c>
      <c r="AS182" s="4">
        <f t="shared" si="88"/>
        <v>125.47720387305594</v>
      </c>
      <c r="AT182" s="4">
        <f t="shared" si="88"/>
        <v>124.22243183432538</v>
      </c>
      <c r="AU182" s="4">
        <f t="shared" si="88"/>
        <v>122.98020751598212</v>
      </c>
      <c r="AV182" s="4">
        <f t="shared" si="88"/>
        <v>121.75040544082229</v>
      </c>
      <c r="AW182" s="4">
        <f t="shared" si="88"/>
        <v>120.53290138641407</v>
      </c>
      <c r="AX182" s="4">
        <f t="shared" si="88"/>
        <v>119.32757237254992</v>
      </c>
      <c r="AY182" s="4">
        <f t="shared" si="88"/>
        <v>118.13429664882442</v>
      </c>
      <c r="AZ182" s="4">
        <f t="shared" si="88"/>
        <v>116.95295368233617</v>
      </c>
      <c r="BA182" s="4">
        <f t="shared" si="88"/>
        <v>115.78342414551281</v>
      </c>
      <c r="BB182" s="4">
        <f t="shared" si="88"/>
        <v>114.62558990405768</v>
      </c>
      <c r="BC182" s="4">
        <f t="shared" si="88"/>
        <v>113.47933400501709</v>
      </c>
      <c r="BD182" s="4">
        <f t="shared" si="88"/>
        <v>112.34454066496693</v>
      </c>
      <c r="BE182" s="4">
        <f t="shared" si="88"/>
        <v>111.22109525831726</v>
      </c>
      <c r="BF182" s="4">
        <f t="shared" si="88"/>
        <v>110.10888430573409</v>
      </c>
      <c r="BG182" s="4">
        <f t="shared" si="88"/>
        <v>109.00779546267675</v>
      </c>
      <c r="BH182" s="4">
        <f t="shared" si="88"/>
        <v>107.91771750804999</v>
      </c>
      <c r="BI182" s="4">
        <f t="shared" si="88"/>
        <v>106.83854033296949</v>
      </c>
      <c r="BJ182" s="4">
        <f t="shared" si="88"/>
        <v>105.77015492963979</v>
      </c>
      <c r="BK182" s="4">
        <f t="shared" si="88"/>
        <v>104.71245338034339</v>
      </c>
      <c r="BL182" s="4">
        <f t="shared" si="88"/>
        <v>103.66532884653995</v>
      </c>
    </row>
    <row r="183" spans="1:64" x14ac:dyDescent="0.35">
      <c r="C183" s="2" t="s">
        <v>515</v>
      </c>
      <c r="D183" s="12">
        <f>(1+IRR(182:182))^2-1</f>
        <v>6.0407318775447472E-2</v>
      </c>
    </row>
    <row r="185" spans="1:64" x14ac:dyDescent="0.35">
      <c r="C185" s="2" t="s">
        <v>202</v>
      </c>
    </row>
    <row r="186" spans="1:64" x14ac:dyDescent="0.35">
      <c r="E186" s="2">
        <f>E42</f>
        <v>1</v>
      </c>
      <c r="F186" s="2">
        <f t="shared" ref="F186:BL186" si="89">F42</f>
        <v>2</v>
      </c>
      <c r="G186" s="2">
        <f t="shared" si="89"/>
        <v>3</v>
      </c>
      <c r="H186" s="2">
        <f t="shared" si="89"/>
        <v>4</v>
      </c>
      <c r="I186" s="2">
        <f t="shared" si="89"/>
        <v>5</v>
      </c>
      <c r="J186" s="2">
        <f t="shared" si="89"/>
        <v>6</v>
      </c>
      <c r="K186" s="2">
        <f t="shared" si="89"/>
        <v>7</v>
      </c>
      <c r="L186" s="2">
        <f t="shared" si="89"/>
        <v>8</v>
      </c>
      <c r="M186" s="2">
        <f t="shared" si="89"/>
        <v>9</v>
      </c>
      <c r="N186" s="2">
        <f t="shared" si="89"/>
        <v>10</v>
      </c>
      <c r="O186" s="2">
        <f t="shared" si="89"/>
        <v>11</v>
      </c>
      <c r="P186" s="2">
        <f t="shared" si="89"/>
        <v>12</v>
      </c>
      <c r="Q186" s="2">
        <f t="shared" si="89"/>
        <v>13</v>
      </c>
      <c r="R186" s="2">
        <f t="shared" si="89"/>
        <v>14</v>
      </c>
      <c r="S186" s="2">
        <f t="shared" si="89"/>
        <v>15</v>
      </c>
      <c r="T186" s="2">
        <f t="shared" si="89"/>
        <v>16</v>
      </c>
      <c r="U186" s="2">
        <f t="shared" si="89"/>
        <v>17</v>
      </c>
      <c r="V186" s="2">
        <f t="shared" si="89"/>
        <v>18</v>
      </c>
      <c r="W186" s="2">
        <f t="shared" si="89"/>
        <v>19</v>
      </c>
      <c r="X186" s="2">
        <f t="shared" si="89"/>
        <v>20</v>
      </c>
      <c r="Y186" s="2">
        <f t="shared" si="89"/>
        <v>21</v>
      </c>
      <c r="Z186" s="2">
        <f t="shared" si="89"/>
        <v>22</v>
      </c>
      <c r="AA186" s="2">
        <f t="shared" si="89"/>
        <v>23</v>
      </c>
      <c r="AB186" s="2">
        <f t="shared" si="89"/>
        <v>24</v>
      </c>
      <c r="AC186" s="2">
        <f t="shared" si="89"/>
        <v>25</v>
      </c>
      <c r="AD186" s="2">
        <f t="shared" si="89"/>
        <v>26</v>
      </c>
      <c r="AE186" s="2">
        <f t="shared" si="89"/>
        <v>27</v>
      </c>
      <c r="AF186" s="2">
        <f t="shared" si="89"/>
        <v>28</v>
      </c>
      <c r="AG186" s="2">
        <f t="shared" si="89"/>
        <v>29</v>
      </c>
      <c r="AH186" s="2">
        <f t="shared" si="89"/>
        <v>30</v>
      </c>
      <c r="AI186" s="2">
        <f t="shared" si="89"/>
        <v>31</v>
      </c>
      <c r="AJ186" s="2">
        <f t="shared" si="89"/>
        <v>32</v>
      </c>
      <c r="AK186" s="2">
        <f t="shared" si="89"/>
        <v>33</v>
      </c>
      <c r="AL186" s="2">
        <f t="shared" si="89"/>
        <v>34</v>
      </c>
      <c r="AM186" s="2">
        <f t="shared" si="89"/>
        <v>35</v>
      </c>
      <c r="AN186" s="2">
        <f t="shared" si="89"/>
        <v>36</v>
      </c>
      <c r="AO186" s="2">
        <f t="shared" si="89"/>
        <v>37</v>
      </c>
      <c r="AP186" s="2">
        <f t="shared" si="89"/>
        <v>38</v>
      </c>
      <c r="AQ186" s="2">
        <f t="shared" si="89"/>
        <v>39</v>
      </c>
      <c r="AR186" s="2">
        <f t="shared" si="89"/>
        <v>40</v>
      </c>
      <c r="AS186" s="2">
        <f t="shared" si="89"/>
        <v>41</v>
      </c>
      <c r="AT186" s="2">
        <f t="shared" si="89"/>
        <v>42</v>
      </c>
      <c r="AU186" s="2">
        <f t="shared" si="89"/>
        <v>43</v>
      </c>
      <c r="AV186" s="2">
        <f t="shared" si="89"/>
        <v>44</v>
      </c>
      <c r="AW186" s="2">
        <f t="shared" si="89"/>
        <v>45</v>
      </c>
      <c r="AX186" s="2">
        <f t="shared" si="89"/>
        <v>46</v>
      </c>
      <c r="AY186" s="2">
        <f t="shared" si="89"/>
        <v>47</v>
      </c>
      <c r="AZ186" s="2">
        <f t="shared" si="89"/>
        <v>48</v>
      </c>
      <c r="BA186" s="2">
        <f t="shared" si="89"/>
        <v>49</v>
      </c>
      <c r="BB186" s="2">
        <f t="shared" si="89"/>
        <v>50</v>
      </c>
      <c r="BC186" s="2">
        <f t="shared" si="89"/>
        <v>51</v>
      </c>
      <c r="BD186" s="2">
        <f t="shared" si="89"/>
        <v>52</v>
      </c>
      <c r="BE186" s="2">
        <f t="shared" si="89"/>
        <v>53</v>
      </c>
      <c r="BF186" s="2">
        <f t="shared" si="89"/>
        <v>54</v>
      </c>
      <c r="BG186" s="2">
        <f t="shared" si="89"/>
        <v>55</v>
      </c>
      <c r="BH186" s="2">
        <f t="shared" si="89"/>
        <v>56</v>
      </c>
      <c r="BI186" s="2">
        <f t="shared" si="89"/>
        <v>57</v>
      </c>
      <c r="BJ186" s="2">
        <f t="shared" si="89"/>
        <v>58</v>
      </c>
      <c r="BK186" s="2">
        <f t="shared" si="89"/>
        <v>59</v>
      </c>
      <c r="BL186" s="2">
        <f t="shared" si="89"/>
        <v>60</v>
      </c>
    </row>
    <row r="187" spans="1:64" x14ac:dyDescent="0.35">
      <c r="C187" s="2" t="s">
        <v>311</v>
      </c>
      <c r="E187" s="4">
        <f>E176</f>
        <v>151.47856998443604</v>
      </c>
      <c r="F187" s="4">
        <f t="shared" ref="F187:BL187" si="90">F176</f>
        <v>151.2614278793335</v>
      </c>
      <c r="G187" s="4">
        <f t="shared" si="90"/>
        <v>151.04159450531006</v>
      </c>
      <c r="H187" s="4">
        <f t="shared" si="90"/>
        <v>150.81905174255371</v>
      </c>
      <c r="I187" s="4">
        <f t="shared" si="90"/>
        <v>150.59375667572021</v>
      </c>
      <c r="J187" s="4">
        <f t="shared" si="90"/>
        <v>149.5535192489624</v>
      </c>
      <c r="K187" s="4">
        <f t="shared" si="90"/>
        <v>150.45881702423097</v>
      </c>
      <c r="L187" s="4">
        <f t="shared" si="90"/>
        <v>151.36962523002626</v>
      </c>
      <c r="M187" s="4">
        <f t="shared" si="90"/>
        <v>152.2859599677582</v>
      </c>
      <c r="N187" s="4">
        <f t="shared" si="90"/>
        <v>154.89808782505375</v>
      </c>
      <c r="O187" s="4">
        <f t="shared" si="90"/>
        <v>153.44395609459986</v>
      </c>
      <c r="P187" s="4">
        <f t="shared" si="90"/>
        <v>152.00178727034819</v>
      </c>
      <c r="Q187" s="4">
        <f t="shared" si="90"/>
        <v>150.57141626635047</v>
      </c>
      <c r="R187" s="4">
        <f t="shared" si="90"/>
        <v>147.5290662208325</v>
      </c>
      <c r="S187" s="4">
        <f t="shared" si="90"/>
        <v>148.40956280039924</v>
      </c>
      <c r="T187" s="4">
        <f t="shared" si="90"/>
        <v>149.29527691385397</v>
      </c>
      <c r="U187" s="4">
        <f t="shared" si="90"/>
        <v>150.18620886618953</v>
      </c>
      <c r="V187" s="4">
        <f t="shared" si="90"/>
        <v>152.77194712119513</v>
      </c>
      <c r="W187" s="4">
        <f t="shared" si="90"/>
        <v>151.29274550658107</v>
      </c>
      <c r="X187" s="4">
        <f t="shared" si="90"/>
        <v>149.82518194502416</v>
      </c>
      <c r="Y187" s="4">
        <f t="shared" si="90"/>
        <v>148.36908736071948</v>
      </c>
      <c r="Z187" s="4">
        <f t="shared" si="90"/>
        <v>146.92431619345689</v>
      </c>
      <c r="AA187" s="4">
        <f t="shared" si="90"/>
        <v>145.49073160085825</v>
      </c>
      <c r="AB187" s="4">
        <f t="shared" si="90"/>
        <v>144.06815728217174</v>
      </c>
      <c r="AC187" s="4">
        <f t="shared" si="90"/>
        <v>142.65645232620946</v>
      </c>
      <c r="AD187" s="4">
        <f t="shared" si="90"/>
        <v>141.25545874391875</v>
      </c>
      <c r="AE187" s="4">
        <f t="shared" si="90"/>
        <v>139.86504389170142</v>
      </c>
      <c r="AF187" s="4">
        <f t="shared" si="90"/>
        <v>138.48504371275601</v>
      </c>
      <c r="AG187" s="4">
        <f t="shared" si="90"/>
        <v>137.11532137316263</v>
      </c>
      <c r="AH187" s="4">
        <f t="shared" si="90"/>
        <v>135.75572147077895</v>
      </c>
      <c r="AI187" s="4">
        <f t="shared" si="90"/>
        <v>134.40610816762359</v>
      </c>
      <c r="AJ187" s="4">
        <f t="shared" si="90"/>
        <v>133.06632893580849</v>
      </c>
      <c r="AK187" s="4">
        <f t="shared" si="90"/>
        <v>131.73624172295797</v>
      </c>
      <c r="AL187" s="4">
        <f t="shared" si="90"/>
        <v>130.41570444763514</v>
      </c>
      <c r="AM187" s="4">
        <f t="shared" si="90"/>
        <v>129.10458261472189</v>
      </c>
      <c r="AN187" s="4">
        <f t="shared" si="90"/>
        <v>127.80272116815232</v>
      </c>
      <c r="AO187" s="4">
        <f t="shared" si="90"/>
        <v>126.50999597559004</v>
      </c>
      <c r="AP187" s="4">
        <f t="shared" si="90"/>
        <v>125.22625277967387</v>
      </c>
      <c r="AQ187" s="4">
        <f t="shared" si="90"/>
        <v>123.95136106715424</v>
      </c>
      <c r="AR187" s="4">
        <f t="shared" si="90"/>
        <v>122.68518353798751</v>
      </c>
      <c r="AS187" s="4">
        <f t="shared" si="90"/>
        <v>121.42757609214163</v>
      </c>
      <c r="AT187" s="4">
        <f t="shared" si="90"/>
        <v>120.17841070471722</v>
      </c>
      <c r="AU187" s="4">
        <f t="shared" si="90"/>
        <v>118.93755252483221</v>
      </c>
      <c r="AV187" s="4">
        <f t="shared" si="90"/>
        <v>199.91683496047563</v>
      </c>
      <c r="AW187" s="4">
        <f t="shared" si="90"/>
        <v>120.53290138641407</v>
      </c>
      <c r="AX187" s="4">
        <f t="shared" si="90"/>
        <v>119.32757237254992</v>
      </c>
      <c r="AY187" s="4">
        <f t="shared" si="90"/>
        <v>118.13429664882442</v>
      </c>
      <c r="AZ187" s="4">
        <f t="shared" si="90"/>
        <v>116.95295368233617</v>
      </c>
      <c r="BA187" s="4">
        <f t="shared" si="90"/>
        <v>115.78342414551281</v>
      </c>
      <c r="BB187" s="4">
        <f t="shared" si="90"/>
        <v>114.62558990405768</v>
      </c>
      <c r="BC187" s="4">
        <f t="shared" si="90"/>
        <v>113.47933400501709</v>
      </c>
      <c r="BD187" s="4">
        <f t="shared" si="90"/>
        <v>112.34454066496693</v>
      </c>
      <c r="BE187" s="4">
        <f t="shared" si="90"/>
        <v>111.22109525831726</v>
      </c>
      <c r="BF187" s="4">
        <f t="shared" si="90"/>
        <v>110.10888430573409</v>
      </c>
      <c r="BG187" s="4">
        <f t="shared" si="90"/>
        <v>109.00779546267675</v>
      </c>
      <c r="BH187" s="4">
        <f t="shared" si="90"/>
        <v>107.91771750804999</v>
      </c>
      <c r="BI187" s="4">
        <f t="shared" si="90"/>
        <v>106.83854033296949</v>
      </c>
      <c r="BJ187" s="4">
        <f t="shared" si="90"/>
        <v>105.77015492963979</v>
      </c>
      <c r="BK187" s="4">
        <f t="shared" si="90"/>
        <v>104.71245338034339</v>
      </c>
      <c r="BL187" s="4">
        <f t="shared" si="90"/>
        <v>103.66532884653995</v>
      </c>
    </row>
    <row r="188" spans="1:64" x14ac:dyDescent="0.35">
      <c r="C188" s="2" t="s">
        <v>312</v>
      </c>
      <c r="E188" s="4">
        <f ca="1">E177+E178+E179</f>
        <v>107.71034603227196</v>
      </c>
      <c r="F188" s="4">
        <f t="shared" ref="F188:BL188" ca="1" si="91">F177+F178+F179</f>
        <v>107.55594497553388</v>
      </c>
      <c r="G188" s="4">
        <f t="shared" ca="1" si="91"/>
        <v>107.39963026522244</v>
      </c>
      <c r="H188" s="4">
        <f t="shared" ca="1" si="91"/>
        <v>107.24138901706486</v>
      </c>
      <c r="I188" s="4">
        <f t="shared" ca="1" si="91"/>
        <v>107.0811907156781</v>
      </c>
      <c r="J188" s="4">
        <f t="shared" ca="1" si="91"/>
        <v>106.34151953180495</v>
      </c>
      <c r="K188" s="4">
        <f t="shared" ca="1" si="91"/>
        <v>106.98524053238239</v>
      </c>
      <c r="L188" s="4">
        <f t="shared" ca="1" si="91"/>
        <v>107.63287977947405</v>
      </c>
      <c r="M188" s="4">
        <f t="shared" ca="1" si="91"/>
        <v>108.28444872214787</v>
      </c>
      <c r="N188" s="4">
        <f t="shared" ca="1" si="91"/>
        <v>110.141828253911</v>
      </c>
      <c r="O188" s="4">
        <f t="shared" ca="1" si="91"/>
        <v>109.10785340268427</v>
      </c>
      <c r="P188" s="4">
        <f t="shared" ca="1" si="91"/>
        <v>108.08238489507252</v>
      </c>
      <c r="Q188" s="4">
        <f t="shared" ca="1" si="91"/>
        <v>107.06530534506784</v>
      </c>
      <c r="R188" s="4">
        <f t="shared" ca="1" si="91"/>
        <v>104.90201204102021</v>
      </c>
      <c r="S188" s="4">
        <f t="shared" ca="1" si="91"/>
        <v>105.52809790435462</v>
      </c>
      <c r="T188" s="4">
        <f t="shared" ca="1" si="91"/>
        <v>106.1578937471308</v>
      </c>
      <c r="U188" s="4">
        <f t="shared" ca="1" si="91"/>
        <v>106.79139978621691</v>
      </c>
      <c r="V188" s="4">
        <f t="shared" ca="1" si="91"/>
        <v>108.63001472841073</v>
      </c>
      <c r="W188" s="4">
        <f t="shared" ca="1" si="91"/>
        <v>107.57821368633628</v>
      </c>
      <c r="X188" s="4">
        <f t="shared" ca="1" si="91"/>
        <v>106.53468799781223</v>
      </c>
      <c r="Y188" s="4">
        <f t="shared" ca="1" si="91"/>
        <v>105.49931743980333</v>
      </c>
      <c r="Z188" s="4">
        <f t="shared" ca="1" si="91"/>
        <v>104.47199851027231</v>
      </c>
      <c r="AA188" s="4">
        <f t="shared" ca="1" si="91"/>
        <v>103.45263390608309</v>
      </c>
      <c r="AB188" s="4">
        <f t="shared" ca="1" si="91"/>
        <v>102.44109826683001</v>
      </c>
      <c r="AC188" s="4">
        <f t="shared" ca="1" si="91"/>
        <v>101.43729139620936</v>
      </c>
      <c r="AD188" s="4">
        <f t="shared" ca="1" si="91"/>
        <v>100.44110095453149</v>
      </c>
      <c r="AE188" s="4">
        <f t="shared" ca="1" si="91"/>
        <v>99.452432624244722</v>
      </c>
      <c r="AF188" s="4">
        <f t="shared" ca="1" si="91"/>
        <v>98.471169751126254</v>
      </c>
      <c r="AG188" s="4">
        <f t="shared" ca="1" si="91"/>
        <v>97.497215038054321</v>
      </c>
      <c r="AH188" s="4">
        <f t="shared" ca="1" si="91"/>
        <v>96.530457984787745</v>
      </c>
      <c r="AI188" s="4">
        <f t="shared" ca="1" si="91"/>
        <v>95.570802002376794</v>
      </c>
      <c r="AJ188" s="4">
        <f t="shared" ca="1" si="91"/>
        <v>94.618138634347346</v>
      </c>
      <c r="AK188" s="4">
        <f t="shared" ca="1" si="91"/>
        <v>93.672366872942746</v>
      </c>
      <c r="AL188" s="4">
        <f t="shared" ca="1" si="91"/>
        <v>92.73338568974205</v>
      </c>
      <c r="AM188" s="4">
        <f t="shared" ca="1" si="91"/>
        <v>91.801099450651847</v>
      </c>
      <c r="AN188" s="4">
        <f t="shared" ca="1" si="91"/>
        <v>90.875397901511988</v>
      </c>
      <c r="AO188" s="4">
        <f t="shared" ca="1" si="91"/>
        <v>89.956192776788242</v>
      </c>
      <c r="AP188" s="4">
        <f t="shared" ca="1" si="91"/>
        <v>89.043374390247408</v>
      </c>
      <c r="AQ188" s="4">
        <f t="shared" ca="1" si="91"/>
        <v>88.136849939143374</v>
      </c>
      <c r="AR188" s="4">
        <f t="shared" ca="1" si="91"/>
        <v>87.236521794912477</v>
      </c>
      <c r="AS188" s="4">
        <f t="shared" ca="1" si="91"/>
        <v>86.342287493791616</v>
      </c>
      <c r="AT188" s="4">
        <f t="shared" ca="1" si="91"/>
        <v>85.454056002400833</v>
      </c>
      <c r="AU188" s="4">
        <f t="shared" ca="1" si="91"/>
        <v>84.571731433677186</v>
      </c>
      <c r="AV188" s="4">
        <f t="shared" ca="1" si="91"/>
        <v>142.15285682642698</v>
      </c>
      <c r="AW188" s="4">
        <f t="shared" ca="1" si="91"/>
        <v>0</v>
      </c>
      <c r="AX188" s="4">
        <f t="shared" ca="1" si="91"/>
        <v>0</v>
      </c>
      <c r="AY188" s="4">
        <f t="shared" ca="1" si="91"/>
        <v>0</v>
      </c>
      <c r="AZ188" s="4">
        <f t="shared" ca="1" si="91"/>
        <v>0</v>
      </c>
      <c r="BA188" s="4">
        <f t="shared" ca="1" si="91"/>
        <v>0</v>
      </c>
      <c r="BB188" s="4">
        <f t="shared" ca="1" si="91"/>
        <v>0</v>
      </c>
      <c r="BC188" s="4">
        <f t="shared" ca="1" si="91"/>
        <v>0</v>
      </c>
      <c r="BD188" s="4">
        <f t="shared" ca="1" si="91"/>
        <v>0</v>
      </c>
      <c r="BE188" s="4">
        <f t="shared" ca="1" si="91"/>
        <v>0</v>
      </c>
      <c r="BF188" s="4">
        <f t="shared" ca="1" si="91"/>
        <v>0</v>
      </c>
      <c r="BG188" s="4">
        <f t="shared" ca="1" si="91"/>
        <v>0</v>
      </c>
      <c r="BH188" s="4">
        <f t="shared" ca="1" si="91"/>
        <v>0</v>
      </c>
      <c r="BI188" s="4">
        <f t="shared" ca="1" si="91"/>
        <v>0</v>
      </c>
      <c r="BJ188" s="4">
        <f t="shared" ca="1" si="91"/>
        <v>0</v>
      </c>
      <c r="BK188" s="4">
        <f t="shared" ca="1" si="91"/>
        <v>0</v>
      </c>
      <c r="BL188" s="4">
        <f t="shared" ca="1" si="91"/>
        <v>0</v>
      </c>
    </row>
    <row r="189" spans="1:64" x14ac:dyDescent="0.35">
      <c r="C189" s="2" t="s">
        <v>313</v>
      </c>
      <c r="E189" s="179">
        <f ca="1">IF(E188,E187/E188)</f>
        <v>1.4063511590525419</v>
      </c>
      <c r="F189" s="179">
        <f t="shared" ref="F189:BL189" ca="1" si="92">IF(F188,F187/F188)</f>
        <v>1.4063511590525419</v>
      </c>
      <c r="G189" s="179">
        <f t="shared" ca="1" si="92"/>
        <v>1.4063511590525422</v>
      </c>
      <c r="H189" s="179">
        <f t="shared" ca="1" si="92"/>
        <v>1.4063511590525419</v>
      </c>
      <c r="I189" s="179">
        <f t="shared" ca="1" si="92"/>
        <v>1.4063511590525422</v>
      </c>
      <c r="J189" s="179">
        <f t="shared" ca="1" si="92"/>
        <v>1.4063511590525417</v>
      </c>
      <c r="K189" s="179">
        <f t="shared" ca="1" si="92"/>
        <v>1.4063511590525419</v>
      </c>
      <c r="L189" s="179">
        <f t="shared" ca="1" si="92"/>
        <v>1.4063511590525422</v>
      </c>
      <c r="M189" s="179">
        <f t="shared" ca="1" si="92"/>
        <v>1.4063511590525419</v>
      </c>
      <c r="N189" s="179">
        <f t="shared" ca="1" si="92"/>
        <v>1.4063511590525419</v>
      </c>
      <c r="O189" s="179">
        <f t="shared" ca="1" si="92"/>
        <v>1.4063511590525419</v>
      </c>
      <c r="P189" s="179">
        <f t="shared" ca="1" si="92"/>
        <v>1.4063511590525419</v>
      </c>
      <c r="Q189" s="179">
        <f t="shared" ca="1" si="92"/>
        <v>1.4063511590525419</v>
      </c>
      <c r="R189" s="179">
        <f t="shared" ca="1" si="92"/>
        <v>1.4063511590525422</v>
      </c>
      <c r="S189" s="179">
        <f t="shared" ca="1" si="92"/>
        <v>1.4063511590525419</v>
      </c>
      <c r="T189" s="179">
        <f t="shared" ca="1" si="92"/>
        <v>1.4063511590525417</v>
      </c>
      <c r="U189" s="179">
        <f t="shared" ca="1" si="92"/>
        <v>1.4063511590525419</v>
      </c>
      <c r="V189" s="179">
        <f t="shared" ca="1" si="92"/>
        <v>1.4063511590525419</v>
      </c>
      <c r="W189" s="179">
        <f t="shared" ca="1" si="92"/>
        <v>1.4063511590525419</v>
      </c>
      <c r="X189" s="179">
        <f t="shared" ca="1" si="92"/>
        <v>1.4063511590525419</v>
      </c>
      <c r="Y189" s="179">
        <f t="shared" ca="1" si="92"/>
        <v>1.4063511590525419</v>
      </c>
      <c r="Z189" s="179">
        <f t="shared" ca="1" si="92"/>
        <v>1.4063511590525417</v>
      </c>
      <c r="AA189" s="179">
        <f t="shared" ca="1" si="92"/>
        <v>1.4063511590525419</v>
      </c>
      <c r="AB189" s="179">
        <f t="shared" ca="1" si="92"/>
        <v>1.4063511590525419</v>
      </c>
      <c r="AC189" s="179">
        <f t="shared" ca="1" si="92"/>
        <v>1.4063511590525417</v>
      </c>
      <c r="AD189" s="179">
        <f t="shared" ca="1" si="92"/>
        <v>1.4063511590525419</v>
      </c>
      <c r="AE189" s="179">
        <f t="shared" ca="1" si="92"/>
        <v>1.4063511590525422</v>
      </c>
      <c r="AF189" s="179">
        <f t="shared" ca="1" si="92"/>
        <v>1.4063511590525419</v>
      </c>
      <c r="AG189" s="179">
        <f t="shared" ca="1" si="92"/>
        <v>1.4063511590525422</v>
      </c>
      <c r="AH189" s="179">
        <f t="shared" ca="1" si="92"/>
        <v>1.4063511590525419</v>
      </c>
      <c r="AI189" s="179">
        <f t="shared" ca="1" si="92"/>
        <v>1.4063511590525417</v>
      </c>
      <c r="AJ189" s="179">
        <f t="shared" ca="1" si="92"/>
        <v>1.4063511590525419</v>
      </c>
      <c r="AK189" s="179">
        <f t="shared" ca="1" si="92"/>
        <v>1.4063511590525419</v>
      </c>
      <c r="AL189" s="179">
        <f t="shared" ca="1" si="92"/>
        <v>1.4063511590525419</v>
      </c>
      <c r="AM189" s="179">
        <f t="shared" ca="1" si="92"/>
        <v>1.4063511590525419</v>
      </c>
      <c r="AN189" s="179">
        <f t="shared" ca="1" si="92"/>
        <v>1.4063511590525419</v>
      </c>
      <c r="AO189" s="179">
        <f t="shared" ca="1" si="92"/>
        <v>1.4063511590525419</v>
      </c>
      <c r="AP189" s="179">
        <f t="shared" ca="1" si="92"/>
        <v>1.4063511590525419</v>
      </c>
      <c r="AQ189" s="179">
        <f t="shared" ca="1" si="92"/>
        <v>1.4063511590525419</v>
      </c>
      <c r="AR189" s="179">
        <f t="shared" ca="1" si="92"/>
        <v>1.4063511590525422</v>
      </c>
      <c r="AS189" s="179">
        <f t="shared" ca="1" si="92"/>
        <v>1.4063511590525419</v>
      </c>
      <c r="AT189" s="179">
        <f t="shared" ca="1" si="92"/>
        <v>1.4063511590525417</v>
      </c>
      <c r="AU189" s="179">
        <f t="shared" ca="1" si="92"/>
        <v>1.4063511590525419</v>
      </c>
      <c r="AV189" s="179">
        <f t="shared" ca="1" si="92"/>
        <v>1.4063511590525419</v>
      </c>
      <c r="AW189" s="179" t="b">
        <f t="shared" ca="1" si="92"/>
        <v>0</v>
      </c>
      <c r="AX189" s="179" t="b">
        <f t="shared" ca="1" si="92"/>
        <v>0</v>
      </c>
      <c r="AY189" s="179" t="b">
        <f t="shared" ca="1" si="92"/>
        <v>0</v>
      </c>
      <c r="AZ189" s="179" t="b">
        <f t="shared" ca="1" si="92"/>
        <v>0</v>
      </c>
      <c r="BA189" s="179" t="b">
        <f t="shared" ca="1" si="92"/>
        <v>0</v>
      </c>
      <c r="BB189" s="179" t="b">
        <f t="shared" ca="1" si="92"/>
        <v>0</v>
      </c>
      <c r="BC189" s="179" t="b">
        <f t="shared" ca="1" si="92"/>
        <v>0</v>
      </c>
      <c r="BD189" s="179" t="b">
        <f t="shared" ca="1" si="92"/>
        <v>0</v>
      </c>
      <c r="BE189" s="179" t="b">
        <f t="shared" ca="1" si="92"/>
        <v>0</v>
      </c>
      <c r="BF189" s="179" t="b">
        <f t="shared" ca="1" si="92"/>
        <v>0</v>
      </c>
      <c r="BG189" s="179" t="b">
        <f t="shared" ca="1" si="92"/>
        <v>0</v>
      </c>
      <c r="BH189" s="179" t="b">
        <f t="shared" ca="1" si="92"/>
        <v>0</v>
      </c>
      <c r="BI189" s="179" t="b">
        <f t="shared" ca="1" si="92"/>
        <v>0</v>
      </c>
      <c r="BJ189" s="179" t="b">
        <f t="shared" ca="1" si="92"/>
        <v>0</v>
      </c>
      <c r="BK189" s="179" t="b">
        <f t="shared" ca="1" si="92"/>
        <v>0</v>
      </c>
      <c r="BL189" s="179" t="b">
        <f t="shared" ca="1" si="92"/>
        <v>0</v>
      </c>
    </row>
    <row r="190" spans="1:64" x14ac:dyDescent="0.35">
      <c r="C190" s="2" t="s">
        <v>300</v>
      </c>
      <c r="D190" s="4">
        <f ca="1">MIN(189:189)</f>
        <v>1.4063511590525417</v>
      </c>
    </row>
    <row r="191" spans="1:64" x14ac:dyDescent="0.35">
      <c r="C191" s="2" t="s">
        <v>314</v>
      </c>
      <c r="D191" s="4">
        <f ca="1">AVERAGE(189:189)</f>
        <v>1.4063511590525413</v>
      </c>
    </row>
    <row r="193" spans="2:64" x14ac:dyDescent="0.35">
      <c r="B193" s="2" t="s">
        <v>558</v>
      </c>
    </row>
    <row r="194" spans="2:64" x14ac:dyDescent="0.35">
      <c r="C194" s="2" t="s">
        <v>307</v>
      </c>
      <c r="D194" s="4">
        <f ca="1">D106</f>
        <v>3286.0796752929705</v>
      </c>
    </row>
    <row r="195" spans="2:64" x14ac:dyDescent="0.35">
      <c r="C195" s="2" t="s">
        <v>308</v>
      </c>
      <c r="D195" s="4">
        <f>D32+D33+D34</f>
        <v>4107.5995941162109</v>
      </c>
    </row>
    <row r="196" spans="2:64" x14ac:dyDescent="0.35">
      <c r="C196" s="2" t="s">
        <v>306</v>
      </c>
      <c r="D196" s="12">
        <f ca="1">D194/D195</f>
        <v>0.80000000000000038</v>
      </c>
    </row>
    <row r="198" spans="2:64" x14ac:dyDescent="0.35">
      <c r="C198" s="2" t="s">
        <v>63</v>
      </c>
      <c r="D198" s="4">
        <f ca="1">-D194</f>
        <v>-3286.0796752929705</v>
      </c>
      <c r="E198" s="4">
        <f ca="1">E188</f>
        <v>107.71034603227196</v>
      </c>
      <c r="F198" s="4">
        <f t="shared" ref="F198:BL198" ca="1" si="93">F188</f>
        <v>107.55594497553388</v>
      </c>
      <c r="G198" s="4">
        <f t="shared" ca="1" si="93"/>
        <v>107.39963026522244</v>
      </c>
      <c r="H198" s="4">
        <f t="shared" ca="1" si="93"/>
        <v>107.24138901706486</v>
      </c>
      <c r="I198" s="4">
        <f t="shared" ca="1" si="93"/>
        <v>107.0811907156781</v>
      </c>
      <c r="J198" s="4">
        <f t="shared" ca="1" si="93"/>
        <v>106.34151953180495</v>
      </c>
      <c r="K198" s="4">
        <f t="shared" ca="1" si="93"/>
        <v>106.98524053238239</v>
      </c>
      <c r="L198" s="4">
        <f t="shared" ca="1" si="93"/>
        <v>107.63287977947405</v>
      </c>
      <c r="M198" s="4">
        <f t="shared" ca="1" si="93"/>
        <v>108.28444872214787</v>
      </c>
      <c r="N198" s="4">
        <f t="shared" ca="1" si="93"/>
        <v>110.141828253911</v>
      </c>
      <c r="O198" s="4">
        <f t="shared" ca="1" si="93"/>
        <v>109.10785340268427</v>
      </c>
      <c r="P198" s="4">
        <f t="shared" ca="1" si="93"/>
        <v>108.08238489507252</v>
      </c>
      <c r="Q198" s="4">
        <f t="shared" ca="1" si="93"/>
        <v>107.06530534506784</v>
      </c>
      <c r="R198" s="4">
        <f t="shared" ca="1" si="93"/>
        <v>104.90201204102021</v>
      </c>
      <c r="S198" s="4">
        <f t="shared" ca="1" si="93"/>
        <v>105.52809790435462</v>
      </c>
      <c r="T198" s="4">
        <f t="shared" ca="1" si="93"/>
        <v>106.1578937471308</v>
      </c>
      <c r="U198" s="4">
        <f t="shared" ca="1" si="93"/>
        <v>106.79139978621691</v>
      </c>
      <c r="V198" s="4">
        <f t="shared" ca="1" si="93"/>
        <v>108.63001472841073</v>
      </c>
      <c r="W198" s="4">
        <f t="shared" ca="1" si="93"/>
        <v>107.57821368633628</v>
      </c>
      <c r="X198" s="4">
        <f t="shared" ca="1" si="93"/>
        <v>106.53468799781223</v>
      </c>
      <c r="Y198" s="4">
        <f t="shared" ca="1" si="93"/>
        <v>105.49931743980333</v>
      </c>
      <c r="Z198" s="4">
        <f t="shared" ca="1" si="93"/>
        <v>104.47199851027231</v>
      </c>
      <c r="AA198" s="4">
        <f t="shared" ca="1" si="93"/>
        <v>103.45263390608309</v>
      </c>
      <c r="AB198" s="4">
        <f t="shared" ca="1" si="93"/>
        <v>102.44109826683001</v>
      </c>
      <c r="AC198" s="4">
        <f t="shared" ca="1" si="93"/>
        <v>101.43729139620936</v>
      </c>
      <c r="AD198" s="4">
        <f t="shared" ca="1" si="93"/>
        <v>100.44110095453149</v>
      </c>
      <c r="AE198" s="4">
        <f t="shared" ca="1" si="93"/>
        <v>99.452432624244722</v>
      </c>
      <c r="AF198" s="4">
        <f t="shared" ca="1" si="93"/>
        <v>98.471169751126254</v>
      </c>
      <c r="AG198" s="4">
        <f t="shared" ca="1" si="93"/>
        <v>97.497215038054321</v>
      </c>
      <c r="AH198" s="4">
        <f t="shared" ca="1" si="93"/>
        <v>96.530457984787745</v>
      </c>
      <c r="AI198" s="4">
        <f t="shared" ca="1" si="93"/>
        <v>95.570802002376794</v>
      </c>
      <c r="AJ198" s="4">
        <f t="shared" ca="1" si="93"/>
        <v>94.618138634347346</v>
      </c>
      <c r="AK198" s="4">
        <f t="shared" ca="1" si="93"/>
        <v>93.672366872942746</v>
      </c>
      <c r="AL198" s="4">
        <f t="shared" ca="1" si="93"/>
        <v>92.73338568974205</v>
      </c>
      <c r="AM198" s="4">
        <f t="shared" ca="1" si="93"/>
        <v>91.801099450651847</v>
      </c>
      <c r="AN198" s="4">
        <f t="shared" ca="1" si="93"/>
        <v>90.875397901511988</v>
      </c>
      <c r="AO198" s="4">
        <f t="shared" ca="1" si="93"/>
        <v>89.956192776788242</v>
      </c>
      <c r="AP198" s="4">
        <f t="shared" ca="1" si="93"/>
        <v>89.043374390247408</v>
      </c>
      <c r="AQ198" s="4">
        <f t="shared" ca="1" si="93"/>
        <v>88.136849939143374</v>
      </c>
      <c r="AR198" s="4">
        <f t="shared" ca="1" si="93"/>
        <v>87.236521794912477</v>
      </c>
      <c r="AS198" s="4">
        <f t="shared" ca="1" si="93"/>
        <v>86.342287493791616</v>
      </c>
      <c r="AT198" s="4">
        <f t="shared" ca="1" si="93"/>
        <v>85.454056002400833</v>
      </c>
      <c r="AU198" s="4">
        <f t="shared" ca="1" si="93"/>
        <v>84.571731433677186</v>
      </c>
      <c r="AV198" s="4">
        <f t="shared" ca="1" si="93"/>
        <v>142.15285682642698</v>
      </c>
      <c r="AW198" s="4">
        <f t="shared" ca="1" si="93"/>
        <v>0</v>
      </c>
      <c r="AX198" s="4">
        <f t="shared" ca="1" si="93"/>
        <v>0</v>
      </c>
      <c r="AY198" s="4">
        <f t="shared" ca="1" si="93"/>
        <v>0</v>
      </c>
      <c r="AZ198" s="4">
        <f t="shared" ca="1" si="93"/>
        <v>0</v>
      </c>
      <c r="BA198" s="4">
        <f t="shared" ca="1" si="93"/>
        <v>0</v>
      </c>
      <c r="BB198" s="4">
        <f t="shared" ca="1" si="93"/>
        <v>0</v>
      </c>
      <c r="BC198" s="4">
        <f t="shared" ca="1" si="93"/>
        <v>0</v>
      </c>
      <c r="BD198" s="4">
        <f t="shared" ca="1" si="93"/>
        <v>0</v>
      </c>
      <c r="BE198" s="4">
        <f t="shared" ca="1" si="93"/>
        <v>0</v>
      </c>
      <c r="BF198" s="4">
        <f t="shared" ca="1" si="93"/>
        <v>0</v>
      </c>
      <c r="BG198" s="4">
        <f t="shared" ca="1" si="93"/>
        <v>0</v>
      </c>
      <c r="BH198" s="4">
        <f t="shared" ca="1" si="93"/>
        <v>0</v>
      </c>
      <c r="BI198" s="4">
        <f t="shared" ca="1" si="93"/>
        <v>0</v>
      </c>
      <c r="BJ198" s="4">
        <f t="shared" ca="1" si="93"/>
        <v>0</v>
      </c>
      <c r="BK198" s="4">
        <f t="shared" ca="1" si="93"/>
        <v>0</v>
      </c>
      <c r="BL198" s="4">
        <f t="shared" ca="1" si="93"/>
        <v>0</v>
      </c>
    </row>
    <row r="199" spans="2:64" x14ac:dyDescent="0.35">
      <c r="C199" s="2" t="s">
        <v>64</v>
      </c>
      <c r="D199" s="12">
        <f ca="1">(1+IRR(198:198))^2-1</f>
        <v>3.0224999983236467E-2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Button 1">
              <controlPr defaultSize="0" print="0" autoFill="0" autoPict="0" macro="[0]!DSRA_Move_func">
                <anchor moveWithCells="1" sizeWithCells="1">
                  <from>
                    <xdr:col>12</xdr:col>
                    <xdr:colOff>603250</xdr:colOff>
                    <xdr:row>1</xdr:row>
                    <xdr:rowOff>88900</xdr:rowOff>
                  </from>
                  <to>
                    <xdr:col>14</xdr:col>
                    <xdr:colOff>508000</xdr:colOff>
                    <xdr:row>1</xdr:row>
                    <xdr:rowOff>234950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Check Box 2">
              <controlPr defaultSize="0" autoFill="0" autoLine="0" autoPict="0">
                <anchor moveWithCells="1">
                  <from>
                    <xdr:col>4</xdr:col>
                    <xdr:colOff>139700</xdr:colOff>
                    <xdr:row>14</xdr:row>
                    <xdr:rowOff>177800</xdr:rowOff>
                  </from>
                  <to>
                    <xdr:col>5</xdr:col>
                    <xdr:colOff>355600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Spinner 3">
              <controlPr defaultSize="0" autoPict="0">
                <anchor moveWithCells="1" sizeWithCells="1">
                  <from>
                    <xdr:col>4</xdr:col>
                    <xdr:colOff>76200</xdr:colOff>
                    <xdr:row>49</xdr:row>
                    <xdr:rowOff>31750</xdr:rowOff>
                  </from>
                  <to>
                    <xdr:col>4</xdr:col>
                    <xdr:colOff>317500</xdr:colOff>
                    <xdr:row>49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4" r:id="rId7" name="Spinner 4">
              <controlPr defaultSize="0" autoPict="0">
                <anchor moveWithCells="1" sizeWithCells="1">
                  <from>
                    <xdr:col>12</xdr:col>
                    <xdr:colOff>298450</xdr:colOff>
                    <xdr:row>19</xdr:row>
                    <xdr:rowOff>19050</xdr:rowOff>
                  </from>
                  <to>
                    <xdr:col>12</xdr:col>
                    <xdr:colOff>603250</xdr:colOff>
                    <xdr:row>20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6" r:id="rId8" name="Spinner 6">
              <controlPr defaultSize="0" autoPict="0">
                <anchor moveWithCells="1" sizeWithCells="1">
                  <from>
                    <xdr:col>4</xdr:col>
                    <xdr:colOff>298450</xdr:colOff>
                    <xdr:row>23</xdr:row>
                    <xdr:rowOff>19050</xdr:rowOff>
                  </from>
                  <to>
                    <xdr:col>4</xdr:col>
                    <xdr:colOff>603250</xdr:colOff>
                    <xdr:row>24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7" r:id="rId9" name="Check Box 7">
              <controlPr defaultSize="0" autoFill="0" autoLine="0" autoPict="0">
                <anchor moveWithCells="1">
                  <from>
                    <xdr:col>4</xdr:col>
                    <xdr:colOff>139700</xdr:colOff>
                    <xdr:row>14</xdr:row>
                    <xdr:rowOff>19050</xdr:rowOff>
                  </from>
                  <to>
                    <xdr:col>5</xdr:col>
                    <xdr:colOff>355600</xdr:colOff>
                    <xdr:row>15</xdr:row>
                    <xdr:rowOff>44450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1">
    <tabColor rgb="FFFFFF00"/>
  </sheetPr>
  <dimension ref="A1:BL189"/>
  <sheetViews>
    <sheetView zoomScale="80" zoomScaleNormal="80" workbookViewId="0">
      <pane xSplit="4" ySplit="8" topLeftCell="E44" activePane="bottomRight" state="frozen"/>
      <selection pane="topRight" activeCell="E1" sqref="E1"/>
      <selection pane="bottomLeft" activeCell="A9" sqref="A9"/>
      <selection pane="bottomRight" activeCell="D60" sqref="D60"/>
    </sheetView>
  </sheetViews>
  <sheetFormatPr defaultColWidth="9.1796875" defaultRowHeight="14.5" outlineLevelRow="1" x14ac:dyDescent="0.35"/>
  <cols>
    <col min="1" max="2" width="1.26953125" style="2" customWidth="1"/>
    <col min="3" max="3" width="47" style="2" customWidth="1"/>
    <col min="4" max="4" width="12.7265625" style="2" customWidth="1"/>
    <col min="5" max="64" width="10.81640625" style="2" customWidth="1"/>
    <col min="65" max="16384" width="9.1796875" style="2"/>
  </cols>
  <sheetData>
    <row r="1" spans="1:18" ht="26" x14ac:dyDescent="0.6">
      <c r="C1" s="89" t="s">
        <v>570</v>
      </c>
      <c r="M1" s="2" t="s">
        <v>449</v>
      </c>
    </row>
    <row r="2" spans="1:18" ht="26" x14ac:dyDescent="0.6">
      <c r="C2" s="89" t="s">
        <v>569</v>
      </c>
    </row>
    <row r="3" spans="1:18" ht="26" x14ac:dyDescent="0.6">
      <c r="C3" s="89" t="s">
        <v>577</v>
      </c>
    </row>
    <row r="5" spans="1:18" s="40" customFormat="1" x14ac:dyDescent="0.35">
      <c r="A5" s="40" t="s">
        <v>77</v>
      </c>
    </row>
    <row r="6" spans="1:18" x14ac:dyDescent="0.35">
      <c r="A6" s="1"/>
      <c r="B6" s="2" t="s">
        <v>65</v>
      </c>
      <c r="D6" s="13">
        <v>1</v>
      </c>
      <c r="E6" s="13">
        <v>5</v>
      </c>
      <c r="F6" s="13">
        <v>10</v>
      </c>
      <c r="K6" s="2" t="s">
        <v>132</v>
      </c>
    </row>
    <row r="7" spans="1:18" x14ac:dyDescent="0.35">
      <c r="A7" s="1"/>
      <c r="B7" s="2" t="s">
        <v>24</v>
      </c>
      <c r="D7" s="157">
        <v>0.03</v>
      </c>
      <c r="E7" s="157">
        <v>0.03</v>
      </c>
      <c r="F7" s="157">
        <v>0.03</v>
      </c>
      <c r="K7" s="2" t="s">
        <v>578</v>
      </c>
      <c r="R7" s="2" t="s">
        <v>129</v>
      </c>
    </row>
    <row r="8" spans="1:18" x14ac:dyDescent="0.35">
      <c r="A8" s="1"/>
      <c r="B8" s="2" t="s">
        <v>84</v>
      </c>
      <c r="D8" s="15">
        <v>1.5</v>
      </c>
      <c r="E8" s="4"/>
      <c r="F8" s="4"/>
      <c r="K8" s="2" t="s">
        <v>134</v>
      </c>
      <c r="R8" s="2" t="s">
        <v>126</v>
      </c>
    </row>
    <row r="9" spans="1:18" x14ac:dyDescent="0.35">
      <c r="A9" s="1"/>
      <c r="D9" s="4"/>
      <c r="E9" s="12"/>
      <c r="F9" s="12"/>
      <c r="R9" s="2" t="s">
        <v>127</v>
      </c>
    </row>
    <row r="10" spans="1:18" x14ac:dyDescent="0.35">
      <c r="A10" s="1"/>
      <c r="B10" s="2" t="s">
        <v>85</v>
      </c>
      <c r="D10" s="13">
        <v>20</v>
      </c>
      <c r="K10" s="2" t="s">
        <v>140</v>
      </c>
      <c r="R10" s="2" t="s">
        <v>128</v>
      </c>
    </row>
    <row r="11" spans="1:18" x14ac:dyDescent="0.35">
      <c r="B11" s="2" t="s">
        <v>582</v>
      </c>
      <c r="D11" s="2" t="b">
        <v>1</v>
      </c>
      <c r="H11" s="12"/>
      <c r="K11" s="2" t="s">
        <v>456</v>
      </c>
    </row>
    <row r="12" spans="1:18" x14ac:dyDescent="0.35">
      <c r="B12" s="2" t="s">
        <v>222</v>
      </c>
      <c r="D12" s="13" t="b">
        <v>1</v>
      </c>
      <c r="G12" s="1" t="s">
        <v>320</v>
      </c>
      <c r="H12" s="12"/>
      <c r="K12" s="2" t="s">
        <v>142</v>
      </c>
      <c r="R12" s="2" t="s">
        <v>130</v>
      </c>
    </row>
    <row r="13" spans="1:18" x14ac:dyDescent="0.35">
      <c r="B13" s="2" t="s">
        <v>229</v>
      </c>
      <c r="D13" s="2" t="b">
        <f>NOT(D12)</f>
        <v>0</v>
      </c>
      <c r="G13" s="176" t="s">
        <v>571</v>
      </c>
      <c r="H13" s="116">
        <f ca="1">D107</f>
        <v>1.2761347534251399E-11</v>
      </c>
      <c r="K13" s="2" t="s">
        <v>457</v>
      </c>
      <c r="R13" s="2" t="s">
        <v>131</v>
      </c>
    </row>
    <row r="14" spans="1:18" x14ac:dyDescent="0.35">
      <c r="A14" s="1"/>
      <c r="G14" s="177" t="s">
        <v>572</v>
      </c>
      <c r="H14" s="118">
        <f ca="1">D106</f>
        <v>2.9508915217202062E-10</v>
      </c>
      <c r="R14" s="2" t="s">
        <v>137</v>
      </c>
    </row>
    <row r="15" spans="1:18" x14ac:dyDescent="0.35">
      <c r="A15" s="1"/>
      <c r="B15" s="2" t="s">
        <v>78</v>
      </c>
      <c r="D15" s="13">
        <v>12</v>
      </c>
      <c r="G15" s="177" t="s">
        <v>315</v>
      </c>
      <c r="H15" s="119">
        <f ca="1">D189</f>
        <v>0.79976818915408598</v>
      </c>
      <c r="I15" s="3">
        <f>D33</f>
        <v>0.8</v>
      </c>
    </row>
    <row r="16" spans="1:18" x14ac:dyDescent="0.35">
      <c r="A16" s="1"/>
      <c r="B16" s="2" t="s">
        <v>82</v>
      </c>
      <c r="D16" s="2">
        <f>D15/6</f>
        <v>2</v>
      </c>
      <c r="G16" s="177" t="s">
        <v>300</v>
      </c>
      <c r="H16" s="118">
        <f ca="1">D183</f>
        <v>1.7614000980428344</v>
      </c>
      <c r="I16" s="4">
        <f>D8</f>
        <v>1.5</v>
      </c>
      <c r="K16" s="2" t="s">
        <v>182</v>
      </c>
      <c r="L16" s="12">
        <f>D36</f>
        <v>0.28000000000000003</v>
      </c>
    </row>
    <row r="17" spans="1:16" x14ac:dyDescent="0.35">
      <c r="A17" s="1"/>
      <c r="B17" s="2" t="s">
        <v>454</v>
      </c>
      <c r="D17" s="157">
        <v>0</v>
      </c>
      <c r="G17" s="177" t="s">
        <v>301</v>
      </c>
      <c r="H17" s="118">
        <f ca="1">D184</f>
        <v>1.761400098042835</v>
      </c>
    </row>
    <row r="18" spans="1:16" x14ac:dyDescent="0.35">
      <c r="A18" s="1"/>
      <c r="B18" s="2" t="s">
        <v>171</v>
      </c>
      <c r="D18" s="157">
        <v>5.0000000000000001E-3</v>
      </c>
      <c r="G18" s="180" t="s">
        <v>309</v>
      </c>
      <c r="H18" s="168">
        <f ca="1">D177</f>
        <v>9.0671012272534934E-2</v>
      </c>
    </row>
    <row r="19" spans="1:16" x14ac:dyDescent="0.35">
      <c r="A19" s="1"/>
      <c r="G19" s="178" t="s">
        <v>321</v>
      </c>
      <c r="H19" s="121">
        <f ca="1">D93</f>
        <v>3477.2529666092578</v>
      </c>
      <c r="I19" s="4">
        <f>D65</f>
        <v>6126.608984319334</v>
      </c>
    </row>
    <row r="20" spans="1:16" x14ac:dyDescent="0.35">
      <c r="A20" s="1"/>
      <c r="B20" s="2" t="s">
        <v>415</v>
      </c>
      <c r="D20" s="13">
        <v>185</v>
      </c>
    </row>
    <row r="21" spans="1:16" x14ac:dyDescent="0.35">
      <c r="A21" s="1"/>
    </row>
    <row r="22" spans="1:16" x14ac:dyDescent="0.35">
      <c r="A22" s="1"/>
      <c r="B22" s="2" t="s">
        <v>30</v>
      </c>
      <c r="D22" s="13">
        <v>1</v>
      </c>
      <c r="E22" s="13">
        <v>4</v>
      </c>
      <c r="F22" s="13">
        <v>6</v>
      </c>
      <c r="G22" s="2">
        <v>15</v>
      </c>
    </row>
    <row r="23" spans="1:16" x14ac:dyDescent="0.35">
      <c r="A23" s="1"/>
      <c r="B23" s="2" t="s">
        <v>38</v>
      </c>
      <c r="D23" s="14">
        <v>0</v>
      </c>
      <c r="E23" s="14">
        <v>0.02</v>
      </c>
      <c r="F23" s="14">
        <v>0.03</v>
      </c>
      <c r="G23" s="3">
        <v>0.05</v>
      </c>
    </row>
    <row r="24" spans="1:16" x14ac:dyDescent="0.35">
      <c r="A24" s="1"/>
      <c r="D24" s="3"/>
      <c r="E24" s="3"/>
      <c r="F24" s="3"/>
    </row>
    <row r="25" spans="1:16" x14ac:dyDescent="0.35">
      <c r="A25" s="1"/>
      <c r="B25" s="158" t="s">
        <v>490</v>
      </c>
      <c r="C25" s="159"/>
      <c r="D25" s="163">
        <f>1/40</f>
        <v>2.5000000000000001E-2</v>
      </c>
      <c r="E25" s="3"/>
      <c r="F25" s="3"/>
    </row>
    <row r="26" spans="1:16" x14ac:dyDescent="0.35">
      <c r="A26" s="1"/>
      <c r="B26" s="160" t="s">
        <v>491</v>
      </c>
      <c r="C26" s="161"/>
      <c r="D26" s="164">
        <v>0.1</v>
      </c>
      <c r="E26" s="3"/>
      <c r="F26" s="3"/>
    </row>
    <row r="27" spans="1:16" x14ac:dyDescent="0.35">
      <c r="A27" s="1"/>
    </row>
    <row r="28" spans="1:16" x14ac:dyDescent="0.35">
      <c r="A28" s="1"/>
      <c r="B28" s="2" t="s">
        <v>12</v>
      </c>
      <c r="D28" s="15">
        <v>4000</v>
      </c>
      <c r="G28" s="32" t="s">
        <v>97</v>
      </c>
      <c r="H28" s="32" t="s">
        <v>10</v>
      </c>
      <c r="I28" s="32" t="s">
        <v>15</v>
      </c>
      <c r="J28" s="32"/>
    </row>
    <row r="29" spans="1:16" x14ac:dyDescent="0.35">
      <c r="A29" s="1"/>
      <c r="B29" s="2" t="s">
        <v>95</v>
      </c>
      <c r="D29" s="4">
        <f>G29</f>
        <v>0</v>
      </c>
      <c r="G29" s="31">
        <f>E140</f>
        <v>0</v>
      </c>
      <c r="H29" s="30"/>
      <c r="I29" s="30"/>
      <c r="J29" s="28"/>
      <c r="N29" s="4"/>
      <c r="O29" s="4"/>
      <c r="P29" s="4"/>
    </row>
    <row r="30" spans="1:16" x14ac:dyDescent="0.35">
      <c r="A30" s="1"/>
      <c r="B30" s="2" t="s">
        <v>500</v>
      </c>
      <c r="D30" s="4">
        <f>E149</f>
        <v>347.8260498046875</v>
      </c>
      <c r="G30" s="165"/>
      <c r="H30" s="105"/>
      <c r="I30" s="105"/>
      <c r="J30" s="105"/>
      <c r="N30" s="4"/>
      <c r="O30" s="4"/>
      <c r="P30" s="4"/>
    </row>
    <row r="31" spans="1:16" ht="15" thickBot="1" x14ac:dyDescent="0.4">
      <c r="A31" s="1"/>
      <c r="B31" s="24" t="s">
        <v>501</v>
      </c>
      <c r="C31" s="24"/>
      <c r="D31" s="25">
        <f>D28+D29+D30</f>
        <v>4347.8260498046875</v>
      </c>
      <c r="G31" s="165"/>
      <c r="H31" s="105"/>
      <c r="I31" s="105"/>
      <c r="J31" s="105"/>
      <c r="N31" s="4"/>
      <c r="O31" s="4"/>
      <c r="P31" s="4"/>
    </row>
    <row r="32" spans="1:16" x14ac:dyDescent="0.35">
      <c r="A32" s="1"/>
      <c r="D32" s="4"/>
      <c r="G32" s="165"/>
      <c r="H32" s="105"/>
      <c r="I32" s="105"/>
      <c r="J32" s="105"/>
      <c r="N32" s="4"/>
      <c r="O32" s="4"/>
      <c r="P32" s="4"/>
    </row>
    <row r="33" spans="1:64" outlineLevel="1" x14ac:dyDescent="0.35">
      <c r="A33" s="1"/>
      <c r="B33" s="2" t="s">
        <v>86</v>
      </c>
      <c r="D33" s="14">
        <v>0.8</v>
      </c>
      <c r="I33" s="26"/>
    </row>
    <row r="34" spans="1:64" outlineLevel="1" x14ac:dyDescent="0.35">
      <c r="A34" s="1"/>
      <c r="B34" s="2" t="s">
        <v>329</v>
      </c>
      <c r="D34" s="4">
        <f>D31*D33</f>
        <v>3478.2608398437501</v>
      </c>
    </row>
    <row r="35" spans="1:64" outlineLevel="1" x14ac:dyDescent="0.35">
      <c r="A35" s="1"/>
      <c r="D35" s="4"/>
    </row>
    <row r="36" spans="1:64" outlineLevel="1" x14ac:dyDescent="0.35">
      <c r="A36" s="1"/>
      <c r="B36" s="2" t="s">
        <v>182</v>
      </c>
      <c r="D36" s="157">
        <f>F36/100</f>
        <v>0.28000000000000003</v>
      </c>
      <c r="F36" s="13">
        <v>28</v>
      </c>
    </row>
    <row r="37" spans="1:64" s="10" customFormat="1" outlineLevel="1" x14ac:dyDescent="0.35">
      <c r="A37" s="22"/>
    </row>
    <row r="38" spans="1:64" s="98" customFormat="1" outlineLevel="1" x14ac:dyDescent="0.35">
      <c r="A38" s="98" t="s">
        <v>210</v>
      </c>
    </row>
    <row r="39" spans="1:64" x14ac:dyDescent="0.35">
      <c r="A39" s="1"/>
      <c r="B39" s="2" t="s">
        <v>65</v>
      </c>
      <c r="E39" s="13">
        <v>1</v>
      </c>
      <c r="F39" s="13">
        <v>2</v>
      </c>
      <c r="G39" s="13">
        <v>3</v>
      </c>
      <c r="H39" s="13">
        <v>4</v>
      </c>
      <c r="I39" s="13">
        <v>5</v>
      </c>
      <c r="J39" s="13">
        <v>6</v>
      </c>
      <c r="K39" s="13">
        <v>7</v>
      </c>
      <c r="L39" s="13">
        <v>8</v>
      </c>
      <c r="M39" s="13">
        <v>9</v>
      </c>
      <c r="N39" s="13">
        <v>10</v>
      </c>
      <c r="O39" s="13">
        <v>11</v>
      </c>
      <c r="P39" s="13">
        <v>12</v>
      </c>
      <c r="Q39" s="13">
        <v>13</v>
      </c>
      <c r="R39" s="13">
        <v>14</v>
      </c>
      <c r="S39" s="13">
        <v>15</v>
      </c>
      <c r="T39" s="13">
        <v>16</v>
      </c>
      <c r="U39" s="13">
        <v>17</v>
      </c>
      <c r="V39" s="13">
        <v>18</v>
      </c>
      <c r="W39" s="13">
        <v>19</v>
      </c>
      <c r="X39" s="13">
        <v>20</v>
      </c>
      <c r="Y39" s="13">
        <v>21</v>
      </c>
      <c r="Z39" s="13">
        <v>22</v>
      </c>
      <c r="AA39" s="13">
        <v>23</v>
      </c>
      <c r="AB39" s="13">
        <v>24</v>
      </c>
      <c r="AC39" s="13">
        <v>25</v>
      </c>
      <c r="AD39" s="13">
        <v>26</v>
      </c>
      <c r="AE39" s="13">
        <v>27</v>
      </c>
      <c r="AF39" s="13">
        <v>28</v>
      </c>
      <c r="AG39" s="13">
        <v>29</v>
      </c>
      <c r="AH39" s="13">
        <v>30</v>
      </c>
      <c r="AI39" s="13">
        <v>31</v>
      </c>
      <c r="AJ39" s="13">
        <v>32</v>
      </c>
      <c r="AK39" s="13">
        <v>33</v>
      </c>
      <c r="AL39" s="13">
        <v>34</v>
      </c>
      <c r="AM39" s="13">
        <v>35</v>
      </c>
      <c r="AN39" s="13">
        <v>36</v>
      </c>
      <c r="AO39" s="13">
        <v>37</v>
      </c>
      <c r="AP39" s="13">
        <v>38</v>
      </c>
      <c r="AQ39" s="13">
        <v>39</v>
      </c>
      <c r="AR39" s="13">
        <v>40</v>
      </c>
      <c r="AS39" s="13">
        <v>41</v>
      </c>
      <c r="AT39" s="13">
        <v>42</v>
      </c>
      <c r="AU39" s="13">
        <v>43</v>
      </c>
      <c r="AV39" s="13">
        <v>44</v>
      </c>
      <c r="AW39" s="13">
        <v>45</v>
      </c>
      <c r="AX39" s="13">
        <v>46</v>
      </c>
      <c r="AY39" s="13">
        <v>47</v>
      </c>
      <c r="AZ39" s="13">
        <v>48</v>
      </c>
      <c r="BA39" s="13">
        <v>49</v>
      </c>
      <c r="BB39" s="13">
        <v>50</v>
      </c>
      <c r="BC39" s="13">
        <v>51</v>
      </c>
      <c r="BD39" s="13">
        <v>52</v>
      </c>
      <c r="BE39" s="13">
        <v>53</v>
      </c>
      <c r="BF39" s="13">
        <v>54</v>
      </c>
      <c r="BG39" s="13">
        <v>55</v>
      </c>
      <c r="BH39" s="13">
        <v>56</v>
      </c>
      <c r="BI39" s="13">
        <v>57</v>
      </c>
      <c r="BJ39" s="13">
        <v>58</v>
      </c>
      <c r="BK39" s="13">
        <v>59</v>
      </c>
      <c r="BL39" s="13">
        <v>60</v>
      </c>
    </row>
    <row r="40" spans="1:64" x14ac:dyDescent="0.35">
      <c r="A40" s="1"/>
      <c r="B40" s="2" t="s">
        <v>30</v>
      </c>
      <c r="E40" s="2">
        <f t="shared" ref="E40:BL40" si="0">ROUNDUP(E39/2,0)</f>
        <v>1</v>
      </c>
      <c r="F40" s="2">
        <f t="shared" si="0"/>
        <v>1</v>
      </c>
      <c r="G40" s="2">
        <f t="shared" si="0"/>
        <v>2</v>
      </c>
      <c r="H40" s="2">
        <f t="shared" si="0"/>
        <v>2</v>
      </c>
      <c r="I40" s="2">
        <f t="shared" si="0"/>
        <v>3</v>
      </c>
      <c r="J40" s="2">
        <f t="shared" si="0"/>
        <v>3</v>
      </c>
      <c r="K40" s="2">
        <f t="shared" si="0"/>
        <v>4</v>
      </c>
      <c r="L40" s="2">
        <f t="shared" si="0"/>
        <v>4</v>
      </c>
      <c r="M40" s="2">
        <f t="shared" si="0"/>
        <v>5</v>
      </c>
      <c r="N40" s="2">
        <f t="shared" si="0"/>
        <v>5</v>
      </c>
      <c r="O40" s="2">
        <f t="shared" si="0"/>
        <v>6</v>
      </c>
      <c r="P40" s="2">
        <f t="shared" si="0"/>
        <v>6</v>
      </c>
      <c r="Q40" s="2">
        <f t="shared" si="0"/>
        <v>7</v>
      </c>
      <c r="R40" s="2">
        <f t="shared" si="0"/>
        <v>7</v>
      </c>
      <c r="S40" s="2">
        <f t="shared" si="0"/>
        <v>8</v>
      </c>
      <c r="T40" s="2">
        <f t="shared" si="0"/>
        <v>8</v>
      </c>
      <c r="U40" s="2">
        <f t="shared" si="0"/>
        <v>9</v>
      </c>
      <c r="V40" s="2">
        <f t="shared" si="0"/>
        <v>9</v>
      </c>
      <c r="W40" s="2">
        <f t="shared" si="0"/>
        <v>10</v>
      </c>
      <c r="X40" s="2">
        <f t="shared" si="0"/>
        <v>10</v>
      </c>
      <c r="Y40" s="2">
        <f t="shared" si="0"/>
        <v>11</v>
      </c>
      <c r="Z40" s="2">
        <f t="shared" si="0"/>
        <v>11</v>
      </c>
      <c r="AA40" s="2">
        <f t="shared" si="0"/>
        <v>12</v>
      </c>
      <c r="AB40" s="2">
        <f t="shared" si="0"/>
        <v>12</v>
      </c>
      <c r="AC40" s="2">
        <f t="shared" si="0"/>
        <v>13</v>
      </c>
      <c r="AD40" s="2">
        <f t="shared" si="0"/>
        <v>13</v>
      </c>
      <c r="AE40" s="2">
        <f t="shared" si="0"/>
        <v>14</v>
      </c>
      <c r="AF40" s="2">
        <f t="shared" si="0"/>
        <v>14</v>
      </c>
      <c r="AG40" s="2">
        <f t="shared" si="0"/>
        <v>15</v>
      </c>
      <c r="AH40" s="2">
        <f t="shared" si="0"/>
        <v>15</v>
      </c>
      <c r="AI40" s="2">
        <f t="shared" si="0"/>
        <v>16</v>
      </c>
      <c r="AJ40" s="2">
        <f t="shared" si="0"/>
        <v>16</v>
      </c>
      <c r="AK40" s="2">
        <f t="shared" si="0"/>
        <v>17</v>
      </c>
      <c r="AL40" s="2">
        <f t="shared" si="0"/>
        <v>17</v>
      </c>
      <c r="AM40" s="2">
        <f t="shared" si="0"/>
        <v>18</v>
      </c>
      <c r="AN40" s="2">
        <f t="shared" si="0"/>
        <v>18</v>
      </c>
      <c r="AO40" s="2">
        <f t="shared" si="0"/>
        <v>19</v>
      </c>
      <c r="AP40" s="2">
        <f t="shared" si="0"/>
        <v>19</v>
      </c>
      <c r="AQ40" s="2">
        <f t="shared" si="0"/>
        <v>20</v>
      </c>
      <c r="AR40" s="2">
        <f t="shared" si="0"/>
        <v>20</v>
      </c>
      <c r="AS40" s="2">
        <f t="shared" si="0"/>
        <v>21</v>
      </c>
      <c r="AT40" s="2">
        <f t="shared" si="0"/>
        <v>21</v>
      </c>
      <c r="AU40" s="2">
        <f t="shared" si="0"/>
        <v>22</v>
      </c>
      <c r="AV40" s="2">
        <f t="shared" si="0"/>
        <v>22</v>
      </c>
      <c r="AW40" s="2">
        <f t="shared" si="0"/>
        <v>23</v>
      </c>
      <c r="AX40" s="2">
        <f t="shared" si="0"/>
        <v>23</v>
      </c>
      <c r="AY40" s="2">
        <f t="shared" si="0"/>
        <v>24</v>
      </c>
      <c r="AZ40" s="2">
        <f t="shared" si="0"/>
        <v>24</v>
      </c>
      <c r="BA40" s="2">
        <f t="shared" si="0"/>
        <v>25</v>
      </c>
      <c r="BB40" s="2">
        <f t="shared" si="0"/>
        <v>25</v>
      </c>
      <c r="BC40" s="2">
        <f t="shared" si="0"/>
        <v>26</v>
      </c>
      <c r="BD40" s="2">
        <f t="shared" si="0"/>
        <v>26</v>
      </c>
      <c r="BE40" s="2">
        <f t="shared" si="0"/>
        <v>27</v>
      </c>
      <c r="BF40" s="2">
        <f t="shared" si="0"/>
        <v>27</v>
      </c>
      <c r="BG40" s="2">
        <f t="shared" si="0"/>
        <v>28</v>
      </c>
      <c r="BH40" s="2">
        <f t="shared" si="0"/>
        <v>28</v>
      </c>
      <c r="BI40" s="2">
        <f t="shared" si="0"/>
        <v>29</v>
      </c>
      <c r="BJ40" s="2">
        <f t="shared" si="0"/>
        <v>29</v>
      </c>
      <c r="BK40" s="2">
        <f t="shared" si="0"/>
        <v>30</v>
      </c>
      <c r="BL40" s="2">
        <f t="shared" si="0"/>
        <v>30</v>
      </c>
    </row>
    <row r="41" spans="1:64" x14ac:dyDescent="0.35">
      <c r="A41" s="1"/>
      <c r="C41" s="2" t="s">
        <v>80</v>
      </c>
      <c r="E41" s="2" t="b">
        <f t="shared" ref="E41:BL41" si="1">E39&lt;=$D$10*2</f>
        <v>1</v>
      </c>
      <c r="F41" s="2" t="b">
        <f t="shared" si="1"/>
        <v>1</v>
      </c>
      <c r="G41" s="2" t="b">
        <f t="shared" si="1"/>
        <v>1</v>
      </c>
      <c r="H41" s="2" t="b">
        <f t="shared" si="1"/>
        <v>1</v>
      </c>
      <c r="I41" s="2" t="b">
        <f t="shared" si="1"/>
        <v>1</v>
      </c>
      <c r="J41" s="2" t="b">
        <f t="shared" si="1"/>
        <v>1</v>
      </c>
      <c r="K41" s="2" t="b">
        <f t="shared" si="1"/>
        <v>1</v>
      </c>
      <c r="L41" s="2" t="b">
        <f t="shared" si="1"/>
        <v>1</v>
      </c>
      <c r="M41" s="2" t="b">
        <f t="shared" si="1"/>
        <v>1</v>
      </c>
      <c r="N41" s="2" t="b">
        <f t="shared" si="1"/>
        <v>1</v>
      </c>
      <c r="O41" s="2" t="b">
        <f t="shared" si="1"/>
        <v>1</v>
      </c>
      <c r="P41" s="2" t="b">
        <f t="shared" si="1"/>
        <v>1</v>
      </c>
      <c r="Q41" s="2" t="b">
        <f t="shared" si="1"/>
        <v>1</v>
      </c>
      <c r="R41" s="2" t="b">
        <f t="shared" si="1"/>
        <v>1</v>
      </c>
      <c r="S41" s="2" t="b">
        <f t="shared" si="1"/>
        <v>1</v>
      </c>
      <c r="T41" s="2" t="b">
        <f t="shared" si="1"/>
        <v>1</v>
      </c>
      <c r="U41" s="2" t="b">
        <f t="shared" si="1"/>
        <v>1</v>
      </c>
      <c r="V41" s="2" t="b">
        <f t="shared" si="1"/>
        <v>1</v>
      </c>
      <c r="W41" s="2" t="b">
        <f t="shared" si="1"/>
        <v>1</v>
      </c>
      <c r="X41" s="2" t="b">
        <f t="shared" si="1"/>
        <v>1</v>
      </c>
      <c r="Y41" s="2" t="b">
        <f t="shared" si="1"/>
        <v>1</v>
      </c>
      <c r="Z41" s="2" t="b">
        <f t="shared" si="1"/>
        <v>1</v>
      </c>
      <c r="AA41" s="2" t="b">
        <f t="shared" si="1"/>
        <v>1</v>
      </c>
      <c r="AB41" s="2" t="b">
        <f t="shared" si="1"/>
        <v>1</v>
      </c>
      <c r="AC41" s="2" t="b">
        <f t="shared" si="1"/>
        <v>1</v>
      </c>
      <c r="AD41" s="2" t="b">
        <f t="shared" si="1"/>
        <v>1</v>
      </c>
      <c r="AE41" s="2" t="b">
        <f t="shared" si="1"/>
        <v>1</v>
      </c>
      <c r="AF41" s="2" t="b">
        <f t="shared" si="1"/>
        <v>1</v>
      </c>
      <c r="AG41" s="2" t="b">
        <f t="shared" si="1"/>
        <v>1</v>
      </c>
      <c r="AH41" s="2" t="b">
        <f t="shared" si="1"/>
        <v>1</v>
      </c>
      <c r="AI41" s="2" t="b">
        <f t="shared" si="1"/>
        <v>1</v>
      </c>
      <c r="AJ41" s="2" t="b">
        <f t="shared" si="1"/>
        <v>1</v>
      </c>
      <c r="AK41" s="2" t="b">
        <f t="shared" si="1"/>
        <v>1</v>
      </c>
      <c r="AL41" s="2" t="b">
        <f t="shared" si="1"/>
        <v>1</v>
      </c>
      <c r="AM41" s="2" t="b">
        <f t="shared" si="1"/>
        <v>1</v>
      </c>
      <c r="AN41" s="2" t="b">
        <f t="shared" si="1"/>
        <v>1</v>
      </c>
      <c r="AO41" s="2" t="b">
        <f t="shared" si="1"/>
        <v>1</v>
      </c>
      <c r="AP41" s="2" t="b">
        <f t="shared" si="1"/>
        <v>1</v>
      </c>
      <c r="AQ41" s="2" t="b">
        <f t="shared" si="1"/>
        <v>1</v>
      </c>
      <c r="AR41" s="2" t="b">
        <f t="shared" si="1"/>
        <v>1</v>
      </c>
      <c r="AS41" s="2" t="b">
        <f t="shared" si="1"/>
        <v>0</v>
      </c>
      <c r="AT41" s="2" t="b">
        <f t="shared" si="1"/>
        <v>0</v>
      </c>
      <c r="AU41" s="2" t="b">
        <f t="shared" si="1"/>
        <v>0</v>
      </c>
      <c r="AV41" s="2" t="b">
        <f t="shared" si="1"/>
        <v>0</v>
      </c>
      <c r="AW41" s="2" t="b">
        <f t="shared" si="1"/>
        <v>0</v>
      </c>
      <c r="AX41" s="2" t="b">
        <f t="shared" si="1"/>
        <v>0</v>
      </c>
      <c r="AY41" s="2" t="b">
        <f t="shared" si="1"/>
        <v>0</v>
      </c>
      <c r="AZ41" s="2" t="b">
        <f t="shared" si="1"/>
        <v>0</v>
      </c>
      <c r="BA41" s="2" t="b">
        <f t="shared" si="1"/>
        <v>0</v>
      </c>
      <c r="BB41" s="2" t="b">
        <f t="shared" si="1"/>
        <v>0</v>
      </c>
      <c r="BC41" s="2" t="b">
        <f t="shared" si="1"/>
        <v>0</v>
      </c>
      <c r="BD41" s="2" t="b">
        <f t="shared" si="1"/>
        <v>0</v>
      </c>
      <c r="BE41" s="2" t="b">
        <f t="shared" si="1"/>
        <v>0</v>
      </c>
      <c r="BF41" s="2" t="b">
        <f t="shared" si="1"/>
        <v>0</v>
      </c>
      <c r="BG41" s="2" t="b">
        <f t="shared" si="1"/>
        <v>0</v>
      </c>
      <c r="BH41" s="2" t="b">
        <f t="shared" si="1"/>
        <v>0</v>
      </c>
      <c r="BI41" s="2" t="b">
        <f t="shared" si="1"/>
        <v>0</v>
      </c>
      <c r="BJ41" s="2" t="b">
        <f t="shared" si="1"/>
        <v>0</v>
      </c>
      <c r="BK41" s="2" t="b">
        <f t="shared" si="1"/>
        <v>0</v>
      </c>
      <c r="BL41" s="2" t="b">
        <f t="shared" si="1"/>
        <v>0</v>
      </c>
    </row>
    <row r="42" spans="1:64" x14ac:dyDescent="0.35">
      <c r="A42" s="1"/>
      <c r="C42" s="2" t="s">
        <v>144</v>
      </c>
      <c r="E42" s="13" t="b">
        <v>1</v>
      </c>
      <c r="F42" s="13" t="b">
        <v>1</v>
      </c>
      <c r="G42" s="13" t="b">
        <v>1</v>
      </c>
      <c r="H42" s="13" t="b">
        <v>1</v>
      </c>
      <c r="I42" s="13" t="b">
        <v>1</v>
      </c>
      <c r="J42" s="13" t="b">
        <v>1</v>
      </c>
      <c r="K42" s="13" t="b">
        <v>1</v>
      </c>
      <c r="L42" s="13" t="b">
        <v>1</v>
      </c>
      <c r="M42" s="13" t="b">
        <v>1</v>
      </c>
      <c r="N42" s="13" t="b">
        <v>1</v>
      </c>
      <c r="O42" s="13" t="b">
        <v>1</v>
      </c>
      <c r="P42" s="13" t="b">
        <v>1</v>
      </c>
      <c r="Q42" s="13" t="b">
        <v>1</v>
      </c>
      <c r="R42" s="13" t="b">
        <v>1</v>
      </c>
      <c r="S42" s="13" t="b">
        <v>1</v>
      </c>
      <c r="T42" s="13" t="b">
        <v>1</v>
      </c>
      <c r="U42" s="13" t="b">
        <v>1</v>
      </c>
      <c r="V42" s="13" t="b">
        <v>1</v>
      </c>
      <c r="W42" s="13" t="b">
        <v>1</v>
      </c>
      <c r="X42" s="13" t="b">
        <v>1</v>
      </c>
      <c r="Y42" s="13" t="b">
        <v>1</v>
      </c>
      <c r="Z42" s="13" t="b">
        <v>1</v>
      </c>
      <c r="AA42" s="13" t="b">
        <v>1</v>
      </c>
      <c r="AB42" s="13" t="b">
        <v>1</v>
      </c>
      <c r="AC42" s="13" t="b">
        <v>1</v>
      </c>
      <c r="AD42" s="13" t="b">
        <v>1</v>
      </c>
      <c r="AE42" s="13" t="b">
        <v>1</v>
      </c>
      <c r="AF42" s="13" t="b">
        <v>1</v>
      </c>
      <c r="AG42" s="13" t="b">
        <v>1</v>
      </c>
      <c r="AH42" s="13" t="b">
        <v>1</v>
      </c>
      <c r="AI42" s="13" t="b">
        <v>1</v>
      </c>
      <c r="AJ42" s="13" t="b">
        <v>1</v>
      </c>
      <c r="AK42" s="13" t="b">
        <v>1</v>
      </c>
      <c r="AL42" s="13" t="b">
        <v>1</v>
      </c>
      <c r="AM42" s="13" t="b">
        <v>1</v>
      </c>
      <c r="AN42" s="13" t="b">
        <v>1</v>
      </c>
      <c r="AO42" s="13" t="b">
        <v>1</v>
      </c>
      <c r="AP42" s="13" t="b">
        <v>1</v>
      </c>
      <c r="AQ42" s="13" t="b">
        <v>1</v>
      </c>
      <c r="AR42" s="13" t="b">
        <v>1</v>
      </c>
      <c r="AS42" s="13" t="b">
        <v>1</v>
      </c>
      <c r="AT42" s="13" t="b">
        <v>1</v>
      </c>
      <c r="AU42" s="13" t="b">
        <v>1</v>
      </c>
      <c r="AV42" s="13" t="b">
        <v>1</v>
      </c>
      <c r="AW42" s="13" t="b">
        <v>1</v>
      </c>
      <c r="AX42" s="13" t="b">
        <v>1</v>
      </c>
      <c r="AY42" s="13" t="b">
        <v>1</v>
      </c>
      <c r="AZ42" s="13" t="b">
        <v>1</v>
      </c>
      <c r="BA42" s="13" t="b">
        <v>1</v>
      </c>
      <c r="BB42" s="13" t="b">
        <v>1</v>
      </c>
      <c r="BC42" s="13" t="b">
        <v>1</v>
      </c>
      <c r="BD42" s="13" t="b">
        <v>1</v>
      </c>
      <c r="BE42" s="13" t="b">
        <v>1</v>
      </c>
      <c r="BF42" s="13" t="b">
        <v>1</v>
      </c>
      <c r="BG42" s="13" t="b">
        <v>1</v>
      </c>
      <c r="BH42" s="13" t="b">
        <v>1</v>
      </c>
      <c r="BI42" s="13" t="b">
        <v>1</v>
      </c>
      <c r="BJ42" s="13" t="b">
        <v>1</v>
      </c>
      <c r="BK42" s="13" t="b">
        <v>1</v>
      </c>
      <c r="BL42" s="13" t="b">
        <v>1</v>
      </c>
    </row>
    <row r="43" spans="1:64" x14ac:dyDescent="0.35">
      <c r="A43" s="1"/>
    </row>
    <row r="44" spans="1:64" x14ac:dyDescent="0.35">
      <c r="A44" s="1"/>
      <c r="C44" s="2" t="s">
        <v>38</v>
      </c>
      <c r="E44" s="12">
        <f t="shared" ref="E44:BL44" si="2">LOOKUP(E40,22:22,23:23)/2</f>
        <v>0</v>
      </c>
      <c r="F44" s="12">
        <f t="shared" si="2"/>
        <v>0</v>
      </c>
      <c r="G44" s="12">
        <f t="shared" si="2"/>
        <v>0</v>
      </c>
      <c r="H44" s="12">
        <f t="shared" si="2"/>
        <v>0</v>
      </c>
      <c r="I44" s="12">
        <f t="shared" si="2"/>
        <v>0</v>
      </c>
      <c r="J44" s="12">
        <f t="shared" si="2"/>
        <v>0</v>
      </c>
      <c r="K44" s="12">
        <f t="shared" si="2"/>
        <v>0.01</v>
      </c>
      <c r="L44" s="12">
        <f t="shared" si="2"/>
        <v>0.01</v>
      </c>
      <c r="M44" s="12">
        <f t="shared" si="2"/>
        <v>0.01</v>
      </c>
      <c r="N44" s="12">
        <f t="shared" si="2"/>
        <v>0.01</v>
      </c>
      <c r="O44" s="12">
        <f t="shared" si="2"/>
        <v>1.4999999999999999E-2</v>
      </c>
      <c r="P44" s="12">
        <f t="shared" si="2"/>
        <v>1.4999999999999999E-2</v>
      </c>
      <c r="Q44" s="12">
        <f t="shared" si="2"/>
        <v>1.4999999999999999E-2</v>
      </c>
      <c r="R44" s="12">
        <f t="shared" si="2"/>
        <v>1.4999999999999999E-2</v>
      </c>
      <c r="S44" s="12">
        <f t="shared" si="2"/>
        <v>1.4999999999999999E-2</v>
      </c>
      <c r="T44" s="12">
        <f t="shared" si="2"/>
        <v>1.4999999999999999E-2</v>
      </c>
      <c r="U44" s="12">
        <f t="shared" si="2"/>
        <v>1.4999999999999999E-2</v>
      </c>
      <c r="V44" s="12">
        <f t="shared" si="2"/>
        <v>1.4999999999999999E-2</v>
      </c>
      <c r="W44" s="12">
        <f t="shared" si="2"/>
        <v>1.4999999999999999E-2</v>
      </c>
      <c r="X44" s="12">
        <f t="shared" si="2"/>
        <v>1.4999999999999999E-2</v>
      </c>
      <c r="Y44" s="12">
        <f t="shared" si="2"/>
        <v>1.4999999999999999E-2</v>
      </c>
      <c r="Z44" s="12">
        <f t="shared" si="2"/>
        <v>1.4999999999999999E-2</v>
      </c>
      <c r="AA44" s="12">
        <f t="shared" si="2"/>
        <v>1.4999999999999999E-2</v>
      </c>
      <c r="AB44" s="12">
        <f t="shared" si="2"/>
        <v>1.4999999999999999E-2</v>
      </c>
      <c r="AC44" s="12">
        <f t="shared" si="2"/>
        <v>1.4999999999999999E-2</v>
      </c>
      <c r="AD44" s="12">
        <f t="shared" si="2"/>
        <v>1.4999999999999999E-2</v>
      </c>
      <c r="AE44" s="12">
        <f t="shared" si="2"/>
        <v>1.4999999999999999E-2</v>
      </c>
      <c r="AF44" s="12">
        <f t="shared" si="2"/>
        <v>1.4999999999999999E-2</v>
      </c>
      <c r="AG44" s="12">
        <f t="shared" si="2"/>
        <v>2.5000000000000001E-2</v>
      </c>
      <c r="AH44" s="12">
        <f t="shared" si="2"/>
        <v>2.5000000000000001E-2</v>
      </c>
      <c r="AI44" s="12">
        <f t="shared" si="2"/>
        <v>2.5000000000000001E-2</v>
      </c>
      <c r="AJ44" s="12">
        <f t="shared" si="2"/>
        <v>2.5000000000000001E-2</v>
      </c>
      <c r="AK44" s="12">
        <f t="shared" si="2"/>
        <v>2.5000000000000001E-2</v>
      </c>
      <c r="AL44" s="12">
        <f t="shared" si="2"/>
        <v>2.5000000000000001E-2</v>
      </c>
      <c r="AM44" s="12">
        <f t="shared" si="2"/>
        <v>2.5000000000000001E-2</v>
      </c>
      <c r="AN44" s="12">
        <f t="shared" si="2"/>
        <v>2.5000000000000001E-2</v>
      </c>
      <c r="AO44" s="12">
        <f t="shared" si="2"/>
        <v>2.5000000000000001E-2</v>
      </c>
      <c r="AP44" s="12">
        <f t="shared" si="2"/>
        <v>2.5000000000000001E-2</v>
      </c>
      <c r="AQ44" s="12">
        <f t="shared" si="2"/>
        <v>2.5000000000000001E-2</v>
      </c>
      <c r="AR44" s="12">
        <f t="shared" si="2"/>
        <v>2.5000000000000001E-2</v>
      </c>
      <c r="AS44" s="12">
        <f t="shared" si="2"/>
        <v>2.5000000000000001E-2</v>
      </c>
      <c r="AT44" s="12">
        <f t="shared" si="2"/>
        <v>2.5000000000000001E-2</v>
      </c>
      <c r="AU44" s="12">
        <f t="shared" si="2"/>
        <v>2.5000000000000001E-2</v>
      </c>
      <c r="AV44" s="12">
        <f t="shared" si="2"/>
        <v>2.5000000000000001E-2</v>
      </c>
      <c r="AW44" s="12">
        <f t="shared" si="2"/>
        <v>2.5000000000000001E-2</v>
      </c>
      <c r="AX44" s="12">
        <f t="shared" si="2"/>
        <v>2.5000000000000001E-2</v>
      </c>
      <c r="AY44" s="12">
        <f t="shared" si="2"/>
        <v>2.5000000000000001E-2</v>
      </c>
      <c r="AZ44" s="12">
        <f t="shared" si="2"/>
        <v>2.5000000000000001E-2</v>
      </c>
      <c r="BA44" s="12">
        <f t="shared" si="2"/>
        <v>2.5000000000000001E-2</v>
      </c>
      <c r="BB44" s="12">
        <f t="shared" si="2"/>
        <v>2.5000000000000001E-2</v>
      </c>
      <c r="BC44" s="12">
        <f t="shared" si="2"/>
        <v>2.5000000000000001E-2</v>
      </c>
      <c r="BD44" s="12">
        <f t="shared" si="2"/>
        <v>2.5000000000000001E-2</v>
      </c>
      <c r="BE44" s="12">
        <f t="shared" si="2"/>
        <v>2.5000000000000001E-2</v>
      </c>
      <c r="BF44" s="12">
        <f t="shared" si="2"/>
        <v>2.5000000000000001E-2</v>
      </c>
      <c r="BG44" s="12">
        <f t="shared" si="2"/>
        <v>2.5000000000000001E-2</v>
      </c>
      <c r="BH44" s="12">
        <f t="shared" si="2"/>
        <v>2.5000000000000001E-2</v>
      </c>
      <c r="BI44" s="12">
        <f t="shared" si="2"/>
        <v>2.5000000000000001E-2</v>
      </c>
      <c r="BJ44" s="12">
        <f t="shared" si="2"/>
        <v>2.5000000000000001E-2</v>
      </c>
      <c r="BK44" s="12">
        <f t="shared" si="2"/>
        <v>2.5000000000000001E-2</v>
      </c>
      <c r="BL44" s="12">
        <f t="shared" si="2"/>
        <v>2.5000000000000001E-2</v>
      </c>
    </row>
    <row r="45" spans="1:64" x14ac:dyDescent="0.35">
      <c r="A45" s="1"/>
      <c r="C45" s="2" t="s">
        <v>104</v>
      </c>
      <c r="D45" s="4">
        <f>D20</f>
        <v>185</v>
      </c>
      <c r="E45" s="4">
        <f t="shared" ref="E45:BL45" si="3">D45*(1+E44)</f>
        <v>185</v>
      </c>
      <c r="F45" s="4">
        <f t="shared" si="3"/>
        <v>185</v>
      </c>
      <c r="G45" s="4">
        <f t="shared" si="3"/>
        <v>185</v>
      </c>
      <c r="H45" s="4">
        <f t="shared" si="3"/>
        <v>185</v>
      </c>
      <c r="I45" s="4">
        <f t="shared" si="3"/>
        <v>185</v>
      </c>
      <c r="J45" s="4">
        <f t="shared" si="3"/>
        <v>185</v>
      </c>
      <c r="K45" s="4">
        <f t="shared" si="3"/>
        <v>186.85</v>
      </c>
      <c r="L45" s="4">
        <f t="shared" si="3"/>
        <v>188.71850000000001</v>
      </c>
      <c r="M45" s="4">
        <f t="shared" si="3"/>
        <v>190.60568499999999</v>
      </c>
      <c r="N45" s="4">
        <f t="shared" si="3"/>
        <v>192.51174184999999</v>
      </c>
      <c r="O45" s="4">
        <f t="shared" si="3"/>
        <v>195.39941797774998</v>
      </c>
      <c r="P45" s="4">
        <f t="shared" si="3"/>
        <v>198.33040924741621</v>
      </c>
      <c r="Q45" s="4">
        <f t="shared" si="3"/>
        <v>201.30536538612745</v>
      </c>
      <c r="R45" s="4">
        <f t="shared" si="3"/>
        <v>204.32494586691934</v>
      </c>
      <c r="S45" s="4">
        <f t="shared" si="3"/>
        <v>207.38982005492309</v>
      </c>
      <c r="T45" s="4">
        <f t="shared" si="3"/>
        <v>210.50066735574691</v>
      </c>
      <c r="U45" s="4">
        <f t="shared" si="3"/>
        <v>213.65817736608309</v>
      </c>
      <c r="V45" s="4">
        <f t="shared" si="3"/>
        <v>216.86305002657431</v>
      </c>
      <c r="W45" s="4">
        <f t="shared" si="3"/>
        <v>220.11599577697291</v>
      </c>
      <c r="X45" s="4">
        <f t="shared" si="3"/>
        <v>223.41773571362748</v>
      </c>
      <c r="Y45" s="4">
        <f t="shared" si="3"/>
        <v>226.76900174933186</v>
      </c>
      <c r="Z45" s="4">
        <f t="shared" si="3"/>
        <v>230.17053677557183</v>
      </c>
      <c r="AA45" s="4">
        <f t="shared" si="3"/>
        <v>233.62309482720539</v>
      </c>
      <c r="AB45" s="4">
        <f t="shared" si="3"/>
        <v>237.12744124961344</v>
      </c>
      <c r="AC45" s="4">
        <f t="shared" si="3"/>
        <v>240.68435286835762</v>
      </c>
      <c r="AD45" s="4">
        <f t="shared" si="3"/>
        <v>244.29461816138297</v>
      </c>
      <c r="AE45" s="4">
        <f t="shared" si="3"/>
        <v>247.9590374338037</v>
      </c>
      <c r="AF45" s="4">
        <f t="shared" si="3"/>
        <v>251.67842299531074</v>
      </c>
      <c r="AG45" s="4">
        <f t="shared" si="3"/>
        <v>257.97038357019346</v>
      </c>
      <c r="AH45" s="4">
        <f t="shared" si="3"/>
        <v>264.4196431594483</v>
      </c>
      <c r="AI45" s="4">
        <f t="shared" si="3"/>
        <v>271.03013423843447</v>
      </c>
      <c r="AJ45" s="4">
        <f t="shared" si="3"/>
        <v>277.8058875943953</v>
      </c>
      <c r="AK45" s="4">
        <f t="shared" si="3"/>
        <v>284.75103478425518</v>
      </c>
      <c r="AL45" s="4">
        <f t="shared" si="3"/>
        <v>291.86981065386152</v>
      </c>
      <c r="AM45" s="4">
        <f t="shared" si="3"/>
        <v>299.16655592020805</v>
      </c>
      <c r="AN45" s="4">
        <f t="shared" si="3"/>
        <v>306.64571981821325</v>
      </c>
      <c r="AO45" s="4">
        <f t="shared" si="3"/>
        <v>314.31186281366854</v>
      </c>
      <c r="AP45" s="4">
        <f t="shared" si="3"/>
        <v>322.16965938401023</v>
      </c>
      <c r="AQ45" s="4">
        <f t="shared" si="3"/>
        <v>330.22390086861049</v>
      </c>
      <c r="AR45" s="4">
        <f t="shared" si="3"/>
        <v>338.47949839032572</v>
      </c>
      <c r="AS45" s="4">
        <f t="shared" si="3"/>
        <v>346.94148585008384</v>
      </c>
      <c r="AT45" s="4">
        <f t="shared" si="3"/>
        <v>355.61502299633588</v>
      </c>
      <c r="AU45" s="4">
        <f t="shared" si="3"/>
        <v>364.50539857124426</v>
      </c>
      <c r="AV45" s="4">
        <f t="shared" si="3"/>
        <v>373.61803353552534</v>
      </c>
      <c r="AW45" s="4">
        <f t="shared" si="3"/>
        <v>382.95848437391345</v>
      </c>
      <c r="AX45" s="4">
        <f t="shared" si="3"/>
        <v>392.53244648326125</v>
      </c>
      <c r="AY45" s="4">
        <f t="shared" si="3"/>
        <v>402.34575764534276</v>
      </c>
      <c r="AZ45" s="4">
        <f t="shared" si="3"/>
        <v>412.4044015864763</v>
      </c>
      <c r="BA45" s="4">
        <f t="shared" si="3"/>
        <v>422.71451162613818</v>
      </c>
      <c r="BB45" s="4">
        <f t="shared" si="3"/>
        <v>433.28237441679158</v>
      </c>
      <c r="BC45" s="4">
        <f t="shared" si="3"/>
        <v>444.11443377721133</v>
      </c>
      <c r="BD45" s="4">
        <f t="shared" si="3"/>
        <v>455.2172946216416</v>
      </c>
      <c r="BE45" s="4">
        <f t="shared" si="3"/>
        <v>466.59772698718263</v>
      </c>
      <c r="BF45" s="4">
        <f t="shared" si="3"/>
        <v>478.26267016186216</v>
      </c>
      <c r="BG45" s="4">
        <f t="shared" si="3"/>
        <v>490.21923691590865</v>
      </c>
      <c r="BH45" s="4">
        <f t="shared" si="3"/>
        <v>502.47471783880633</v>
      </c>
      <c r="BI45" s="4">
        <f t="shared" si="3"/>
        <v>515.03658578477643</v>
      </c>
      <c r="BJ45" s="4">
        <f t="shared" si="3"/>
        <v>527.91250042939578</v>
      </c>
      <c r="BK45" s="4">
        <f t="shared" si="3"/>
        <v>541.1103129401306</v>
      </c>
      <c r="BL45" s="4">
        <f t="shared" si="3"/>
        <v>554.63807076363378</v>
      </c>
    </row>
    <row r="46" spans="1:64" x14ac:dyDescent="0.35">
      <c r="A46" s="1"/>
      <c r="C46" s="2" t="s">
        <v>105</v>
      </c>
      <c r="D46" s="4"/>
      <c r="E46" s="46">
        <f t="shared" ref="E46:AJ46" si="4">E141*$D$13</f>
        <v>0</v>
      </c>
      <c r="F46" s="46">
        <f t="shared" si="4"/>
        <v>0</v>
      </c>
      <c r="G46" s="46">
        <f t="shared" si="4"/>
        <v>0</v>
      </c>
      <c r="H46" s="46">
        <f t="shared" si="4"/>
        <v>0</v>
      </c>
      <c r="I46" s="46">
        <f t="shared" si="4"/>
        <v>0</v>
      </c>
      <c r="J46" s="46">
        <f t="shared" si="4"/>
        <v>0</v>
      </c>
      <c r="K46" s="46">
        <f t="shared" si="4"/>
        <v>0</v>
      </c>
      <c r="L46" s="46">
        <f t="shared" si="4"/>
        <v>0</v>
      </c>
      <c r="M46" s="46">
        <f t="shared" si="4"/>
        <v>0</v>
      </c>
      <c r="N46" s="46">
        <f t="shared" si="4"/>
        <v>0</v>
      </c>
      <c r="O46" s="46">
        <f t="shared" si="4"/>
        <v>0</v>
      </c>
      <c r="P46" s="46">
        <f t="shared" si="4"/>
        <v>0</v>
      </c>
      <c r="Q46" s="46">
        <f t="shared" si="4"/>
        <v>0</v>
      </c>
      <c r="R46" s="46">
        <f t="shared" si="4"/>
        <v>0</v>
      </c>
      <c r="S46" s="46">
        <f t="shared" si="4"/>
        <v>0</v>
      </c>
      <c r="T46" s="46">
        <f t="shared" si="4"/>
        <v>0</v>
      </c>
      <c r="U46" s="46">
        <f t="shared" si="4"/>
        <v>0</v>
      </c>
      <c r="V46" s="46">
        <f t="shared" si="4"/>
        <v>0</v>
      </c>
      <c r="W46" s="46">
        <f t="shared" si="4"/>
        <v>0</v>
      </c>
      <c r="X46" s="46">
        <f t="shared" si="4"/>
        <v>0</v>
      </c>
      <c r="Y46" s="46">
        <f t="shared" si="4"/>
        <v>0</v>
      </c>
      <c r="Z46" s="46">
        <f t="shared" si="4"/>
        <v>0</v>
      </c>
      <c r="AA46" s="46">
        <f t="shared" si="4"/>
        <v>0</v>
      </c>
      <c r="AB46" s="46">
        <f t="shared" si="4"/>
        <v>0</v>
      </c>
      <c r="AC46" s="46">
        <f t="shared" si="4"/>
        <v>0</v>
      </c>
      <c r="AD46" s="46">
        <f t="shared" si="4"/>
        <v>0</v>
      </c>
      <c r="AE46" s="46">
        <f t="shared" si="4"/>
        <v>0</v>
      </c>
      <c r="AF46" s="46">
        <f t="shared" si="4"/>
        <v>0</v>
      </c>
      <c r="AG46" s="46">
        <f t="shared" si="4"/>
        <v>0</v>
      </c>
      <c r="AH46" s="46">
        <f t="shared" si="4"/>
        <v>0</v>
      </c>
      <c r="AI46" s="46">
        <f t="shared" si="4"/>
        <v>0</v>
      </c>
      <c r="AJ46" s="46">
        <f t="shared" si="4"/>
        <v>0</v>
      </c>
      <c r="AK46" s="46">
        <f t="shared" ref="AK46:BL46" si="5">AK141*$D$13</f>
        <v>0</v>
      </c>
      <c r="AL46" s="46">
        <f t="shared" si="5"/>
        <v>0</v>
      </c>
      <c r="AM46" s="46">
        <f t="shared" si="5"/>
        <v>0</v>
      </c>
      <c r="AN46" s="46">
        <f t="shared" si="5"/>
        <v>0</v>
      </c>
      <c r="AO46" s="46">
        <f t="shared" si="5"/>
        <v>0</v>
      </c>
      <c r="AP46" s="46">
        <f t="shared" si="5"/>
        <v>0</v>
      </c>
      <c r="AQ46" s="46">
        <f t="shared" si="5"/>
        <v>0</v>
      </c>
      <c r="AR46" s="46">
        <f t="shared" si="5"/>
        <v>0</v>
      </c>
      <c r="AS46" s="46">
        <f t="shared" si="5"/>
        <v>0</v>
      </c>
      <c r="AT46" s="46">
        <f t="shared" si="5"/>
        <v>0</v>
      </c>
      <c r="AU46" s="46">
        <f t="shared" si="5"/>
        <v>0</v>
      </c>
      <c r="AV46" s="46">
        <f t="shared" si="5"/>
        <v>0</v>
      </c>
      <c r="AW46" s="46">
        <f t="shared" si="5"/>
        <v>0</v>
      </c>
      <c r="AX46" s="46">
        <f t="shared" si="5"/>
        <v>0</v>
      </c>
      <c r="AY46" s="46">
        <f t="shared" si="5"/>
        <v>0</v>
      </c>
      <c r="AZ46" s="46">
        <f t="shared" si="5"/>
        <v>0</v>
      </c>
      <c r="BA46" s="46">
        <f t="shared" si="5"/>
        <v>0</v>
      </c>
      <c r="BB46" s="46">
        <f t="shared" si="5"/>
        <v>0</v>
      </c>
      <c r="BC46" s="46">
        <f t="shared" si="5"/>
        <v>0</v>
      </c>
      <c r="BD46" s="46">
        <f t="shared" si="5"/>
        <v>0</v>
      </c>
      <c r="BE46" s="46">
        <f t="shared" si="5"/>
        <v>0</v>
      </c>
      <c r="BF46" s="46">
        <f t="shared" si="5"/>
        <v>0</v>
      </c>
      <c r="BG46" s="46">
        <f t="shared" si="5"/>
        <v>0</v>
      </c>
      <c r="BH46" s="46">
        <f t="shared" si="5"/>
        <v>0</v>
      </c>
      <c r="BI46" s="46">
        <f t="shared" si="5"/>
        <v>0</v>
      </c>
      <c r="BJ46" s="46">
        <f t="shared" si="5"/>
        <v>0</v>
      </c>
      <c r="BK46" s="46">
        <f t="shared" si="5"/>
        <v>0</v>
      </c>
      <c r="BL46" s="46">
        <f t="shared" si="5"/>
        <v>0</v>
      </c>
    </row>
    <row r="47" spans="1:64" x14ac:dyDescent="0.35">
      <c r="A47" s="1"/>
      <c r="C47" s="2" t="s">
        <v>407</v>
      </c>
      <c r="D47" s="4"/>
      <c r="E47" s="46">
        <f>E146</f>
        <v>6.4704198837280273</v>
      </c>
      <c r="F47" s="46">
        <f t="shared" ref="F47:BL47" si="6">F146</f>
        <v>6.6772418022155762</v>
      </c>
      <c r="G47" s="46">
        <f t="shared" si="6"/>
        <v>6.8866715431213379</v>
      </c>
      <c r="H47" s="46">
        <f t="shared" si="6"/>
        <v>7.0987410545349121</v>
      </c>
      <c r="I47" s="46">
        <f t="shared" si="6"/>
        <v>7.3124146461486816</v>
      </c>
      <c r="J47" s="46">
        <f t="shared" si="6"/>
        <v>7.527705192565918</v>
      </c>
      <c r="K47" s="46">
        <f t="shared" si="6"/>
        <v>8.2636957168579102</v>
      </c>
      <c r="L47" s="46">
        <f t="shared" si="6"/>
        <v>9.0108051300048828</v>
      </c>
      <c r="M47" s="46">
        <f t="shared" si="6"/>
        <v>9.7686376571655273</v>
      </c>
      <c r="N47" s="46">
        <f t="shared" si="6"/>
        <v>10.537333488464355</v>
      </c>
      <c r="O47" s="46">
        <f t="shared" si="6"/>
        <v>11.587108612060547</v>
      </c>
      <c r="P47" s="46">
        <f t="shared" si="6"/>
        <v>12.657020568847656</v>
      </c>
      <c r="Q47" s="46">
        <f t="shared" si="6"/>
        <v>13.747422218322754</v>
      </c>
      <c r="R47" s="46">
        <f t="shared" si="6"/>
        <v>14.858678817749023</v>
      </c>
      <c r="S47" s="46">
        <f t="shared" si="6"/>
        <v>15.991161346435547</v>
      </c>
      <c r="T47" s="46">
        <f t="shared" si="6"/>
        <v>17.145244598388672</v>
      </c>
      <c r="U47" s="46">
        <f t="shared" si="6"/>
        <v>18.321310043334961</v>
      </c>
      <c r="V47" s="46">
        <f t="shared" si="6"/>
        <v>19.519746780395508</v>
      </c>
      <c r="W47" s="46">
        <f t="shared" si="6"/>
        <v>20.740949630737305</v>
      </c>
      <c r="X47" s="46">
        <f t="shared" si="6"/>
        <v>21.985322952270508</v>
      </c>
      <c r="Y47" s="46">
        <f t="shared" si="6"/>
        <v>23.253273010253906</v>
      </c>
      <c r="Z47" s="46">
        <f t="shared" si="6"/>
        <v>24.545215606689453</v>
      </c>
      <c r="AA47" s="46">
        <f t="shared" si="6"/>
        <v>25.861574172973633</v>
      </c>
      <c r="AB47" s="46">
        <f t="shared" si="6"/>
        <v>27.202777862548828</v>
      </c>
      <c r="AC47" s="46">
        <f t="shared" si="6"/>
        <v>28.56926155090332</v>
      </c>
      <c r="AD47" s="46">
        <f t="shared" si="6"/>
        <v>29.961471557617188</v>
      </c>
      <c r="AE47" s="46">
        <f t="shared" si="6"/>
        <v>31.378402709960938</v>
      </c>
      <c r="AF47" s="46">
        <f t="shared" si="6"/>
        <v>32.820446014404297</v>
      </c>
      <c r="AG47" s="46">
        <f t="shared" si="6"/>
        <v>34.994144439697266</v>
      </c>
      <c r="AH47" s="46">
        <f t="shared" si="6"/>
        <v>37.227817535400391</v>
      </c>
      <c r="AI47" s="46">
        <f t="shared" si="6"/>
        <v>39.523044586181641</v>
      </c>
      <c r="AJ47" s="46">
        <f t="shared" si="6"/>
        <v>41.881427764892578</v>
      </c>
      <c r="AK47" s="46">
        <f t="shared" si="6"/>
        <v>44.304622650146484</v>
      </c>
      <c r="AL47" s="46">
        <f t="shared" si="6"/>
        <v>46.794319152832031</v>
      </c>
      <c r="AM47" s="46">
        <f t="shared" si="6"/>
        <v>49.352264404296875</v>
      </c>
      <c r="AN47" s="46">
        <f t="shared" si="6"/>
        <v>51.980228424072266</v>
      </c>
      <c r="AO47" s="46">
        <f t="shared" si="6"/>
        <v>54.680229187011719</v>
      </c>
      <c r="AP47" s="46">
        <f t="shared" si="6"/>
        <v>57.454139709472656</v>
      </c>
      <c r="AQ47" s="46">
        <f t="shared" si="6"/>
        <v>60.528472900390625</v>
      </c>
      <c r="AR47" s="46">
        <f t="shared" si="6"/>
        <v>63.687553405761719</v>
      </c>
      <c r="AS47" s="46">
        <f t="shared" si="6"/>
        <v>0</v>
      </c>
      <c r="AT47" s="46">
        <f t="shared" si="6"/>
        <v>0</v>
      </c>
      <c r="AU47" s="46">
        <f t="shared" si="6"/>
        <v>0</v>
      </c>
      <c r="AV47" s="46">
        <f t="shared" si="6"/>
        <v>0</v>
      </c>
      <c r="AW47" s="46">
        <f t="shared" si="6"/>
        <v>0</v>
      </c>
      <c r="AX47" s="46">
        <f t="shared" si="6"/>
        <v>0</v>
      </c>
      <c r="AY47" s="46">
        <f t="shared" si="6"/>
        <v>0</v>
      </c>
      <c r="AZ47" s="46">
        <f t="shared" si="6"/>
        <v>0</v>
      </c>
      <c r="BA47" s="46">
        <f t="shared" si="6"/>
        <v>0</v>
      </c>
      <c r="BB47" s="46">
        <f t="shared" si="6"/>
        <v>0</v>
      </c>
      <c r="BC47" s="46">
        <f t="shared" si="6"/>
        <v>0</v>
      </c>
      <c r="BD47" s="46">
        <f t="shared" si="6"/>
        <v>0</v>
      </c>
      <c r="BE47" s="46">
        <f t="shared" si="6"/>
        <v>0</v>
      </c>
      <c r="BF47" s="46">
        <f t="shared" si="6"/>
        <v>0</v>
      </c>
      <c r="BG47" s="46">
        <f t="shared" si="6"/>
        <v>0</v>
      </c>
      <c r="BH47" s="46">
        <f t="shared" si="6"/>
        <v>0</v>
      </c>
      <c r="BI47" s="46">
        <f t="shared" si="6"/>
        <v>0</v>
      </c>
      <c r="BJ47" s="46">
        <f t="shared" si="6"/>
        <v>0</v>
      </c>
      <c r="BK47" s="46">
        <f t="shared" si="6"/>
        <v>0</v>
      </c>
      <c r="BL47" s="46">
        <f t="shared" si="6"/>
        <v>0</v>
      </c>
    </row>
    <row r="48" spans="1:64" ht="15" thickBot="1" x14ac:dyDescent="0.4">
      <c r="A48" s="1"/>
      <c r="C48" s="24" t="s">
        <v>2</v>
      </c>
      <c r="D48" s="25"/>
      <c r="E48" s="25">
        <f t="shared" ref="E48:BL48" si="7">E45+E46-E47</f>
        <v>178.52958011627197</v>
      </c>
      <c r="F48" s="25">
        <f t="shared" si="7"/>
        <v>178.32275819778442</v>
      </c>
      <c r="G48" s="25">
        <f t="shared" si="7"/>
        <v>178.11332845687866</v>
      </c>
      <c r="H48" s="25">
        <f t="shared" si="7"/>
        <v>177.90125894546509</v>
      </c>
      <c r="I48" s="25">
        <f t="shared" si="7"/>
        <v>177.68758535385132</v>
      </c>
      <c r="J48" s="25">
        <f t="shared" si="7"/>
        <v>177.47229480743408</v>
      </c>
      <c r="K48" s="25">
        <f t="shared" si="7"/>
        <v>178.58630428314208</v>
      </c>
      <c r="L48" s="25">
        <f t="shared" si="7"/>
        <v>179.70769486999512</v>
      </c>
      <c r="M48" s="25">
        <f t="shared" si="7"/>
        <v>180.83704734283447</v>
      </c>
      <c r="N48" s="25">
        <f t="shared" si="7"/>
        <v>181.97440836153564</v>
      </c>
      <c r="O48" s="25">
        <f t="shared" si="7"/>
        <v>183.81230936568943</v>
      </c>
      <c r="P48" s="25">
        <f t="shared" si="7"/>
        <v>185.67338867856856</v>
      </c>
      <c r="Q48" s="25">
        <f t="shared" si="7"/>
        <v>187.55794316780469</v>
      </c>
      <c r="R48" s="25">
        <f t="shared" si="7"/>
        <v>189.46626704917031</v>
      </c>
      <c r="S48" s="25">
        <f t="shared" si="7"/>
        <v>191.39865870848755</v>
      </c>
      <c r="T48" s="25">
        <f t="shared" si="7"/>
        <v>193.35542275735824</v>
      </c>
      <c r="U48" s="25">
        <f t="shared" si="7"/>
        <v>195.33686732274813</v>
      </c>
      <c r="V48" s="25">
        <f t="shared" si="7"/>
        <v>197.34330324617881</v>
      </c>
      <c r="W48" s="25">
        <f t="shared" si="7"/>
        <v>199.3750461462356</v>
      </c>
      <c r="X48" s="25">
        <f t="shared" si="7"/>
        <v>201.43241276135697</v>
      </c>
      <c r="Y48" s="25">
        <f t="shared" si="7"/>
        <v>203.51572873907796</v>
      </c>
      <c r="Z48" s="25">
        <f t="shared" si="7"/>
        <v>205.62532116888238</v>
      </c>
      <c r="AA48" s="25">
        <f t="shared" si="7"/>
        <v>207.76152065423176</v>
      </c>
      <c r="AB48" s="25">
        <f t="shared" si="7"/>
        <v>209.92466338706461</v>
      </c>
      <c r="AC48" s="25">
        <f t="shared" si="7"/>
        <v>212.1150913174543</v>
      </c>
      <c r="AD48" s="25">
        <f t="shared" si="7"/>
        <v>214.33314660376578</v>
      </c>
      <c r="AE48" s="25">
        <f t="shared" si="7"/>
        <v>216.58063472384276</v>
      </c>
      <c r="AF48" s="25">
        <f t="shared" si="7"/>
        <v>218.85797698090644</v>
      </c>
      <c r="AG48" s="25">
        <f t="shared" si="7"/>
        <v>222.9762391304962</v>
      </c>
      <c r="AH48" s="25">
        <f t="shared" si="7"/>
        <v>227.19182562404791</v>
      </c>
      <c r="AI48" s="25">
        <f t="shared" si="7"/>
        <v>231.50708965225283</v>
      </c>
      <c r="AJ48" s="25">
        <f t="shared" si="7"/>
        <v>235.92445982950272</v>
      </c>
      <c r="AK48" s="25">
        <f t="shared" si="7"/>
        <v>240.4464121341087</v>
      </c>
      <c r="AL48" s="25">
        <f t="shared" si="7"/>
        <v>245.07549150102949</v>
      </c>
      <c r="AM48" s="25">
        <f t="shared" si="7"/>
        <v>249.81429151591118</v>
      </c>
      <c r="AN48" s="25">
        <f t="shared" si="7"/>
        <v>254.66549139414099</v>
      </c>
      <c r="AO48" s="25">
        <f t="shared" si="7"/>
        <v>259.63163362665682</v>
      </c>
      <c r="AP48" s="25">
        <f t="shared" si="7"/>
        <v>264.71551967453757</v>
      </c>
      <c r="AQ48" s="25">
        <f t="shared" si="7"/>
        <v>269.69542796821986</v>
      </c>
      <c r="AR48" s="25">
        <f t="shared" si="7"/>
        <v>274.791944984564</v>
      </c>
      <c r="AS48" s="25">
        <f t="shared" si="7"/>
        <v>346.94148585008384</v>
      </c>
      <c r="AT48" s="25">
        <f t="shared" si="7"/>
        <v>355.61502299633588</v>
      </c>
      <c r="AU48" s="25">
        <f t="shared" si="7"/>
        <v>364.50539857124426</v>
      </c>
      <c r="AV48" s="25">
        <f t="shared" si="7"/>
        <v>373.61803353552534</v>
      </c>
      <c r="AW48" s="25">
        <f t="shared" si="7"/>
        <v>382.95848437391345</v>
      </c>
      <c r="AX48" s="25">
        <f t="shared" si="7"/>
        <v>392.53244648326125</v>
      </c>
      <c r="AY48" s="25">
        <f t="shared" si="7"/>
        <v>402.34575764534276</v>
      </c>
      <c r="AZ48" s="25">
        <f t="shared" si="7"/>
        <v>412.4044015864763</v>
      </c>
      <c r="BA48" s="25">
        <f t="shared" si="7"/>
        <v>422.71451162613818</v>
      </c>
      <c r="BB48" s="25">
        <f t="shared" si="7"/>
        <v>433.28237441679158</v>
      </c>
      <c r="BC48" s="25">
        <f t="shared" si="7"/>
        <v>444.11443377721133</v>
      </c>
      <c r="BD48" s="25">
        <f t="shared" si="7"/>
        <v>455.2172946216416</v>
      </c>
      <c r="BE48" s="25">
        <f t="shared" si="7"/>
        <v>466.59772698718263</v>
      </c>
      <c r="BF48" s="25">
        <f t="shared" si="7"/>
        <v>478.26267016186216</v>
      </c>
      <c r="BG48" s="25">
        <f t="shared" si="7"/>
        <v>490.21923691590865</v>
      </c>
      <c r="BH48" s="25">
        <f t="shared" si="7"/>
        <v>502.47471783880633</v>
      </c>
      <c r="BI48" s="25">
        <f t="shared" si="7"/>
        <v>515.03658578477643</v>
      </c>
      <c r="BJ48" s="25">
        <f t="shared" si="7"/>
        <v>527.91250042939578</v>
      </c>
      <c r="BK48" s="25">
        <f t="shared" si="7"/>
        <v>541.1103129401306</v>
      </c>
      <c r="BL48" s="25">
        <f t="shared" si="7"/>
        <v>554.63807076363378</v>
      </c>
    </row>
    <row r="49" spans="1:64" x14ac:dyDescent="0.35">
      <c r="A49" s="1"/>
      <c r="C49" s="10" t="s">
        <v>122</v>
      </c>
      <c r="D49" s="46"/>
      <c r="E49" s="46">
        <f t="shared" ref="E49:BL49" si="8">E48*E41</f>
        <v>178.52958011627197</v>
      </c>
      <c r="F49" s="46">
        <f t="shared" si="8"/>
        <v>178.32275819778442</v>
      </c>
      <c r="G49" s="46">
        <f t="shared" si="8"/>
        <v>178.11332845687866</v>
      </c>
      <c r="H49" s="46">
        <f t="shared" si="8"/>
        <v>177.90125894546509</v>
      </c>
      <c r="I49" s="46">
        <f t="shared" si="8"/>
        <v>177.68758535385132</v>
      </c>
      <c r="J49" s="46">
        <f t="shared" si="8"/>
        <v>177.47229480743408</v>
      </c>
      <c r="K49" s="46">
        <f t="shared" si="8"/>
        <v>178.58630428314208</v>
      </c>
      <c r="L49" s="46">
        <f t="shared" si="8"/>
        <v>179.70769486999512</v>
      </c>
      <c r="M49" s="46">
        <f t="shared" si="8"/>
        <v>180.83704734283447</v>
      </c>
      <c r="N49" s="46">
        <f t="shared" si="8"/>
        <v>181.97440836153564</v>
      </c>
      <c r="O49" s="46">
        <f t="shared" si="8"/>
        <v>183.81230936568943</v>
      </c>
      <c r="P49" s="46">
        <f t="shared" si="8"/>
        <v>185.67338867856856</v>
      </c>
      <c r="Q49" s="46">
        <f t="shared" si="8"/>
        <v>187.55794316780469</v>
      </c>
      <c r="R49" s="46">
        <f t="shared" si="8"/>
        <v>189.46626704917031</v>
      </c>
      <c r="S49" s="46">
        <f t="shared" si="8"/>
        <v>191.39865870848755</v>
      </c>
      <c r="T49" s="46">
        <f t="shared" si="8"/>
        <v>193.35542275735824</v>
      </c>
      <c r="U49" s="46">
        <f t="shared" si="8"/>
        <v>195.33686732274813</v>
      </c>
      <c r="V49" s="46">
        <f t="shared" si="8"/>
        <v>197.34330324617881</v>
      </c>
      <c r="W49" s="46">
        <f t="shared" si="8"/>
        <v>199.3750461462356</v>
      </c>
      <c r="X49" s="46">
        <f t="shared" si="8"/>
        <v>201.43241276135697</v>
      </c>
      <c r="Y49" s="46">
        <f t="shared" si="8"/>
        <v>203.51572873907796</v>
      </c>
      <c r="Z49" s="46">
        <f t="shared" si="8"/>
        <v>205.62532116888238</v>
      </c>
      <c r="AA49" s="46">
        <f t="shared" si="8"/>
        <v>207.76152065423176</v>
      </c>
      <c r="AB49" s="46">
        <f t="shared" si="8"/>
        <v>209.92466338706461</v>
      </c>
      <c r="AC49" s="46">
        <f t="shared" si="8"/>
        <v>212.1150913174543</v>
      </c>
      <c r="AD49" s="46">
        <f t="shared" si="8"/>
        <v>214.33314660376578</v>
      </c>
      <c r="AE49" s="46">
        <f t="shared" si="8"/>
        <v>216.58063472384276</v>
      </c>
      <c r="AF49" s="46">
        <f t="shared" si="8"/>
        <v>218.85797698090644</v>
      </c>
      <c r="AG49" s="46">
        <f t="shared" si="8"/>
        <v>222.9762391304962</v>
      </c>
      <c r="AH49" s="46">
        <f t="shared" si="8"/>
        <v>227.19182562404791</v>
      </c>
      <c r="AI49" s="46">
        <f t="shared" si="8"/>
        <v>231.50708965225283</v>
      </c>
      <c r="AJ49" s="46">
        <f t="shared" si="8"/>
        <v>235.92445982950272</v>
      </c>
      <c r="AK49" s="46">
        <f t="shared" si="8"/>
        <v>240.4464121341087</v>
      </c>
      <c r="AL49" s="46">
        <f t="shared" si="8"/>
        <v>245.07549150102949</v>
      </c>
      <c r="AM49" s="46">
        <f t="shared" si="8"/>
        <v>249.81429151591118</v>
      </c>
      <c r="AN49" s="46">
        <f t="shared" si="8"/>
        <v>254.66549139414099</v>
      </c>
      <c r="AO49" s="46">
        <f t="shared" si="8"/>
        <v>259.63163362665682</v>
      </c>
      <c r="AP49" s="46">
        <f t="shared" si="8"/>
        <v>264.71551967453757</v>
      </c>
      <c r="AQ49" s="46">
        <f t="shared" si="8"/>
        <v>269.69542796821986</v>
      </c>
      <c r="AR49" s="46">
        <f t="shared" si="8"/>
        <v>274.791944984564</v>
      </c>
      <c r="AS49" s="46">
        <f t="shared" si="8"/>
        <v>0</v>
      </c>
      <c r="AT49" s="46">
        <f t="shared" si="8"/>
        <v>0</v>
      </c>
      <c r="AU49" s="46">
        <f t="shared" si="8"/>
        <v>0</v>
      </c>
      <c r="AV49" s="46">
        <f t="shared" si="8"/>
        <v>0</v>
      </c>
      <c r="AW49" s="46">
        <f t="shared" si="8"/>
        <v>0</v>
      </c>
      <c r="AX49" s="46">
        <f t="shared" si="8"/>
        <v>0</v>
      </c>
      <c r="AY49" s="46">
        <f t="shared" si="8"/>
        <v>0</v>
      </c>
      <c r="AZ49" s="46">
        <f t="shared" si="8"/>
        <v>0</v>
      </c>
      <c r="BA49" s="46">
        <f t="shared" si="8"/>
        <v>0</v>
      </c>
      <c r="BB49" s="46">
        <f t="shared" si="8"/>
        <v>0</v>
      </c>
      <c r="BC49" s="46">
        <f t="shared" si="8"/>
        <v>0</v>
      </c>
      <c r="BD49" s="46">
        <f t="shared" si="8"/>
        <v>0</v>
      </c>
      <c r="BE49" s="46">
        <f t="shared" si="8"/>
        <v>0</v>
      </c>
      <c r="BF49" s="46">
        <f t="shared" si="8"/>
        <v>0</v>
      </c>
      <c r="BG49" s="46">
        <f t="shared" si="8"/>
        <v>0</v>
      </c>
      <c r="BH49" s="46">
        <f t="shared" si="8"/>
        <v>0</v>
      </c>
      <c r="BI49" s="46">
        <f t="shared" si="8"/>
        <v>0</v>
      </c>
      <c r="BJ49" s="46">
        <f t="shared" si="8"/>
        <v>0</v>
      </c>
      <c r="BK49" s="46">
        <f t="shared" si="8"/>
        <v>0</v>
      </c>
      <c r="BL49" s="46">
        <f t="shared" si="8"/>
        <v>0</v>
      </c>
    </row>
    <row r="50" spans="1:64" x14ac:dyDescent="0.35">
      <c r="A50" s="1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</row>
    <row r="51" spans="1:64" x14ac:dyDescent="0.35">
      <c r="A51" s="1"/>
      <c r="C51" s="2" t="s">
        <v>171</v>
      </c>
      <c r="E51" s="4">
        <f>E143</f>
        <v>1.0217981338500977</v>
      </c>
      <c r="F51" s="4">
        <f t="shared" ref="F51:BL51" si="9">F143</f>
        <v>1.0205897092819214</v>
      </c>
      <c r="G51" s="4">
        <f t="shared" si="9"/>
        <v>1.0193692445755005</v>
      </c>
      <c r="H51" s="4">
        <f t="shared" si="9"/>
        <v>1.0181394815444946</v>
      </c>
      <c r="I51" s="4">
        <f t="shared" si="9"/>
        <v>1.0207159519195557</v>
      </c>
      <c r="J51" s="4">
        <f t="shared" si="9"/>
        <v>1.0271241664886475</v>
      </c>
      <c r="K51" s="4">
        <f t="shared" si="9"/>
        <v>1.0335763692855835</v>
      </c>
      <c r="L51" s="4">
        <f t="shared" si="9"/>
        <v>1.040074348449707</v>
      </c>
      <c r="M51" s="4">
        <f t="shared" si="9"/>
        <v>1.0486035346984863</v>
      </c>
      <c r="N51" s="4">
        <f t="shared" si="9"/>
        <v>1.0592074394226074</v>
      </c>
      <c r="O51" s="4">
        <f t="shared" si="9"/>
        <v>1.0699450969696045</v>
      </c>
      <c r="P51" s="4">
        <f t="shared" si="9"/>
        <v>1.0808181762695313</v>
      </c>
      <c r="Q51" s="4">
        <f t="shared" si="9"/>
        <v>1.091828465461731</v>
      </c>
      <c r="R51" s="4">
        <f t="shared" si="9"/>
        <v>1.1029773950576782</v>
      </c>
      <c r="S51" s="4">
        <f t="shared" si="9"/>
        <v>1.1142672300338745</v>
      </c>
      <c r="T51" s="4">
        <f t="shared" si="9"/>
        <v>1.1256992816925049</v>
      </c>
      <c r="U51" s="4">
        <f t="shared" si="9"/>
        <v>1.1372755765914917</v>
      </c>
      <c r="V51" s="4">
        <f t="shared" si="9"/>
        <v>1.1489977836608887</v>
      </c>
      <c r="W51" s="4">
        <f t="shared" si="9"/>
        <v>1.1608679294586182</v>
      </c>
      <c r="X51" s="4">
        <f t="shared" si="9"/>
        <v>1.1728878021240234</v>
      </c>
      <c r="Y51" s="4">
        <f t="shared" si="9"/>
        <v>1.1850591897964478</v>
      </c>
      <c r="Z51" s="4">
        <f t="shared" si="9"/>
        <v>1.197384238243103</v>
      </c>
      <c r="AA51" s="4">
        <f t="shared" si="9"/>
        <v>1.209864616394043</v>
      </c>
      <c r="AB51" s="4">
        <f t="shared" si="9"/>
        <v>1.2225024700164795</v>
      </c>
      <c r="AC51" s="4">
        <f t="shared" si="9"/>
        <v>1.2353037595748901</v>
      </c>
      <c r="AD51" s="4">
        <f t="shared" si="9"/>
        <v>1.2482752799987793</v>
      </c>
      <c r="AE51" s="4">
        <f t="shared" si="9"/>
        <v>1.2666095495223999</v>
      </c>
      <c r="AF51" s="4">
        <f t="shared" si="9"/>
        <v>1.2905001640319824</v>
      </c>
      <c r="AG51" s="4">
        <f t="shared" si="9"/>
        <v>1.3149557113647461</v>
      </c>
      <c r="AH51" s="4">
        <f t="shared" si="9"/>
        <v>1.3399896621704102</v>
      </c>
      <c r="AI51" s="4">
        <f t="shared" si="9"/>
        <v>1.3656159639358521</v>
      </c>
      <c r="AJ51" s="4">
        <f t="shared" si="9"/>
        <v>1.3918493986129761</v>
      </c>
      <c r="AK51" s="4">
        <f t="shared" si="9"/>
        <v>1.4187043905258179</v>
      </c>
      <c r="AL51" s="4">
        <f t="shared" si="9"/>
        <v>1.4461959600448608</v>
      </c>
      <c r="AM51" s="4">
        <f t="shared" si="9"/>
        <v>1.4743396043777466</v>
      </c>
      <c r="AN51" s="4">
        <f t="shared" si="9"/>
        <v>1.5031499862670898</v>
      </c>
      <c r="AO51" s="4">
        <f t="shared" si="9"/>
        <v>1.531999945640564</v>
      </c>
      <c r="AP51" s="4">
        <f t="shared" si="9"/>
        <v>1.5608862638473511</v>
      </c>
      <c r="AQ51" s="4">
        <f t="shared" si="9"/>
        <v>0.78774815797805786</v>
      </c>
      <c r="AR51" s="4">
        <f t="shared" si="9"/>
        <v>0</v>
      </c>
      <c r="AS51" s="4">
        <f t="shared" si="9"/>
        <v>0</v>
      </c>
      <c r="AT51" s="4">
        <f t="shared" si="9"/>
        <v>0</v>
      </c>
      <c r="AU51" s="4">
        <f t="shared" si="9"/>
        <v>0</v>
      </c>
      <c r="AV51" s="4">
        <f t="shared" si="9"/>
        <v>0</v>
      </c>
      <c r="AW51" s="4">
        <f t="shared" si="9"/>
        <v>0</v>
      </c>
      <c r="AX51" s="4">
        <f t="shared" si="9"/>
        <v>0</v>
      </c>
      <c r="AY51" s="4">
        <f t="shared" si="9"/>
        <v>0</v>
      </c>
      <c r="AZ51" s="4">
        <f t="shared" si="9"/>
        <v>0</v>
      </c>
      <c r="BA51" s="4">
        <f t="shared" si="9"/>
        <v>0</v>
      </c>
      <c r="BB51" s="4">
        <f t="shared" si="9"/>
        <v>0</v>
      </c>
      <c r="BC51" s="4">
        <f t="shared" si="9"/>
        <v>0</v>
      </c>
      <c r="BD51" s="4">
        <f t="shared" si="9"/>
        <v>0</v>
      </c>
      <c r="BE51" s="4">
        <f t="shared" si="9"/>
        <v>0</v>
      </c>
      <c r="BF51" s="4">
        <f t="shared" si="9"/>
        <v>0</v>
      </c>
      <c r="BG51" s="4">
        <f t="shared" si="9"/>
        <v>0</v>
      </c>
      <c r="BH51" s="4">
        <f t="shared" si="9"/>
        <v>0</v>
      </c>
      <c r="BI51" s="4">
        <f t="shared" si="9"/>
        <v>0</v>
      </c>
      <c r="BJ51" s="4">
        <f t="shared" si="9"/>
        <v>0</v>
      </c>
      <c r="BK51" s="4">
        <f t="shared" si="9"/>
        <v>0</v>
      </c>
      <c r="BL51" s="4">
        <f t="shared" si="9"/>
        <v>0</v>
      </c>
    </row>
    <row r="52" spans="1:64" x14ac:dyDescent="0.35">
      <c r="A52" s="1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</row>
    <row r="53" spans="1:64" x14ac:dyDescent="0.35">
      <c r="A53" s="1"/>
      <c r="C53" s="2" t="s">
        <v>72</v>
      </c>
      <c r="E53" s="12">
        <f t="shared" ref="E53:BL53" si="10">LOOKUP(E40,6:6,7:7)/2</f>
        <v>1.4999999999999999E-2</v>
      </c>
      <c r="F53" s="12">
        <f t="shared" si="10"/>
        <v>1.4999999999999999E-2</v>
      </c>
      <c r="G53" s="12">
        <f t="shared" si="10"/>
        <v>1.4999999999999999E-2</v>
      </c>
      <c r="H53" s="12">
        <f t="shared" si="10"/>
        <v>1.4999999999999999E-2</v>
      </c>
      <c r="I53" s="12">
        <f t="shared" si="10"/>
        <v>1.4999999999999999E-2</v>
      </c>
      <c r="J53" s="12">
        <f t="shared" si="10"/>
        <v>1.4999999999999999E-2</v>
      </c>
      <c r="K53" s="12">
        <f t="shared" si="10"/>
        <v>1.4999999999999999E-2</v>
      </c>
      <c r="L53" s="12">
        <f t="shared" si="10"/>
        <v>1.4999999999999999E-2</v>
      </c>
      <c r="M53" s="12">
        <f t="shared" si="10"/>
        <v>1.4999999999999999E-2</v>
      </c>
      <c r="N53" s="12">
        <f t="shared" si="10"/>
        <v>1.4999999999999999E-2</v>
      </c>
      <c r="O53" s="12">
        <f t="shared" si="10"/>
        <v>1.4999999999999999E-2</v>
      </c>
      <c r="P53" s="12">
        <f t="shared" si="10"/>
        <v>1.4999999999999999E-2</v>
      </c>
      <c r="Q53" s="12">
        <f t="shared" si="10"/>
        <v>1.4999999999999999E-2</v>
      </c>
      <c r="R53" s="12">
        <f t="shared" si="10"/>
        <v>1.4999999999999999E-2</v>
      </c>
      <c r="S53" s="12">
        <f t="shared" si="10"/>
        <v>1.4999999999999999E-2</v>
      </c>
      <c r="T53" s="12">
        <f t="shared" si="10"/>
        <v>1.4999999999999999E-2</v>
      </c>
      <c r="U53" s="12">
        <f t="shared" si="10"/>
        <v>1.4999999999999999E-2</v>
      </c>
      <c r="V53" s="12">
        <f t="shared" si="10"/>
        <v>1.4999999999999999E-2</v>
      </c>
      <c r="W53" s="12">
        <f t="shared" si="10"/>
        <v>1.4999999999999999E-2</v>
      </c>
      <c r="X53" s="12">
        <f t="shared" si="10"/>
        <v>1.4999999999999999E-2</v>
      </c>
      <c r="Y53" s="12">
        <f t="shared" si="10"/>
        <v>1.4999999999999999E-2</v>
      </c>
      <c r="Z53" s="12">
        <f t="shared" si="10"/>
        <v>1.4999999999999999E-2</v>
      </c>
      <c r="AA53" s="12">
        <f t="shared" si="10"/>
        <v>1.4999999999999999E-2</v>
      </c>
      <c r="AB53" s="12">
        <f t="shared" si="10"/>
        <v>1.4999999999999999E-2</v>
      </c>
      <c r="AC53" s="12">
        <f t="shared" si="10"/>
        <v>1.4999999999999999E-2</v>
      </c>
      <c r="AD53" s="12">
        <f t="shared" si="10"/>
        <v>1.4999999999999999E-2</v>
      </c>
      <c r="AE53" s="12">
        <f t="shared" si="10"/>
        <v>1.4999999999999999E-2</v>
      </c>
      <c r="AF53" s="12">
        <f t="shared" si="10"/>
        <v>1.4999999999999999E-2</v>
      </c>
      <c r="AG53" s="12">
        <f t="shared" si="10"/>
        <v>1.4999999999999999E-2</v>
      </c>
      <c r="AH53" s="12">
        <f t="shared" si="10"/>
        <v>1.4999999999999999E-2</v>
      </c>
      <c r="AI53" s="12">
        <f t="shared" si="10"/>
        <v>1.4999999999999999E-2</v>
      </c>
      <c r="AJ53" s="12">
        <f t="shared" si="10"/>
        <v>1.4999999999999999E-2</v>
      </c>
      <c r="AK53" s="12">
        <f t="shared" si="10"/>
        <v>1.4999999999999999E-2</v>
      </c>
      <c r="AL53" s="12">
        <f t="shared" si="10"/>
        <v>1.4999999999999999E-2</v>
      </c>
      <c r="AM53" s="12">
        <f t="shared" si="10"/>
        <v>1.4999999999999999E-2</v>
      </c>
      <c r="AN53" s="12">
        <f t="shared" si="10"/>
        <v>1.4999999999999999E-2</v>
      </c>
      <c r="AO53" s="12">
        <f t="shared" si="10"/>
        <v>1.4999999999999999E-2</v>
      </c>
      <c r="AP53" s="12">
        <f t="shared" si="10"/>
        <v>1.4999999999999999E-2</v>
      </c>
      <c r="AQ53" s="12">
        <f t="shared" si="10"/>
        <v>1.4999999999999999E-2</v>
      </c>
      <c r="AR53" s="12">
        <f t="shared" si="10"/>
        <v>1.4999999999999999E-2</v>
      </c>
      <c r="AS53" s="12">
        <f t="shared" si="10"/>
        <v>1.4999999999999999E-2</v>
      </c>
      <c r="AT53" s="12">
        <f t="shared" si="10"/>
        <v>1.4999999999999999E-2</v>
      </c>
      <c r="AU53" s="12">
        <f t="shared" si="10"/>
        <v>1.4999999999999999E-2</v>
      </c>
      <c r="AV53" s="12">
        <f t="shared" si="10"/>
        <v>1.4999999999999999E-2</v>
      </c>
      <c r="AW53" s="12">
        <f t="shared" si="10"/>
        <v>1.4999999999999999E-2</v>
      </c>
      <c r="AX53" s="12">
        <f t="shared" si="10"/>
        <v>1.4999999999999999E-2</v>
      </c>
      <c r="AY53" s="12">
        <f t="shared" si="10"/>
        <v>1.4999999999999999E-2</v>
      </c>
      <c r="AZ53" s="12">
        <f t="shared" si="10"/>
        <v>1.4999999999999999E-2</v>
      </c>
      <c r="BA53" s="12">
        <f t="shared" si="10"/>
        <v>1.4999999999999999E-2</v>
      </c>
      <c r="BB53" s="12">
        <f t="shared" si="10"/>
        <v>1.4999999999999999E-2</v>
      </c>
      <c r="BC53" s="12">
        <f t="shared" si="10"/>
        <v>1.4999999999999999E-2</v>
      </c>
      <c r="BD53" s="12">
        <f t="shared" si="10"/>
        <v>1.4999999999999999E-2</v>
      </c>
      <c r="BE53" s="12">
        <f t="shared" si="10"/>
        <v>1.4999999999999999E-2</v>
      </c>
      <c r="BF53" s="12">
        <f t="shared" si="10"/>
        <v>1.4999999999999999E-2</v>
      </c>
      <c r="BG53" s="12">
        <f t="shared" si="10"/>
        <v>1.4999999999999999E-2</v>
      </c>
      <c r="BH53" s="12">
        <f t="shared" si="10"/>
        <v>1.4999999999999999E-2</v>
      </c>
      <c r="BI53" s="12">
        <f t="shared" si="10"/>
        <v>1.4999999999999999E-2</v>
      </c>
      <c r="BJ53" s="12">
        <f t="shared" si="10"/>
        <v>1.4999999999999999E-2</v>
      </c>
      <c r="BK53" s="12">
        <f t="shared" si="10"/>
        <v>1.4999999999999999E-2</v>
      </c>
      <c r="BL53" s="12">
        <f t="shared" si="10"/>
        <v>1.4999999999999999E-2</v>
      </c>
    </row>
    <row r="54" spans="1:64" x14ac:dyDescent="0.35">
      <c r="A54" s="1"/>
      <c r="C54" s="2" t="s">
        <v>89</v>
      </c>
      <c r="D54" s="15">
        <v>1</v>
      </c>
      <c r="E54" s="4">
        <f t="shared" ref="E54:BL54" si="11">D54*(1+E53)</f>
        <v>1.0149999999999999</v>
      </c>
      <c r="F54" s="4">
        <f t="shared" si="11"/>
        <v>1.0302249999999997</v>
      </c>
      <c r="G54" s="4">
        <f t="shared" si="11"/>
        <v>1.0456783749999996</v>
      </c>
      <c r="H54" s="4">
        <f t="shared" si="11"/>
        <v>1.0613635506249994</v>
      </c>
      <c r="I54" s="4">
        <f t="shared" si="11"/>
        <v>1.0772840038843743</v>
      </c>
      <c r="J54" s="4">
        <f t="shared" si="11"/>
        <v>1.0934432639426397</v>
      </c>
      <c r="K54" s="4">
        <f t="shared" si="11"/>
        <v>1.1098449129017791</v>
      </c>
      <c r="L54" s="4">
        <f t="shared" si="11"/>
        <v>1.1264925865953057</v>
      </c>
      <c r="M54" s="4">
        <f t="shared" si="11"/>
        <v>1.1433899753942351</v>
      </c>
      <c r="N54" s="4">
        <f t="shared" si="11"/>
        <v>1.1605408250251485</v>
      </c>
      <c r="O54" s="4">
        <f t="shared" si="11"/>
        <v>1.1779489374005256</v>
      </c>
      <c r="P54" s="4">
        <f t="shared" si="11"/>
        <v>1.1956181714615335</v>
      </c>
      <c r="Q54" s="4">
        <f t="shared" si="11"/>
        <v>1.2135524440334564</v>
      </c>
      <c r="R54" s="4">
        <f t="shared" si="11"/>
        <v>1.2317557306939582</v>
      </c>
      <c r="S54" s="4">
        <f t="shared" si="11"/>
        <v>1.2502320666543674</v>
      </c>
      <c r="T54" s="4">
        <f t="shared" si="11"/>
        <v>1.2689855476541827</v>
      </c>
      <c r="U54" s="4">
        <f t="shared" si="11"/>
        <v>1.2880203308689953</v>
      </c>
      <c r="V54" s="4">
        <f t="shared" si="11"/>
        <v>1.3073406358320301</v>
      </c>
      <c r="W54" s="4">
        <f t="shared" si="11"/>
        <v>1.3269507453695104</v>
      </c>
      <c r="X54" s="4">
        <f t="shared" si="11"/>
        <v>1.3468550065500529</v>
      </c>
      <c r="Y54" s="4">
        <f t="shared" si="11"/>
        <v>1.3670578316483035</v>
      </c>
      <c r="Z54" s="4">
        <f t="shared" si="11"/>
        <v>1.387563699123028</v>
      </c>
      <c r="AA54" s="4">
        <f t="shared" si="11"/>
        <v>1.4083771546098733</v>
      </c>
      <c r="AB54" s="4">
        <f t="shared" si="11"/>
        <v>1.4295028119290214</v>
      </c>
      <c r="AC54" s="4">
        <f t="shared" si="11"/>
        <v>1.4509453541079567</v>
      </c>
      <c r="AD54" s="4">
        <f t="shared" si="11"/>
        <v>1.472709534419576</v>
      </c>
      <c r="AE54" s="4">
        <f t="shared" si="11"/>
        <v>1.4948001774358695</v>
      </c>
      <c r="AF54" s="4">
        <f t="shared" si="11"/>
        <v>1.5172221800974073</v>
      </c>
      <c r="AG54" s="4">
        <f t="shared" si="11"/>
        <v>1.5399805127988682</v>
      </c>
      <c r="AH54" s="4">
        <f t="shared" si="11"/>
        <v>1.5630802204908509</v>
      </c>
      <c r="AI54" s="4">
        <f t="shared" si="11"/>
        <v>1.5865264237982135</v>
      </c>
      <c r="AJ54" s="4">
        <f t="shared" si="11"/>
        <v>1.6103243201551867</v>
      </c>
      <c r="AK54" s="4">
        <f t="shared" si="11"/>
        <v>1.6344791849575142</v>
      </c>
      <c r="AL54" s="4">
        <f t="shared" si="11"/>
        <v>1.6589963727318768</v>
      </c>
      <c r="AM54" s="4">
        <f t="shared" si="11"/>
        <v>1.6838813183228549</v>
      </c>
      <c r="AN54" s="4">
        <f t="shared" si="11"/>
        <v>1.7091395380976975</v>
      </c>
      <c r="AO54" s="4">
        <f t="shared" si="11"/>
        <v>1.7347766311691628</v>
      </c>
      <c r="AP54" s="4">
        <f t="shared" si="11"/>
        <v>1.7607982806367002</v>
      </c>
      <c r="AQ54" s="4">
        <f t="shared" si="11"/>
        <v>1.7872102548462505</v>
      </c>
      <c r="AR54" s="4">
        <f t="shared" si="11"/>
        <v>1.8140184086689441</v>
      </c>
      <c r="AS54" s="4">
        <f t="shared" si="11"/>
        <v>1.8412286847989781</v>
      </c>
      <c r="AT54" s="4">
        <f t="shared" si="11"/>
        <v>1.8688471150709625</v>
      </c>
      <c r="AU54" s="4">
        <f t="shared" si="11"/>
        <v>1.8968798217970266</v>
      </c>
      <c r="AV54" s="4">
        <f t="shared" si="11"/>
        <v>1.9253330191239819</v>
      </c>
      <c r="AW54" s="4">
        <f t="shared" si="11"/>
        <v>1.9542130144108414</v>
      </c>
      <c r="AX54" s="4">
        <f t="shared" si="11"/>
        <v>1.9835262096270039</v>
      </c>
      <c r="AY54" s="4">
        <f t="shared" si="11"/>
        <v>2.0132791027714085</v>
      </c>
      <c r="AZ54" s="4">
        <f t="shared" si="11"/>
        <v>2.0434782893129793</v>
      </c>
      <c r="BA54" s="4">
        <f t="shared" si="11"/>
        <v>2.0741304636526738</v>
      </c>
      <c r="BB54" s="4">
        <f t="shared" si="11"/>
        <v>2.1052424206074636</v>
      </c>
      <c r="BC54" s="4">
        <f t="shared" si="11"/>
        <v>2.1368210569165753</v>
      </c>
      <c r="BD54" s="4">
        <f t="shared" si="11"/>
        <v>2.1688733727703235</v>
      </c>
      <c r="BE54" s="4">
        <f t="shared" si="11"/>
        <v>2.2014064733618781</v>
      </c>
      <c r="BF54" s="4">
        <f t="shared" si="11"/>
        <v>2.234427570462306</v>
      </c>
      <c r="BG54" s="4">
        <f t="shared" si="11"/>
        <v>2.2679439840192406</v>
      </c>
      <c r="BH54" s="4">
        <f t="shared" si="11"/>
        <v>2.3019631437795289</v>
      </c>
      <c r="BI54" s="4">
        <f t="shared" si="11"/>
        <v>2.3364925909362215</v>
      </c>
      <c r="BJ54" s="4">
        <f t="shared" si="11"/>
        <v>2.3715399798002648</v>
      </c>
      <c r="BK54" s="4">
        <f t="shared" si="11"/>
        <v>2.4071130794972686</v>
      </c>
      <c r="BL54" s="4">
        <f t="shared" si="11"/>
        <v>2.4432197756897276</v>
      </c>
    </row>
    <row r="55" spans="1:64" x14ac:dyDescent="0.35">
      <c r="A55" s="1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</row>
    <row r="56" spans="1:64" s="40" customFormat="1" x14ac:dyDescent="0.35">
      <c r="A56" s="40" t="s">
        <v>535</v>
      </c>
      <c r="E56" s="175"/>
      <c r="F56" s="175"/>
      <c r="G56" s="175"/>
      <c r="H56" s="175"/>
      <c r="I56" s="175"/>
      <c r="J56" s="175"/>
      <c r="K56" s="175"/>
      <c r="L56" s="175"/>
      <c r="M56" s="175"/>
      <c r="N56" s="175"/>
      <c r="O56" s="175"/>
      <c r="P56" s="175"/>
      <c r="Q56" s="175"/>
      <c r="R56" s="175"/>
      <c r="S56" s="175"/>
      <c r="T56" s="175"/>
      <c r="U56" s="175"/>
      <c r="V56" s="175"/>
      <c r="W56" s="175"/>
      <c r="X56" s="175"/>
      <c r="Y56" s="175"/>
      <c r="Z56" s="175"/>
      <c r="AA56" s="175"/>
      <c r="AB56" s="175"/>
      <c r="AC56" s="175"/>
      <c r="AD56" s="175"/>
      <c r="AE56" s="175"/>
      <c r="AF56" s="175"/>
      <c r="AG56" s="175"/>
      <c r="AH56" s="175"/>
      <c r="AI56" s="175"/>
      <c r="AJ56" s="175"/>
      <c r="AK56" s="175"/>
      <c r="AL56" s="175"/>
      <c r="AM56" s="175"/>
      <c r="AN56" s="175"/>
      <c r="AO56" s="175"/>
      <c r="AP56" s="175"/>
      <c r="AQ56" s="175"/>
      <c r="AR56" s="175"/>
      <c r="AS56" s="175"/>
      <c r="AT56" s="175"/>
      <c r="AU56" s="175"/>
      <c r="AV56" s="175"/>
      <c r="AW56" s="175"/>
      <c r="AX56" s="175"/>
      <c r="AY56" s="175"/>
      <c r="AZ56" s="175"/>
      <c r="BA56" s="175"/>
      <c r="BB56" s="175"/>
      <c r="BC56" s="175"/>
      <c r="BD56" s="175"/>
      <c r="BE56" s="175"/>
      <c r="BF56" s="175"/>
      <c r="BG56" s="175"/>
      <c r="BH56" s="175"/>
      <c r="BI56" s="175"/>
      <c r="BJ56" s="175"/>
      <c r="BK56" s="175"/>
      <c r="BL56" s="175"/>
    </row>
    <row r="57" spans="1:64" x14ac:dyDescent="0.35">
      <c r="A57" s="1"/>
      <c r="C57" s="2" t="s">
        <v>534</v>
      </c>
      <c r="E57" s="4">
        <f>E142</f>
        <v>102.35842132568359</v>
      </c>
      <c r="F57" s="4">
        <f t="shared" ref="F57:BL57" si="12">F142</f>
        <v>102.23984527587891</v>
      </c>
      <c r="G57" s="4">
        <f t="shared" si="12"/>
        <v>102.11976623535156</v>
      </c>
      <c r="H57" s="4">
        <f t="shared" si="12"/>
        <v>101.99818420410156</v>
      </c>
      <c r="I57" s="4">
        <f t="shared" si="12"/>
        <v>101.87567138671875</v>
      </c>
      <c r="J57" s="4">
        <f t="shared" si="12"/>
        <v>101.75223541259766</v>
      </c>
      <c r="K57" s="4">
        <f t="shared" si="12"/>
        <v>102.39094543457031</v>
      </c>
      <c r="L57" s="4">
        <f t="shared" si="12"/>
        <v>103.03388977050781</v>
      </c>
      <c r="M57" s="4">
        <f t="shared" si="12"/>
        <v>103.68138885498047</v>
      </c>
      <c r="N57" s="4">
        <f t="shared" si="12"/>
        <v>104.33348846435547</v>
      </c>
      <c r="O57" s="4">
        <f t="shared" si="12"/>
        <v>105.38722991943359</v>
      </c>
      <c r="P57" s="4">
        <f t="shared" si="12"/>
        <v>106.45426940917969</v>
      </c>
      <c r="Q57" s="4">
        <f t="shared" si="12"/>
        <v>107.53475952148438</v>
      </c>
      <c r="R57" s="4">
        <f t="shared" si="12"/>
        <v>108.62888336181641</v>
      </c>
      <c r="S57" s="4">
        <f t="shared" si="12"/>
        <v>109.73680114746094</v>
      </c>
      <c r="T57" s="4">
        <f t="shared" si="12"/>
        <v>110.85869598388672</v>
      </c>
      <c r="U57" s="4">
        <f t="shared" si="12"/>
        <v>111.99474334716797</v>
      </c>
      <c r="V57" s="4">
        <f t="shared" si="12"/>
        <v>113.14511108398438</v>
      </c>
      <c r="W57" s="4">
        <f t="shared" si="12"/>
        <v>114.30999755859375</v>
      </c>
      <c r="X57" s="4">
        <f t="shared" si="12"/>
        <v>115.48957061767578</v>
      </c>
      <c r="Y57" s="4">
        <f t="shared" si="12"/>
        <v>116.68402099609375</v>
      </c>
      <c r="Z57" s="4">
        <f t="shared" si="12"/>
        <v>117.89353942871094</v>
      </c>
      <c r="AA57" s="4">
        <f t="shared" si="12"/>
        <v>119.11830902099609</v>
      </c>
      <c r="AB57" s="4">
        <f t="shared" si="12"/>
        <v>120.35852813720703</v>
      </c>
      <c r="AC57" s="4">
        <f t="shared" si="12"/>
        <v>121.61439514160156</v>
      </c>
      <c r="AD57" s="4">
        <f t="shared" si="12"/>
        <v>122.88609313964844</v>
      </c>
      <c r="AE57" s="4">
        <f t="shared" si="12"/>
        <v>124.17467498779297</v>
      </c>
      <c r="AF57" s="4">
        <f t="shared" si="12"/>
        <v>125.48036956787109</v>
      </c>
      <c r="AG57" s="4">
        <f t="shared" si="12"/>
        <v>127.84153747558594</v>
      </c>
      <c r="AH57" s="4">
        <f t="shared" si="12"/>
        <v>130.25851440429688</v>
      </c>
      <c r="AI57" s="4">
        <f t="shared" si="12"/>
        <v>132.73263549804688</v>
      </c>
      <c r="AJ57" s="4">
        <f t="shared" si="12"/>
        <v>135.26528930664063</v>
      </c>
      <c r="AK57" s="4">
        <f t="shared" si="12"/>
        <v>137.85791015625</v>
      </c>
      <c r="AL57" s="4">
        <f t="shared" si="12"/>
        <v>140.511962890625</v>
      </c>
      <c r="AM57" s="4">
        <f t="shared" si="12"/>
        <v>143.22891235351563</v>
      </c>
      <c r="AN57" s="4">
        <f t="shared" si="12"/>
        <v>146.01029968261719</v>
      </c>
      <c r="AO57" s="4">
        <f t="shared" si="12"/>
        <v>148.85760498046875</v>
      </c>
      <c r="AP57" s="4">
        <f t="shared" si="12"/>
        <v>151.77239990234375</v>
      </c>
      <c r="AQ57" s="4">
        <f t="shared" si="12"/>
        <v>154.62759399414063</v>
      </c>
      <c r="AR57" s="4">
        <f t="shared" si="12"/>
        <v>157.54963684082031</v>
      </c>
      <c r="AS57" s="4">
        <f t="shared" si="12"/>
        <v>0</v>
      </c>
      <c r="AT57" s="4">
        <f t="shared" si="12"/>
        <v>0</v>
      </c>
      <c r="AU57" s="4">
        <f t="shared" si="12"/>
        <v>0</v>
      </c>
      <c r="AV57" s="4">
        <f t="shared" si="12"/>
        <v>0</v>
      </c>
      <c r="AW57" s="4">
        <f t="shared" si="12"/>
        <v>0</v>
      </c>
      <c r="AX57" s="4">
        <f t="shared" si="12"/>
        <v>0</v>
      </c>
      <c r="AY57" s="4">
        <f t="shared" si="12"/>
        <v>0</v>
      </c>
      <c r="AZ57" s="4">
        <f t="shared" si="12"/>
        <v>0</v>
      </c>
      <c r="BA57" s="4">
        <f t="shared" si="12"/>
        <v>0</v>
      </c>
      <c r="BB57" s="4">
        <f t="shared" si="12"/>
        <v>0</v>
      </c>
      <c r="BC57" s="4">
        <f t="shared" si="12"/>
        <v>0</v>
      </c>
      <c r="BD57" s="4">
        <f t="shared" si="12"/>
        <v>0</v>
      </c>
      <c r="BE57" s="4">
        <f t="shared" si="12"/>
        <v>0</v>
      </c>
      <c r="BF57" s="4">
        <f t="shared" si="12"/>
        <v>0</v>
      </c>
      <c r="BG57" s="4">
        <f t="shared" si="12"/>
        <v>0</v>
      </c>
      <c r="BH57" s="4">
        <f t="shared" si="12"/>
        <v>0</v>
      </c>
      <c r="BI57" s="4">
        <f t="shared" si="12"/>
        <v>0</v>
      </c>
      <c r="BJ57" s="4">
        <f t="shared" si="12"/>
        <v>0</v>
      </c>
      <c r="BK57" s="4">
        <f t="shared" si="12"/>
        <v>0</v>
      </c>
      <c r="BL57" s="4">
        <f t="shared" si="12"/>
        <v>0</v>
      </c>
    </row>
    <row r="58" spans="1:64" x14ac:dyDescent="0.35">
      <c r="A58" s="1"/>
      <c r="C58" s="2" t="s">
        <v>82</v>
      </c>
      <c r="D58" s="2">
        <f>D16</f>
        <v>2</v>
      </c>
      <c r="E58" s="61"/>
      <c r="F58" s="61"/>
      <c r="G58" s="61"/>
      <c r="H58" s="61"/>
      <c r="I58" s="61"/>
      <c r="J58" s="61"/>
      <c r="K58" s="61"/>
      <c r="L58" s="61"/>
      <c r="M58" s="61"/>
      <c r="N58" s="61"/>
      <c r="O58" s="61"/>
      <c r="P58" s="61"/>
      <c r="Q58" s="61"/>
      <c r="R58" s="61"/>
      <c r="S58" s="61"/>
      <c r="T58" s="61"/>
      <c r="U58" s="61"/>
      <c r="V58" s="61"/>
      <c r="W58" s="61"/>
      <c r="X58" s="61"/>
      <c r="Y58" s="61"/>
      <c r="Z58" s="61"/>
      <c r="AA58" s="61"/>
      <c r="AB58" s="61"/>
      <c r="AC58" s="61"/>
      <c r="AD58" s="61"/>
      <c r="AE58" s="61"/>
      <c r="AF58" s="61"/>
      <c r="AG58" s="61"/>
      <c r="AH58" s="61"/>
      <c r="AI58" s="61"/>
      <c r="AJ58" s="61"/>
      <c r="AK58" s="61"/>
      <c r="AL58" s="61"/>
      <c r="AM58" s="61"/>
      <c r="AN58" s="61"/>
      <c r="AO58" s="61"/>
      <c r="AP58" s="61"/>
      <c r="AQ58" s="61"/>
      <c r="AR58" s="61"/>
      <c r="AS58" s="61"/>
      <c r="AT58" s="61"/>
      <c r="AU58" s="61"/>
      <c r="AV58" s="61"/>
      <c r="AW58" s="61"/>
      <c r="AX58" s="61"/>
      <c r="AY58" s="61"/>
      <c r="AZ58" s="61"/>
      <c r="BA58" s="61"/>
      <c r="BB58" s="61"/>
      <c r="BC58" s="61"/>
      <c r="BD58" s="61"/>
      <c r="BE58" s="61"/>
      <c r="BF58" s="61"/>
      <c r="BG58" s="61"/>
      <c r="BH58" s="61"/>
      <c r="BI58" s="61"/>
      <c r="BJ58" s="61"/>
      <c r="BK58" s="61"/>
      <c r="BL58" s="61"/>
    </row>
    <row r="59" spans="1:64" x14ac:dyDescent="0.35">
      <c r="A59" s="1"/>
      <c r="B59" s="1"/>
      <c r="C59" s="2" t="s">
        <v>573</v>
      </c>
      <c r="D59" s="29">
        <f ca="1">SUM(IF(D58&gt;0,OFFSET(D57,0,1,1,D58)))</f>
        <v>204.5982666015625</v>
      </c>
      <c r="E59" s="162"/>
      <c r="F59" s="162"/>
      <c r="G59" s="162"/>
      <c r="H59" s="162"/>
      <c r="I59" s="162"/>
      <c r="J59" s="162"/>
      <c r="K59" s="162"/>
      <c r="L59" s="162"/>
      <c r="M59" s="162"/>
      <c r="N59" s="162"/>
      <c r="O59" s="162"/>
      <c r="P59" s="162"/>
      <c r="Q59" s="162"/>
      <c r="R59" s="162"/>
      <c r="S59" s="162"/>
      <c r="T59" s="162"/>
      <c r="U59" s="162"/>
      <c r="V59" s="162"/>
      <c r="W59" s="162"/>
      <c r="X59" s="162"/>
      <c r="Y59" s="162"/>
      <c r="Z59" s="162"/>
      <c r="AA59" s="162"/>
      <c r="AB59" s="162"/>
      <c r="AC59" s="162"/>
      <c r="AD59" s="162"/>
      <c r="AE59" s="162"/>
      <c r="AF59" s="162"/>
      <c r="AG59" s="162"/>
      <c r="AH59" s="162"/>
      <c r="AI59" s="162"/>
      <c r="AJ59" s="162"/>
      <c r="AK59" s="162"/>
      <c r="AL59" s="162"/>
      <c r="AM59" s="162"/>
      <c r="AN59" s="162"/>
      <c r="AO59" s="162"/>
      <c r="AP59" s="162"/>
      <c r="AQ59" s="162"/>
      <c r="AR59" s="162"/>
      <c r="AS59" s="162"/>
      <c r="AT59" s="162"/>
      <c r="AU59" s="162"/>
      <c r="AV59" s="162"/>
      <c r="AW59" s="162"/>
      <c r="AX59" s="162"/>
      <c r="AY59" s="162"/>
      <c r="AZ59" s="162"/>
      <c r="BA59" s="162"/>
      <c r="BB59" s="162"/>
      <c r="BC59" s="162"/>
      <c r="BD59" s="162"/>
      <c r="BE59" s="162"/>
      <c r="BF59" s="162"/>
      <c r="BG59" s="162"/>
      <c r="BH59" s="162"/>
      <c r="BI59" s="162"/>
      <c r="BJ59" s="162"/>
      <c r="BK59" s="162"/>
      <c r="BL59" s="162"/>
    </row>
    <row r="60" spans="1:64" x14ac:dyDescent="0.35">
      <c r="A60" s="1"/>
      <c r="B60" s="1"/>
      <c r="C60" s="2" t="s">
        <v>525</v>
      </c>
      <c r="D60" s="105"/>
      <c r="E60" s="61"/>
      <c r="F60" s="61"/>
      <c r="G60" s="61"/>
      <c r="H60" s="61"/>
      <c r="I60" s="61"/>
      <c r="J60" s="61"/>
      <c r="K60" s="61"/>
      <c r="L60" s="61"/>
      <c r="M60" s="61"/>
      <c r="N60" s="61"/>
      <c r="O60" s="61"/>
      <c r="P60" s="61"/>
      <c r="Q60" s="61"/>
      <c r="R60" s="61"/>
      <c r="S60" s="61"/>
      <c r="T60" s="61"/>
      <c r="U60" s="61"/>
      <c r="V60" s="61"/>
      <c r="W60" s="61"/>
      <c r="X60" s="61"/>
      <c r="Y60" s="61"/>
      <c r="Z60" s="61"/>
      <c r="AA60" s="61"/>
      <c r="AB60" s="61"/>
      <c r="AC60" s="61"/>
      <c r="AD60" s="61"/>
      <c r="AE60" s="61"/>
      <c r="AF60" s="61"/>
      <c r="AG60" s="61"/>
      <c r="AH60" s="61"/>
      <c r="AI60" s="61"/>
      <c r="AJ60" s="61"/>
      <c r="AK60" s="61"/>
      <c r="AL60" s="61"/>
      <c r="AM60" s="61"/>
      <c r="AN60" s="61"/>
      <c r="AO60" s="61"/>
      <c r="AP60" s="61"/>
      <c r="AQ60" s="61"/>
      <c r="AR60" s="61"/>
      <c r="AS60" s="61"/>
      <c r="AT60" s="61"/>
      <c r="AU60" s="61"/>
      <c r="AV60" s="61"/>
      <c r="AW60" s="61"/>
      <c r="AX60" s="61"/>
      <c r="AY60" s="61"/>
      <c r="AZ60" s="61"/>
      <c r="BA60" s="61"/>
      <c r="BB60" s="61"/>
      <c r="BC60" s="61"/>
      <c r="BD60" s="61"/>
      <c r="BE60" s="61"/>
      <c r="BF60" s="61"/>
      <c r="BG60" s="61"/>
      <c r="BH60" s="61"/>
      <c r="BI60" s="61"/>
      <c r="BJ60" s="61"/>
      <c r="BK60" s="61"/>
      <c r="BL60" s="61"/>
    </row>
    <row r="61" spans="1:64" x14ac:dyDescent="0.35">
      <c r="A61" s="1"/>
      <c r="B61" s="1"/>
      <c r="C61" s="2" t="s">
        <v>536</v>
      </c>
      <c r="D61" s="105"/>
      <c r="E61" s="61"/>
      <c r="F61" s="61"/>
      <c r="G61" s="61"/>
      <c r="H61" s="61"/>
      <c r="I61" s="61"/>
      <c r="J61" s="61"/>
      <c r="K61" s="61"/>
      <c r="L61" s="61"/>
      <c r="M61" s="61"/>
      <c r="N61" s="61"/>
      <c r="O61" s="61"/>
      <c r="P61" s="61"/>
      <c r="Q61" s="61"/>
      <c r="R61" s="61"/>
      <c r="S61" s="61"/>
      <c r="T61" s="61"/>
      <c r="U61" s="61"/>
      <c r="V61" s="61"/>
      <c r="W61" s="61"/>
      <c r="X61" s="61"/>
      <c r="Y61" s="61"/>
      <c r="Z61" s="61"/>
      <c r="AA61" s="61"/>
      <c r="AB61" s="61"/>
      <c r="AC61" s="61"/>
      <c r="AD61" s="61"/>
      <c r="AE61" s="61"/>
      <c r="AF61" s="61"/>
      <c r="AG61" s="61"/>
      <c r="AH61" s="61"/>
      <c r="AI61" s="61"/>
      <c r="AJ61" s="61"/>
      <c r="AK61" s="61"/>
      <c r="AL61" s="61"/>
      <c r="AM61" s="61"/>
      <c r="AN61" s="61"/>
      <c r="AO61" s="61"/>
      <c r="AP61" s="61"/>
      <c r="AQ61" s="61"/>
      <c r="AR61" s="61"/>
      <c r="AS61" s="61"/>
      <c r="AT61" s="61"/>
      <c r="AU61" s="61"/>
      <c r="AV61" s="61"/>
      <c r="AW61" s="61"/>
      <c r="AX61" s="61"/>
      <c r="AY61" s="61"/>
      <c r="AZ61" s="61"/>
      <c r="BA61" s="61"/>
      <c r="BB61" s="61"/>
      <c r="BC61" s="61"/>
      <c r="BD61" s="61"/>
      <c r="BE61" s="61"/>
      <c r="BF61" s="61"/>
      <c r="BG61" s="61"/>
      <c r="BH61" s="61"/>
      <c r="BI61" s="61"/>
      <c r="BJ61" s="61"/>
      <c r="BK61" s="61"/>
      <c r="BL61" s="61"/>
    </row>
    <row r="62" spans="1:64" x14ac:dyDescent="0.35">
      <c r="A62" s="1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</row>
    <row r="63" spans="1:64" x14ac:dyDescent="0.35">
      <c r="A63" s="1"/>
      <c r="C63" s="2" t="s">
        <v>537</v>
      </c>
      <c r="D63" s="4">
        <f>E153</f>
        <v>0</v>
      </c>
      <c r="E63" s="143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</row>
    <row r="64" spans="1:64" x14ac:dyDescent="0.35">
      <c r="A64" s="1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</row>
    <row r="65" spans="1:64" x14ac:dyDescent="0.35">
      <c r="A65" s="1"/>
      <c r="C65" s="2" t="s">
        <v>15</v>
      </c>
      <c r="D65" s="4">
        <f>SUMPRODUCT(E49:BL49/E54:BL54)</f>
        <v>6126.608984319334</v>
      </c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</row>
    <row r="66" spans="1:64" ht="15" thickBot="1" x14ac:dyDescent="0.4">
      <c r="A66" s="1"/>
      <c r="C66" s="24" t="s">
        <v>544</v>
      </c>
      <c r="D66" s="25">
        <f>D65</f>
        <v>6126.608984319334</v>
      </c>
      <c r="G66" s="32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</row>
    <row r="67" spans="1:64" x14ac:dyDescent="0.35">
      <c r="A67" s="1"/>
      <c r="C67" s="2" t="s">
        <v>330</v>
      </c>
      <c r="D67" s="4">
        <f>D34</f>
        <v>3478.2608398437501</v>
      </c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</row>
    <row r="68" spans="1:64" x14ac:dyDescent="0.35">
      <c r="A68" s="1"/>
      <c r="C68" s="2" t="s">
        <v>562</v>
      </c>
      <c r="D68" s="4">
        <f>D94</f>
        <v>0</v>
      </c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</row>
    <row r="69" spans="1:64" ht="15" thickBot="1" x14ac:dyDescent="0.4">
      <c r="A69" s="1"/>
      <c r="C69" s="24" t="s">
        <v>538</v>
      </c>
      <c r="D69" s="25">
        <f>SUM(D67:D68)</f>
        <v>3478.2608398437501</v>
      </c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</row>
    <row r="70" spans="1:64" x14ac:dyDescent="0.35">
      <c r="A70" s="1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</row>
    <row r="71" spans="1:64" x14ac:dyDescent="0.35">
      <c r="A71" s="1"/>
      <c r="C71" s="172" t="s">
        <v>348</v>
      </c>
      <c r="D71" s="4">
        <f>D66/D67</f>
        <v>1.7614000980428348</v>
      </c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</row>
    <row r="72" spans="1:64" x14ac:dyDescent="0.35">
      <c r="A72" s="1"/>
      <c r="C72" s="172" t="s">
        <v>123</v>
      </c>
      <c r="D72" s="4">
        <f>D66/(D69-D63)</f>
        <v>1.7614000980428348</v>
      </c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</row>
    <row r="73" spans="1:64" x14ac:dyDescent="0.35">
      <c r="A73" s="1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</row>
    <row r="74" spans="1:64" x14ac:dyDescent="0.35">
      <c r="A74" s="1"/>
      <c r="C74" s="2" t="s">
        <v>539</v>
      </c>
      <c r="D74" s="4" t="b">
        <f>D72&gt;D8</f>
        <v>1</v>
      </c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</row>
    <row r="75" spans="1:64" x14ac:dyDescent="0.35">
      <c r="A75" s="1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</row>
    <row r="76" spans="1:64" s="40" customFormat="1" x14ac:dyDescent="0.35">
      <c r="A76" s="40" t="s">
        <v>3</v>
      </c>
      <c r="D76" s="175"/>
      <c r="E76" s="175"/>
      <c r="F76" s="175"/>
      <c r="G76" s="175"/>
      <c r="H76" s="175"/>
      <c r="I76" s="175"/>
      <c r="J76" s="175"/>
      <c r="K76" s="175"/>
      <c r="L76" s="175"/>
      <c r="M76" s="175"/>
      <c r="N76" s="175"/>
      <c r="O76" s="175"/>
      <c r="P76" s="175"/>
      <c r="Q76" s="175"/>
      <c r="R76" s="175"/>
      <c r="S76" s="175"/>
      <c r="T76" s="175"/>
      <c r="U76" s="175"/>
      <c r="V76" s="175"/>
      <c r="W76" s="175"/>
      <c r="X76" s="175"/>
      <c r="Y76" s="175"/>
      <c r="Z76" s="175"/>
      <c r="AA76" s="175"/>
      <c r="AB76" s="175"/>
      <c r="AC76" s="175"/>
      <c r="AD76" s="175"/>
      <c r="AE76" s="175"/>
      <c r="AF76" s="175"/>
      <c r="AG76" s="175"/>
      <c r="AH76" s="175"/>
      <c r="AI76" s="175"/>
      <c r="AJ76" s="175"/>
      <c r="AK76" s="175"/>
      <c r="AL76" s="175"/>
      <c r="AM76" s="175"/>
      <c r="AN76" s="175"/>
      <c r="AO76" s="175"/>
      <c r="AP76" s="175"/>
      <c r="AQ76" s="175"/>
      <c r="AR76" s="175"/>
      <c r="AS76" s="175"/>
      <c r="AT76" s="175"/>
      <c r="AU76" s="175"/>
      <c r="AV76" s="175"/>
      <c r="AW76" s="175"/>
      <c r="AX76" s="175"/>
      <c r="AY76" s="175"/>
      <c r="AZ76" s="175"/>
      <c r="BA76" s="175"/>
      <c r="BB76" s="175"/>
      <c r="BC76" s="175"/>
      <c r="BD76" s="175"/>
      <c r="BE76" s="175"/>
      <c r="BF76" s="175"/>
      <c r="BG76" s="175"/>
      <c r="BH76" s="175"/>
      <c r="BI76" s="175"/>
      <c r="BJ76" s="175"/>
      <c r="BK76" s="175"/>
      <c r="BL76" s="175"/>
    </row>
    <row r="77" spans="1:64" x14ac:dyDescent="0.35">
      <c r="A77" s="1"/>
      <c r="B77" s="2" t="s">
        <v>545</v>
      </c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</row>
    <row r="78" spans="1:64" x14ac:dyDescent="0.35">
      <c r="A78" s="1"/>
      <c r="C78" s="2" t="s">
        <v>540</v>
      </c>
      <c r="D78" s="4"/>
      <c r="E78" s="4">
        <f>E152</f>
        <v>178.52958679199219</v>
      </c>
      <c r="F78" s="4">
        <f t="shared" ref="F78:BL78" si="13">F152</f>
        <v>178.32275390625</v>
      </c>
      <c r="G78" s="4">
        <f t="shared" si="13"/>
        <v>178.11332702636719</v>
      </c>
      <c r="H78" s="4">
        <f t="shared" si="13"/>
        <v>177.90126037597656</v>
      </c>
      <c r="I78" s="4">
        <f t="shared" si="13"/>
        <v>177.68759155273438</v>
      </c>
      <c r="J78" s="4">
        <f t="shared" si="13"/>
        <v>177.4722900390625</v>
      </c>
      <c r="K78" s="4">
        <f t="shared" si="13"/>
        <v>178.5863037109375</v>
      </c>
      <c r="L78" s="4">
        <f t="shared" si="13"/>
        <v>179.70768737792969</v>
      </c>
      <c r="M78" s="4">
        <f t="shared" si="13"/>
        <v>180.83705139160156</v>
      </c>
      <c r="N78" s="4">
        <f t="shared" si="13"/>
        <v>181.97441101074219</v>
      </c>
      <c r="O78" s="4">
        <f t="shared" si="13"/>
        <v>183.81231689453125</v>
      </c>
      <c r="P78" s="4">
        <f t="shared" si="13"/>
        <v>185.67338562011719</v>
      </c>
      <c r="Q78" s="4">
        <f t="shared" si="13"/>
        <v>187.55793762207031</v>
      </c>
      <c r="R78" s="4">
        <f t="shared" si="13"/>
        <v>189.46626281738281</v>
      </c>
      <c r="S78" s="4">
        <f t="shared" si="13"/>
        <v>191.39865112304688</v>
      </c>
      <c r="T78" s="4">
        <f t="shared" si="13"/>
        <v>193.35542297363281</v>
      </c>
      <c r="U78" s="4">
        <f t="shared" si="13"/>
        <v>195.33686828613281</v>
      </c>
      <c r="V78" s="4">
        <f t="shared" si="13"/>
        <v>197.34330749511719</v>
      </c>
      <c r="W78" s="4">
        <f t="shared" si="13"/>
        <v>199.37504577636719</v>
      </c>
      <c r="X78" s="4">
        <f t="shared" si="13"/>
        <v>201.43241882324219</v>
      </c>
      <c r="Y78" s="4">
        <f t="shared" si="13"/>
        <v>203.51573181152344</v>
      </c>
      <c r="Z78" s="4">
        <f t="shared" si="13"/>
        <v>205.62532043457031</v>
      </c>
      <c r="AA78" s="4">
        <f t="shared" si="13"/>
        <v>207.76152038574219</v>
      </c>
      <c r="AB78" s="4">
        <f t="shared" si="13"/>
        <v>209.92466735839844</v>
      </c>
      <c r="AC78" s="4">
        <f t="shared" si="13"/>
        <v>212.11509704589844</v>
      </c>
      <c r="AD78" s="4">
        <f t="shared" si="13"/>
        <v>214.33314514160156</v>
      </c>
      <c r="AE78" s="4">
        <f t="shared" si="13"/>
        <v>216.58062744140625</v>
      </c>
      <c r="AF78" s="4">
        <f t="shared" si="13"/>
        <v>218.85797119140625</v>
      </c>
      <c r="AG78" s="4">
        <f t="shared" si="13"/>
        <v>222.97624206542969</v>
      </c>
      <c r="AH78" s="4">
        <f t="shared" si="13"/>
        <v>227.19181823730469</v>
      </c>
      <c r="AI78" s="4">
        <f t="shared" si="13"/>
        <v>231.50709533691406</v>
      </c>
      <c r="AJ78" s="4">
        <f t="shared" si="13"/>
        <v>235.92445373535156</v>
      </c>
      <c r="AK78" s="4">
        <f t="shared" si="13"/>
        <v>240.4464111328125</v>
      </c>
      <c r="AL78" s="4">
        <f t="shared" si="13"/>
        <v>245.07548522949219</v>
      </c>
      <c r="AM78" s="4">
        <f t="shared" si="13"/>
        <v>249.81428527832031</v>
      </c>
      <c r="AN78" s="4">
        <f t="shared" si="13"/>
        <v>254.66549682617188</v>
      </c>
      <c r="AO78" s="4">
        <f t="shared" si="13"/>
        <v>259.63162231445313</v>
      </c>
      <c r="AP78" s="4">
        <f t="shared" si="13"/>
        <v>264.71551513671875</v>
      </c>
      <c r="AQ78" s="4">
        <f t="shared" si="13"/>
        <v>269.6954345703125</v>
      </c>
      <c r="AR78" s="4">
        <f t="shared" si="13"/>
        <v>274.79193115234375</v>
      </c>
      <c r="AS78" s="4">
        <f t="shared" si="13"/>
        <v>0</v>
      </c>
      <c r="AT78" s="4">
        <f t="shared" si="13"/>
        <v>0</v>
      </c>
      <c r="AU78" s="4">
        <f t="shared" si="13"/>
        <v>0</v>
      </c>
      <c r="AV78" s="4">
        <f t="shared" si="13"/>
        <v>0</v>
      </c>
      <c r="AW78" s="4">
        <f t="shared" si="13"/>
        <v>0</v>
      </c>
      <c r="AX78" s="4">
        <f t="shared" si="13"/>
        <v>0</v>
      </c>
      <c r="AY78" s="4">
        <f t="shared" si="13"/>
        <v>0</v>
      </c>
      <c r="AZ78" s="4">
        <f t="shared" si="13"/>
        <v>0</v>
      </c>
      <c r="BA78" s="4">
        <f t="shared" si="13"/>
        <v>0</v>
      </c>
      <c r="BB78" s="4">
        <f t="shared" si="13"/>
        <v>0</v>
      </c>
      <c r="BC78" s="4">
        <f t="shared" si="13"/>
        <v>0</v>
      </c>
      <c r="BD78" s="4">
        <f t="shared" si="13"/>
        <v>0</v>
      </c>
      <c r="BE78" s="4">
        <f t="shared" si="13"/>
        <v>0</v>
      </c>
      <c r="BF78" s="4">
        <f t="shared" si="13"/>
        <v>0</v>
      </c>
      <c r="BG78" s="4">
        <f t="shared" si="13"/>
        <v>0</v>
      </c>
      <c r="BH78" s="4">
        <f t="shared" si="13"/>
        <v>0</v>
      </c>
      <c r="BI78" s="4">
        <f t="shared" si="13"/>
        <v>0</v>
      </c>
      <c r="BJ78" s="4">
        <f t="shared" si="13"/>
        <v>0</v>
      </c>
      <c r="BK78" s="4">
        <f t="shared" si="13"/>
        <v>0</v>
      </c>
      <c r="BL78" s="4">
        <f t="shared" si="13"/>
        <v>0</v>
      </c>
    </row>
    <row r="79" spans="1:64" x14ac:dyDescent="0.35">
      <c r="A79" s="1"/>
      <c r="C79" s="2" t="s">
        <v>351</v>
      </c>
      <c r="D79" s="4">
        <f>D8</f>
        <v>1.5</v>
      </c>
      <c r="E79" s="4">
        <f>E78/$D$79</f>
        <v>119.0197245279948</v>
      </c>
      <c r="F79" s="4">
        <f t="shared" ref="F79:BL79" si="14">F78/$D$79</f>
        <v>118.8818359375</v>
      </c>
      <c r="G79" s="4">
        <f t="shared" si="14"/>
        <v>118.74221801757813</v>
      </c>
      <c r="H79" s="4">
        <f t="shared" si="14"/>
        <v>118.60084025065105</v>
      </c>
      <c r="I79" s="4">
        <f t="shared" si="14"/>
        <v>118.45839436848958</v>
      </c>
      <c r="J79" s="4">
        <f t="shared" si="14"/>
        <v>118.31486002604167</v>
      </c>
      <c r="K79" s="4">
        <f t="shared" si="14"/>
        <v>119.05753580729167</v>
      </c>
      <c r="L79" s="4">
        <f t="shared" si="14"/>
        <v>119.8051249186198</v>
      </c>
      <c r="M79" s="4">
        <f t="shared" si="14"/>
        <v>120.5580342610677</v>
      </c>
      <c r="N79" s="4">
        <f t="shared" si="14"/>
        <v>121.31627400716145</v>
      </c>
      <c r="O79" s="4">
        <f t="shared" si="14"/>
        <v>122.54154459635417</v>
      </c>
      <c r="P79" s="4">
        <f t="shared" si="14"/>
        <v>123.78225708007813</v>
      </c>
      <c r="Q79" s="4">
        <f t="shared" si="14"/>
        <v>125.0386250813802</v>
      </c>
      <c r="R79" s="4">
        <f t="shared" si="14"/>
        <v>126.3108418782552</v>
      </c>
      <c r="S79" s="4">
        <f t="shared" si="14"/>
        <v>127.59910074869792</v>
      </c>
      <c r="T79" s="4">
        <f t="shared" si="14"/>
        <v>128.90361531575522</v>
      </c>
      <c r="U79" s="4">
        <f t="shared" si="14"/>
        <v>130.22457885742188</v>
      </c>
      <c r="V79" s="4">
        <f t="shared" si="14"/>
        <v>131.56220499674478</v>
      </c>
      <c r="W79" s="4">
        <f t="shared" si="14"/>
        <v>132.91669718424478</v>
      </c>
      <c r="X79" s="4">
        <f t="shared" si="14"/>
        <v>134.28827921549478</v>
      </c>
      <c r="Y79" s="4">
        <f t="shared" si="14"/>
        <v>135.67715454101563</v>
      </c>
      <c r="Z79" s="4">
        <f t="shared" si="14"/>
        <v>137.08354695638022</v>
      </c>
      <c r="AA79" s="4">
        <f t="shared" si="14"/>
        <v>138.50768025716147</v>
      </c>
      <c r="AB79" s="4">
        <f t="shared" si="14"/>
        <v>139.94977823893228</v>
      </c>
      <c r="AC79" s="4">
        <f t="shared" si="14"/>
        <v>141.41006469726563</v>
      </c>
      <c r="AD79" s="4">
        <f t="shared" si="14"/>
        <v>142.88876342773438</v>
      </c>
      <c r="AE79" s="4">
        <f t="shared" si="14"/>
        <v>144.3870849609375</v>
      </c>
      <c r="AF79" s="4">
        <f t="shared" si="14"/>
        <v>145.90531412760416</v>
      </c>
      <c r="AG79" s="4">
        <f t="shared" si="14"/>
        <v>148.65082804361978</v>
      </c>
      <c r="AH79" s="4">
        <f t="shared" si="14"/>
        <v>151.46121215820313</v>
      </c>
      <c r="AI79" s="4">
        <f t="shared" si="14"/>
        <v>154.33806355794272</v>
      </c>
      <c r="AJ79" s="4">
        <f t="shared" si="14"/>
        <v>157.28296915690103</v>
      </c>
      <c r="AK79" s="4">
        <f t="shared" si="14"/>
        <v>160.297607421875</v>
      </c>
      <c r="AL79" s="4">
        <f t="shared" si="14"/>
        <v>163.38365681966147</v>
      </c>
      <c r="AM79" s="4">
        <f t="shared" si="14"/>
        <v>166.54285685221353</v>
      </c>
      <c r="AN79" s="4">
        <f t="shared" si="14"/>
        <v>169.77699788411459</v>
      </c>
      <c r="AO79" s="4">
        <f t="shared" si="14"/>
        <v>173.08774820963541</v>
      </c>
      <c r="AP79" s="4">
        <f t="shared" si="14"/>
        <v>176.47701009114584</v>
      </c>
      <c r="AQ79" s="4">
        <f t="shared" si="14"/>
        <v>179.79695638020834</v>
      </c>
      <c r="AR79" s="4">
        <f t="shared" si="14"/>
        <v>183.19462076822916</v>
      </c>
      <c r="AS79" s="4">
        <f t="shared" si="14"/>
        <v>0</v>
      </c>
      <c r="AT79" s="4">
        <f t="shared" si="14"/>
        <v>0</v>
      </c>
      <c r="AU79" s="4">
        <f t="shared" si="14"/>
        <v>0</v>
      </c>
      <c r="AV79" s="4">
        <f t="shared" si="14"/>
        <v>0</v>
      </c>
      <c r="AW79" s="4">
        <f t="shared" si="14"/>
        <v>0</v>
      </c>
      <c r="AX79" s="4">
        <f t="shared" si="14"/>
        <v>0</v>
      </c>
      <c r="AY79" s="4">
        <f t="shared" si="14"/>
        <v>0</v>
      </c>
      <c r="AZ79" s="4">
        <f t="shared" si="14"/>
        <v>0</v>
      </c>
      <c r="BA79" s="4">
        <f t="shared" si="14"/>
        <v>0</v>
      </c>
      <c r="BB79" s="4">
        <f t="shared" si="14"/>
        <v>0</v>
      </c>
      <c r="BC79" s="4">
        <f t="shared" si="14"/>
        <v>0</v>
      </c>
      <c r="BD79" s="4">
        <f t="shared" si="14"/>
        <v>0</v>
      </c>
      <c r="BE79" s="4">
        <f t="shared" si="14"/>
        <v>0</v>
      </c>
      <c r="BF79" s="4">
        <f t="shared" si="14"/>
        <v>0</v>
      </c>
      <c r="BG79" s="4">
        <f t="shared" si="14"/>
        <v>0</v>
      </c>
      <c r="BH79" s="4">
        <f t="shared" si="14"/>
        <v>0</v>
      </c>
      <c r="BI79" s="4">
        <f t="shared" si="14"/>
        <v>0</v>
      </c>
      <c r="BJ79" s="4">
        <f t="shared" si="14"/>
        <v>0</v>
      </c>
      <c r="BK79" s="4">
        <f t="shared" si="14"/>
        <v>0</v>
      </c>
      <c r="BL79" s="4">
        <f t="shared" si="14"/>
        <v>0</v>
      </c>
    </row>
    <row r="80" spans="1:64" x14ac:dyDescent="0.35">
      <c r="A80" s="1"/>
      <c r="C80" s="2" t="s">
        <v>563</v>
      </c>
      <c r="D80" s="4">
        <f>SUMPRODUCT(E79:BL79/E54:BL54)</f>
        <v>4084.4059750109823</v>
      </c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</row>
    <row r="81" spans="1:64" x14ac:dyDescent="0.35">
      <c r="A81" s="1"/>
      <c r="C81" s="2" t="s">
        <v>566</v>
      </c>
      <c r="D81" s="4">
        <f>D63</f>
        <v>0</v>
      </c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</row>
    <row r="82" spans="1:64" x14ac:dyDescent="0.35">
      <c r="A82" s="1"/>
      <c r="C82" s="2" t="s">
        <v>564</v>
      </c>
      <c r="D82" s="4">
        <f>D68</f>
        <v>0</v>
      </c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</row>
    <row r="83" spans="1:64" ht="15" thickBot="1" x14ac:dyDescent="0.4">
      <c r="A83" s="1"/>
      <c r="C83" s="24" t="s">
        <v>565</v>
      </c>
      <c r="D83" s="25">
        <f>D80-D82+D81</f>
        <v>4084.4059750109823</v>
      </c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</row>
    <row r="84" spans="1:64" x14ac:dyDescent="0.35">
      <c r="A84" s="1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</row>
    <row r="85" spans="1:64" x14ac:dyDescent="0.35">
      <c r="A85" s="1"/>
      <c r="C85" s="2" t="s">
        <v>567</v>
      </c>
      <c r="D85" s="4" t="b">
        <f>D83&lt;D67</f>
        <v>0</v>
      </c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</row>
    <row r="86" spans="1:64" x14ac:dyDescent="0.35">
      <c r="A86" s="1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</row>
    <row r="87" spans="1:64" x14ac:dyDescent="0.35">
      <c r="A87" s="1"/>
      <c r="C87" s="27" t="s">
        <v>317</v>
      </c>
      <c r="D87" s="30">
        <f>IF(D85,D8,D72)</f>
        <v>1.7614000980428348</v>
      </c>
      <c r="E87" s="30">
        <f t="shared" ref="E87:BL87" si="15">D87</f>
        <v>1.7614000980428348</v>
      </c>
      <c r="F87" s="30">
        <f t="shared" si="15"/>
        <v>1.7614000980428348</v>
      </c>
      <c r="G87" s="30">
        <f t="shared" si="15"/>
        <v>1.7614000980428348</v>
      </c>
      <c r="H87" s="30">
        <f t="shared" si="15"/>
        <v>1.7614000980428348</v>
      </c>
      <c r="I87" s="30">
        <f t="shared" si="15"/>
        <v>1.7614000980428348</v>
      </c>
      <c r="J87" s="30">
        <f t="shared" si="15"/>
        <v>1.7614000980428348</v>
      </c>
      <c r="K87" s="30">
        <f t="shared" si="15"/>
        <v>1.7614000980428348</v>
      </c>
      <c r="L87" s="30">
        <f t="shared" si="15"/>
        <v>1.7614000980428348</v>
      </c>
      <c r="M87" s="30">
        <f t="shared" si="15"/>
        <v>1.7614000980428348</v>
      </c>
      <c r="N87" s="30">
        <f t="shared" si="15"/>
        <v>1.7614000980428348</v>
      </c>
      <c r="O87" s="30">
        <f t="shared" si="15"/>
        <v>1.7614000980428348</v>
      </c>
      <c r="P87" s="30">
        <f t="shared" si="15"/>
        <v>1.7614000980428348</v>
      </c>
      <c r="Q87" s="30">
        <f t="shared" si="15"/>
        <v>1.7614000980428348</v>
      </c>
      <c r="R87" s="30">
        <f t="shared" si="15"/>
        <v>1.7614000980428348</v>
      </c>
      <c r="S87" s="30">
        <f t="shared" si="15"/>
        <v>1.7614000980428348</v>
      </c>
      <c r="T87" s="30">
        <f t="shared" si="15"/>
        <v>1.7614000980428348</v>
      </c>
      <c r="U87" s="30">
        <f t="shared" si="15"/>
        <v>1.7614000980428348</v>
      </c>
      <c r="V87" s="30">
        <f t="shared" si="15"/>
        <v>1.7614000980428348</v>
      </c>
      <c r="W87" s="30">
        <f t="shared" si="15"/>
        <v>1.7614000980428348</v>
      </c>
      <c r="X87" s="30">
        <f t="shared" si="15"/>
        <v>1.7614000980428348</v>
      </c>
      <c r="Y87" s="30">
        <f t="shared" si="15"/>
        <v>1.7614000980428348</v>
      </c>
      <c r="Z87" s="30">
        <f t="shared" si="15"/>
        <v>1.7614000980428348</v>
      </c>
      <c r="AA87" s="30">
        <f t="shared" si="15"/>
        <v>1.7614000980428348</v>
      </c>
      <c r="AB87" s="30">
        <f t="shared" si="15"/>
        <v>1.7614000980428348</v>
      </c>
      <c r="AC87" s="30">
        <f t="shared" si="15"/>
        <v>1.7614000980428348</v>
      </c>
      <c r="AD87" s="30">
        <f t="shared" si="15"/>
        <v>1.7614000980428348</v>
      </c>
      <c r="AE87" s="30">
        <f t="shared" si="15"/>
        <v>1.7614000980428348</v>
      </c>
      <c r="AF87" s="30">
        <f t="shared" si="15"/>
        <v>1.7614000980428348</v>
      </c>
      <c r="AG87" s="30">
        <f t="shared" si="15"/>
        <v>1.7614000980428348</v>
      </c>
      <c r="AH87" s="30">
        <f t="shared" si="15"/>
        <v>1.7614000980428348</v>
      </c>
      <c r="AI87" s="30">
        <f t="shared" si="15"/>
        <v>1.7614000980428348</v>
      </c>
      <c r="AJ87" s="30">
        <f t="shared" si="15"/>
        <v>1.7614000980428348</v>
      </c>
      <c r="AK87" s="30">
        <f t="shared" si="15"/>
        <v>1.7614000980428348</v>
      </c>
      <c r="AL87" s="30">
        <f t="shared" si="15"/>
        <v>1.7614000980428348</v>
      </c>
      <c r="AM87" s="30">
        <f t="shared" si="15"/>
        <v>1.7614000980428348</v>
      </c>
      <c r="AN87" s="30">
        <f t="shared" si="15"/>
        <v>1.7614000980428348</v>
      </c>
      <c r="AO87" s="30">
        <f t="shared" si="15"/>
        <v>1.7614000980428348</v>
      </c>
      <c r="AP87" s="30">
        <f t="shared" si="15"/>
        <v>1.7614000980428348</v>
      </c>
      <c r="AQ87" s="30">
        <f t="shared" si="15"/>
        <v>1.7614000980428348</v>
      </c>
      <c r="AR87" s="30">
        <f t="shared" si="15"/>
        <v>1.7614000980428348</v>
      </c>
      <c r="AS87" s="30">
        <f t="shared" si="15"/>
        <v>1.7614000980428348</v>
      </c>
      <c r="AT87" s="30">
        <f t="shared" si="15"/>
        <v>1.7614000980428348</v>
      </c>
      <c r="AU87" s="30">
        <f t="shared" si="15"/>
        <v>1.7614000980428348</v>
      </c>
      <c r="AV87" s="30">
        <f t="shared" si="15"/>
        <v>1.7614000980428348</v>
      </c>
      <c r="AW87" s="30">
        <f t="shared" si="15"/>
        <v>1.7614000980428348</v>
      </c>
      <c r="AX87" s="30">
        <f t="shared" si="15"/>
        <v>1.7614000980428348</v>
      </c>
      <c r="AY87" s="30">
        <f t="shared" si="15"/>
        <v>1.7614000980428348</v>
      </c>
      <c r="AZ87" s="30">
        <f t="shared" si="15"/>
        <v>1.7614000980428348</v>
      </c>
      <c r="BA87" s="30">
        <f t="shared" si="15"/>
        <v>1.7614000980428348</v>
      </c>
      <c r="BB87" s="30">
        <f t="shared" si="15"/>
        <v>1.7614000980428348</v>
      </c>
      <c r="BC87" s="30">
        <f t="shared" si="15"/>
        <v>1.7614000980428348</v>
      </c>
      <c r="BD87" s="30">
        <f t="shared" si="15"/>
        <v>1.7614000980428348</v>
      </c>
      <c r="BE87" s="30">
        <f t="shared" si="15"/>
        <v>1.7614000980428348</v>
      </c>
      <c r="BF87" s="30">
        <f t="shared" si="15"/>
        <v>1.7614000980428348</v>
      </c>
      <c r="BG87" s="30">
        <f t="shared" si="15"/>
        <v>1.7614000980428348</v>
      </c>
      <c r="BH87" s="30">
        <f t="shared" si="15"/>
        <v>1.7614000980428348</v>
      </c>
      <c r="BI87" s="30">
        <f t="shared" si="15"/>
        <v>1.7614000980428348</v>
      </c>
      <c r="BJ87" s="30">
        <f t="shared" si="15"/>
        <v>1.7614000980428348</v>
      </c>
      <c r="BK87" s="30">
        <f t="shared" si="15"/>
        <v>1.7614000980428348</v>
      </c>
      <c r="BL87" s="28">
        <f t="shared" si="15"/>
        <v>1.7614000980428348</v>
      </c>
    </row>
    <row r="88" spans="1:64" x14ac:dyDescent="0.35">
      <c r="A88" s="1"/>
      <c r="C88" s="10" t="s">
        <v>579</v>
      </c>
      <c r="D88" s="105"/>
      <c r="E88" s="46">
        <f t="shared" ref="E88:AJ88" si="16">E49/E87*E41</f>
        <v>101.35663119051921</v>
      </c>
      <c r="F88" s="46">
        <f t="shared" si="16"/>
        <v>101.23921214488763</v>
      </c>
      <c r="G88" s="46">
        <f t="shared" si="16"/>
        <v>101.12031255975732</v>
      </c>
      <c r="H88" s="46">
        <f t="shared" si="16"/>
        <v>100.99991429723354</v>
      </c>
      <c r="I88" s="46">
        <f t="shared" si="16"/>
        <v>100.87860534996416</v>
      </c>
      <c r="J88" s="46">
        <f t="shared" si="16"/>
        <v>100.7563784086483</v>
      </c>
      <c r="K88" s="46">
        <f t="shared" si="16"/>
        <v>101.38883521215696</v>
      </c>
      <c r="L88" s="46">
        <f t="shared" si="16"/>
        <v>102.02548249524673</v>
      </c>
      <c r="M88" s="46">
        <f t="shared" si="16"/>
        <v>102.66664998132455</v>
      </c>
      <c r="N88" s="46">
        <f t="shared" si="16"/>
        <v>103.31236416061007</v>
      </c>
      <c r="O88" s="46">
        <f t="shared" si="16"/>
        <v>104.3557960340362</v>
      </c>
      <c r="P88" s="46">
        <f t="shared" si="16"/>
        <v>105.4123869329166</v>
      </c>
      <c r="Q88" s="46">
        <f t="shared" si="16"/>
        <v>106.48230539796617</v>
      </c>
      <c r="R88" s="46">
        <f t="shared" si="16"/>
        <v>107.56571846435922</v>
      </c>
      <c r="S88" s="46">
        <f t="shared" si="16"/>
        <v>108.66279553473319</v>
      </c>
      <c r="T88" s="46">
        <f t="shared" si="16"/>
        <v>109.7737095462885</v>
      </c>
      <c r="U88" s="46">
        <f t="shared" si="16"/>
        <v>110.89863543200383</v>
      </c>
      <c r="V88" s="46">
        <f t="shared" si="16"/>
        <v>112.03774966599309</v>
      </c>
      <c r="W88" s="46">
        <f t="shared" si="16"/>
        <v>113.1912314344535</v>
      </c>
      <c r="X88" s="46">
        <f t="shared" si="16"/>
        <v>114.3592605593567</v>
      </c>
      <c r="Y88" s="46">
        <f t="shared" si="16"/>
        <v>115.54202192063732</v>
      </c>
      <c r="Z88" s="46">
        <f t="shared" si="16"/>
        <v>116.73970121686791</v>
      </c>
      <c r="AA88" s="46">
        <f t="shared" si="16"/>
        <v>117.95248614161216</v>
      </c>
      <c r="AB88" s="46">
        <f t="shared" si="16"/>
        <v>119.18056756118082</v>
      </c>
      <c r="AC88" s="46">
        <f t="shared" si="16"/>
        <v>120.42413961095167</v>
      </c>
      <c r="AD88" s="46">
        <f t="shared" si="16"/>
        <v>121.68339654455583</v>
      </c>
      <c r="AE88" s="46">
        <f t="shared" si="16"/>
        <v>122.95936338625991</v>
      </c>
      <c r="AF88" s="46">
        <f t="shared" si="16"/>
        <v>124.25227932261879</v>
      </c>
      <c r="AG88" s="46">
        <f t="shared" si="16"/>
        <v>126.59034104645185</v>
      </c>
      <c r="AH88" s="46">
        <f t="shared" si="16"/>
        <v>128.98365673789291</v>
      </c>
      <c r="AI88" s="46">
        <f t="shared" si="16"/>
        <v>131.43356237432371</v>
      </c>
      <c r="AJ88" s="46">
        <f t="shared" si="16"/>
        <v>133.94143675343736</v>
      </c>
      <c r="AK88" s="46">
        <f t="shared" ref="AK88:BL88" si="17">AK49/AK87*AK41</f>
        <v>136.50868556285351</v>
      </c>
      <c r="AL88" s="46">
        <f t="shared" si="17"/>
        <v>139.13675363896203</v>
      </c>
      <c r="AM88" s="46">
        <f t="shared" si="17"/>
        <v>141.82711343861641</v>
      </c>
      <c r="AN88" s="46">
        <f t="shared" si="17"/>
        <v>144.58128603325869</v>
      </c>
      <c r="AO88" s="46">
        <f t="shared" si="17"/>
        <v>147.40071487173435</v>
      </c>
      <c r="AP88" s="46">
        <f t="shared" si="17"/>
        <v>150.28699042805439</v>
      </c>
      <c r="AQ88" s="46">
        <f t="shared" si="17"/>
        <v>153.1142346749553</v>
      </c>
      <c r="AR88" s="46">
        <f t="shared" si="17"/>
        <v>156.00768121331254</v>
      </c>
      <c r="AS88" s="46">
        <f t="shared" si="17"/>
        <v>0</v>
      </c>
      <c r="AT88" s="46">
        <f t="shared" si="17"/>
        <v>0</v>
      </c>
      <c r="AU88" s="46">
        <f t="shared" si="17"/>
        <v>0</v>
      </c>
      <c r="AV88" s="46">
        <f t="shared" si="17"/>
        <v>0</v>
      </c>
      <c r="AW88" s="46">
        <f t="shared" si="17"/>
        <v>0</v>
      </c>
      <c r="AX88" s="46">
        <f t="shared" si="17"/>
        <v>0</v>
      </c>
      <c r="AY88" s="46">
        <f t="shared" si="17"/>
        <v>0</v>
      </c>
      <c r="AZ88" s="46">
        <f t="shared" si="17"/>
        <v>0</v>
      </c>
      <c r="BA88" s="46">
        <f t="shared" si="17"/>
        <v>0</v>
      </c>
      <c r="BB88" s="46">
        <f t="shared" si="17"/>
        <v>0</v>
      </c>
      <c r="BC88" s="46">
        <f t="shared" si="17"/>
        <v>0</v>
      </c>
      <c r="BD88" s="46">
        <f t="shared" si="17"/>
        <v>0</v>
      </c>
      <c r="BE88" s="46">
        <f t="shared" si="17"/>
        <v>0</v>
      </c>
      <c r="BF88" s="46">
        <f t="shared" si="17"/>
        <v>0</v>
      </c>
      <c r="BG88" s="46">
        <f t="shared" si="17"/>
        <v>0</v>
      </c>
      <c r="BH88" s="46">
        <f t="shared" si="17"/>
        <v>0</v>
      </c>
      <c r="BI88" s="46">
        <f t="shared" si="17"/>
        <v>0</v>
      </c>
      <c r="BJ88" s="46">
        <f t="shared" si="17"/>
        <v>0</v>
      </c>
      <c r="BK88" s="46">
        <f t="shared" si="17"/>
        <v>0</v>
      </c>
      <c r="BL88" s="46">
        <f t="shared" si="17"/>
        <v>0</v>
      </c>
    </row>
    <row r="89" spans="1:64" x14ac:dyDescent="0.35">
      <c r="A89" s="1"/>
      <c r="C89" s="10" t="s">
        <v>319</v>
      </c>
      <c r="D89" s="105"/>
      <c r="E89" s="46">
        <f t="shared" ref="E89:AJ89" ca="1" si="18">E120*$D$12</f>
        <v>1.0229913330078124</v>
      </c>
      <c r="F89" s="46">
        <f t="shared" si="18"/>
        <v>0</v>
      </c>
      <c r="G89" s="46">
        <f t="shared" si="18"/>
        <v>0</v>
      </c>
      <c r="H89" s="46">
        <f t="shared" si="18"/>
        <v>0</v>
      </c>
      <c r="I89" s="46">
        <f t="shared" si="18"/>
        <v>0</v>
      </c>
      <c r="J89" s="46">
        <f t="shared" si="18"/>
        <v>0</v>
      </c>
      <c r="K89" s="46">
        <f t="shared" si="18"/>
        <v>0</v>
      </c>
      <c r="L89" s="46">
        <f t="shared" si="18"/>
        <v>0</v>
      </c>
      <c r="M89" s="46">
        <f t="shared" si="18"/>
        <v>0</v>
      </c>
      <c r="N89" s="46">
        <f t="shared" si="18"/>
        <v>0</v>
      </c>
      <c r="O89" s="46">
        <f t="shared" si="18"/>
        <v>0</v>
      </c>
      <c r="P89" s="46">
        <f t="shared" si="18"/>
        <v>0</v>
      </c>
      <c r="Q89" s="46">
        <f t="shared" si="18"/>
        <v>0</v>
      </c>
      <c r="R89" s="46">
        <f t="shared" si="18"/>
        <v>0</v>
      </c>
      <c r="S89" s="46">
        <f t="shared" si="18"/>
        <v>0</v>
      </c>
      <c r="T89" s="46">
        <f t="shared" si="18"/>
        <v>0</v>
      </c>
      <c r="U89" s="46">
        <f t="shared" si="18"/>
        <v>0</v>
      </c>
      <c r="V89" s="46">
        <f t="shared" si="18"/>
        <v>0</v>
      </c>
      <c r="W89" s="46">
        <f t="shared" si="18"/>
        <v>0</v>
      </c>
      <c r="X89" s="46">
        <f t="shared" si="18"/>
        <v>0</v>
      </c>
      <c r="Y89" s="46">
        <f t="shared" si="18"/>
        <v>0</v>
      </c>
      <c r="Z89" s="46">
        <f t="shared" si="18"/>
        <v>0</v>
      </c>
      <c r="AA89" s="46">
        <f t="shared" si="18"/>
        <v>0</v>
      </c>
      <c r="AB89" s="46">
        <f t="shared" si="18"/>
        <v>0</v>
      </c>
      <c r="AC89" s="46">
        <f t="shared" si="18"/>
        <v>0</v>
      </c>
      <c r="AD89" s="46">
        <f t="shared" si="18"/>
        <v>0</v>
      </c>
      <c r="AE89" s="46">
        <f t="shared" si="18"/>
        <v>0</v>
      </c>
      <c r="AF89" s="46">
        <f t="shared" si="18"/>
        <v>0</v>
      </c>
      <c r="AG89" s="46">
        <f t="shared" si="18"/>
        <v>0</v>
      </c>
      <c r="AH89" s="46">
        <f t="shared" si="18"/>
        <v>0</v>
      </c>
      <c r="AI89" s="46">
        <f t="shared" si="18"/>
        <v>0</v>
      </c>
      <c r="AJ89" s="46">
        <f t="shared" si="18"/>
        <v>0</v>
      </c>
      <c r="AK89" s="46">
        <f t="shared" ref="AK89:BL89" si="19">AK120*$D$12</f>
        <v>0</v>
      </c>
      <c r="AL89" s="46">
        <f t="shared" si="19"/>
        <v>0</v>
      </c>
      <c r="AM89" s="46">
        <f t="shared" si="19"/>
        <v>0</v>
      </c>
      <c r="AN89" s="46">
        <f t="shared" si="19"/>
        <v>0</v>
      </c>
      <c r="AO89" s="46">
        <f t="shared" si="19"/>
        <v>0</v>
      </c>
      <c r="AP89" s="46">
        <f t="shared" si="19"/>
        <v>0</v>
      </c>
      <c r="AQ89" s="46">
        <f t="shared" si="19"/>
        <v>0</v>
      </c>
      <c r="AR89" s="46">
        <f t="shared" si="19"/>
        <v>0</v>
      </c>
      <c r="AS89" s="46">
        <f t="shared" si="19"/>
        <v>0</v>
      </c>
      <c r="AT89" s="46">
        <f t="shared" si="19"/>
        <v>0</v>
      </c>
      <c r="AU89" s="46">
        <f t="shared" si="19"/>
        <v>0</v>
      </c>
      <c r="AV89" s="46">
        <f t="shared" si="19"/>
        <v>0</v>
      </c>
      <c r="AW89" s="46">
        <f t="shared" si="19"/>
        <v>0</v>
      </c>
      <c r="AX89" s="46">
        <f t="shared" si="19"/>
        <v>0</v>
      </c>
      <c r="AY89" s="46">
        <f t="shared" si="19"/>
        <v>0</v>
      </c>
      <c r="AZ89" s="46">
        <f t="shared" si="19"/>
        <v>0</v>
      </c>
      <c r="BA89" s="46">
        <f t="shared" si="19"/>
        <v>0</v>
      </c>
      <c r="BB89" s="46">
        <f t="shared" si="19"/>
        <v>0</v>
      </c>
      <c r="BC89" s="46">
        <f t="shared" si="19"/>
        <v>0</v>
      </c>
      <c r="BD89" s="46">
        <f t="shared" si="19"/>
        <v>0</v>
      </c>
      <c r="BE89" s="46">
        <f t="shared" si="19"/>
        <v>0</v>
      </c>
      <c r="BF89" s="46">
        <f t="shared" si="19"/>
        <v>0</v>
      </c>
      <c r="BG89" s="46">
        <f t="shared" si="19"/>
        <v>0</v>
      </c>
      <c r="BH89" s="46">
        <f t="shared" si="19"/>
        <v>0</v>
      </c>
      <c r="BI89" s="46">
        <f t="shared" si="19"/>
        <v>0</v>
      </c>
      <c r="BJ89" s="46">
        <f t="shared" si="19"/>
        <v>0</v>
      </c>
      <c r="BK89" s="46">
        <f t="shared" si="19"/>
        <v>0</v>
      </c>
      <c r="BL89" s="46">
        <f t="shared" si="19"/>
        <v>0</v>
      </c>
    </row>
    <row r="90" spans="1:64" x14ac:dyDescent="0.35">
      <c r="A90" s="1"/>
      <c r="C90" s="2" t="s">
        <v>576</v>
      </c>
      <c r="E90" s="4">
        <f ca="1">E88-E89</f>
        <v>100.3336398575114</v>
      </c>
      <c r="F90" s="4">
        <f t="shared" ref="F90:BL90" si="20">F88-F89</f>
        <v>101.23921214488763</v>
      </c>
      <c r="G90" s="4">
        <f t="shared" si="20"/>
        <v>101.12031255975732</v>
      </c>
      <c r="H90" s="4">
        <f t="shared" si="20"/>
        <v>100.99991429723354</v>
      </c>
      <c r="I90" s="4">
        <f t="shared" si="20"/>
        <v>100.87860534996416</v>
      </c>
      <c r="J90" s="4">
        <f t="shared" si="20"/>
        <v>100.7563784086483</v>
      </c>
      <c r="K90" s="4">
        <f t="shared" si="20"/>
        <v>101.38883521215696</v>
      </c>
      <c r="L90" s="4">
        <f t="shared" si="20"/>
        <v>102.02548249524673</v>
      </c>
      <c r="M90" s="4">
        <f t="shared" si="20"/>
        <v>102.66664998132455</v>
      </c>
      <c r="N90" s="4">
        <f t="shared" si="20"/>
        <v>103.31236416061007</v>
      </c>
      <c r="O90" s="4">
        <f t="shared" si="20"/>
        <v>104.3557960340362</v>
      </c>
      <c r="P90" s="4">
        <f t="shared" si="20"/>
        <v>105.4123869329166</v>
      </c>
      <c r="Q90" s="4">
        <f t="shared" si="20"/>
        <v>106.48230539796617</v>
      </c>
      <c r="R90" s="4">
        <f t="shared" si="20"/>
        <v>107.56571846435922</v>
      </c>
      <c r="S90" s="4">
        <f t="shared" si="20"/>
        <v>108.66279553473319</v>
      </c>
      <c r="T90" s="4">
        <f t="shared" si="20"/>
        <v>109.7737095462885</v>
      </c>
      <c r="U90" s="4">
        <f t="shared" si="20"/>
        <v>110.89863543200383</v>
      </c>
      <c r="V90" s="4">
        <f t="shared" si="20"/>
        <v>112.03774966599309</v>
      </c>
      <c r="W90" s="4">
        <f t="shared" si="20"/>
        <v>113.1912314344535</v>
      </c>
      <c r="X90" s="4">
        <f t="shared" si="20"/>
        <v>114.3592605593567</v>
      </c>
      <c r="Y90" s="4">
        <f t="shared" si="20"/>
        <v>115.54202192063732</v>
      </c>
      <c r="Z90" s="4">
        <f t="shared" si="20"/>
        <v>116.73970121686791</v>
      </c>
      <c r="AA90" s="4">
        <f t="shared" si="20"/>
        <v>117.95248614161216</v>
      </c>
      <c r="AB90" s="4">
        <f t="shared" si="20"/>
        <v>119.18056756118082</v>
      </c>
      <c r="AC90" s="4">
        <f t="shared" si="20"/>
        <v>120.42413961095167</v>
      </c>
      <c r="AD90" s="4">
        <f t="shared" si="20"/>
        <v>121.68339654455583</v>
      </c>
      <c r="AE90" s="4">
        <f t="shared" si="20"/>
        <v>122.95936338625991</v>
      </c>
      <c r="AF90" s="4">
        <f t="shared" si="20"/>
        <v>124.25227932261879</v>
      </c>
      <c r="AG90" s="4">
        <f t="shared" si="20"/>
        <v>126.59034104645185</v>
      </c>
      <c r="AH90" s="4">
        <f t="shared" si="20"/>
        <v>128.98365673789291</v>
      </c>
      <c r="AI90" s="4">
        <f t="shared" si="20"/>
        <v>131.43356237432371</v>
      </c>
      <c r="AJ90" s="4">
        <f t="shared" si="20"/>
        <v>133.94143675343736</v>
      </c>
      <c r="AK90" s="4">
        <f t="shared" si="20"/>
        <v>136.50868556285351</v>
      </c>
      <c r="AL90" s="4">
        <f t="shared" si="20"/>
        <v>139.13675363896203</v>
      </c>
      <c r="AM90" s="4">
        <f t="shared" si="20"/>
        <v>141.82711343861641</v>
      </c>
      <c r="AN90" s="4">
        <f t="shared" si="20"/>
        <v>144.58128603325869</v>
      </c>
      <c r="AO90" s="4">
        <f t="shared" si="20"/>
        <v>147.40071487173435</v>
      </c>
      <c r="AP90" s="4">
        <f t="shared" si="20"/>
        <v>150.28699042805439</v>
      </c>
      <c r="AQ90" s="4">
        <f t="shared" si="20"/>
        <v>153.1142346749553</v>
      </c>
      <c r="AR90" s="4">
        <f t="shared" si="20"/>
        <v>156.00768121331254</v>
      </c>
      <c r="AS90" s="4">
        <f t="shared" si="20"/>
        <v>0</v>
      </c>
      <c r="AT90" s="4">
        <f t="shared" si="20"/>
        <v>0</v>
      </c>
      <c r="AU90" s="4">
        <f t="shared" si="20"/>
        <v>0</v>
      </c>
      <c r="AV90" s="4">
        <f t="shared" si="20"/>
        <v>0</v>
      </c>
      <c r="AW90" s="4">
        <f t="shared" si="20"/>
        <v>0</v>
      </c>
      <c r="AX90" s="4">
        <f t="shared" si="20"/>
        <v>0</v>
      </c>
      <c r="AY90" s="4">
        <f t="shared" si="20"/>
        <v>0</v>
      </c>
      <c r="AZ90" s="4">
        <f t="shared" si="20"/>
        <v>0</v>
      </c>
      <c r="BA90" s="4">
        <f t="shared" si="20"/>
        <v>0</v>
      </c>
      <c r="BB90" s="4">
        <f t="shared" si="20"/>
        <v>0</v>
      </c>
      <c r="BC90" s="4">
        <f t="shared" si="20"/>
        <v>0</v>
      </c>
      <c r="BD90" s="4">
        <f t="shared" si="20"/>
        <v>0</v>
      </c>
      <c r="BE90" s="4">
        <f t="shared" si="20"/>
        <v>0</v>
      </c>
      <c r="BF90" s="4">
        <f t="shared" si="20"/>
        <v>0</v>
      </c>
      <c r="BG90" s="4">
        <f t="shared" si="20"/>
        <v>0</v>
      </c>
      <c r="BH90" s="4">
        <f t="shared" si="20"/>
        <v>0</v>
      </c>
      <c r="BI90" s="4">
        <f t="shared" si="20"/>
        <v>0</v>
      </c>
      <c r="BJ90" s="4">
        <f t="shared" si="20"/>
        <v>0</v>
      </c>
      <c r="BK90" s="4">
        <f t="shared" si="20"/>
        <v>0</v>
      </c>
      <c r="BL90" s="4">
        <f t="shared" si="20"/>
        <v>0</v>
      </c>
    </row>
    <row r="91" spans="1:64" x14ac:dyDescent="0.35">
      <c r="A91" s="1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</row>
    <row r="92" spans="1:64" x14ac:dyDescent="0.35">
      <c r="A92" s="1"/>
      <c r="B92" s="2" t="s">
        <v>546</v>
      </c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</row>
    <row r="93" spans="1:64" x14ac:dyDescent="0.35">
      <c r="A93" s="1"/>
      <c r="C93" s="2" t="s">
        <v>549</v>
      </c>
      <c r="D93" s="4">
        <f ca="1">SUMPRODUCT(E90:BL90/E54:BL54)</f>
        <v>3477.2529666092578</v>
      </c>
    </row>
    <row r="94" spans="1:64" x14ac:dyDescent="0.35">
      <c r="A94" s="1"/>
      <c r="C94" s="2" t="s">
        <v>547</v>
      </c>
      <c r="D94" s="4"/>
    </row>
    <row r="95" spans="1:64" x14ac:dyDescent="0.35">
      <c r="A95" s="1"/>
      <c r="C95" s="2" t="s">
        <v>552</v>
      </c>
      <c r="D95" s="61"/>
    </row>
    <row r="96" spans="1:64" x14ac:dyDescent="0.35">
      <c r="A96" s="1"/>
      <c r="C96" s="27" t="s">
        <v>548</v>
      </c>
      <c r="D96" s="28">
        <f ca="1">D93+D95</f>
        <v>3477.2529666092578</v>
      </c>
    </row>
    <row r="97" spans="1:64" x14ac:dyDescent="0.35">
      <c r="A97" s="1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</row>
    <row r="98" spans="1:64" s="40" customFormat="1" x14ac:dyDescent="0.35">
      <c r="A98" s="40" t="s">
        <v>68</v>
      </c>
      <c r="E98" s="175"/>
      <c r="F98" s="175"/>
      <c r="G98" s="175"/>
      <c r="H98" s="175"/>
      <c r="I98" s="175"/>
      <c r="J98" s="175"/>
      <c r="K98" s="175"/>
      <c r="L98" s="175"/>
      <c r="M98" s="175"/>
      <c r="N98" s="175"/>
      <c r="O98" s="175"/>
      <c r="P98" s="175"/>
      <c r="Q98" s="175"/>
      <c r="R98" s="175"/>
      <c r="S98" s="175"/>
      <c r="T98" s="175"/>
      <c r="U98" s="175"/>
      <c r="V98" s="175"/>
      <c r="W98" s="175"/>
      <c r="X98" s="175"/>
      <c r="Y98" s="175"/>
      <c r="Z98" s="175"/>
      <c r="AA98" s="175"/>
      <c r="AB98" s="175"/>
      <c r="AC98" s="175"/>
      <c r="AD98" s="175"/>
      <c r="AE98" s="175"/>
      <c r="AF98" s="175"/>
      <c r="AG98" s="175"/>
      <c r="AH98" s="175"/>
      <c r="AI98" s="175"/>
      <c r="AJ98" s="175"/>
      <c r="AK98" s="175"/>
      <c r="AL98" s="175"/>
      <c r="AM98" s="175"/>
      <c r="AN98" s="175"/>
      <c r="AO98" s="175"/>
      <c r="AP98" s="175"/>
      <c r="AQ98" s="175"/>
      <c r="AR98" s="175"/>
      <c r="AS98" s="175"/>
      <c r="AT98" s="175"/>
      <c r="AU98" s="175"/>
      <c r="AV98" s="175"/>
      <c r="AW98" s="175"/>
      <c r="AX98" s="175"/>
      <c r="AY98" s="175"/>
      <c r="AZ98" s="175"/>
      <c r="BA98" s="175"/>
      <c r="BB98" s="175"/>
      <c r="BC98" s="175"/>
      <c r="BD98" s="175"/>
      <c r="BE98" s="175"/>
      <c r="BF98" s="175"/>
      <c r="BG98" s="175"/>
      <c r="BH98" s="175"/>
      <c r="BI98" s="175"/>
      <c r="BJ98" s="175"/>
      <c r="BK98" s="175"/>
      <c r="BL98" s="175"/>
    </row>
    <row r="99" spans="1:64" x14ac:dyDescent="0.35">
      <c r="A99" s="1"/>
      <c r="C99" s="2" t="s">
        <v>91</v>
      </c>
      <c r="E99" s="4">
        <f t="shared" ref="E99:BL99" ca="1" si="21">D102</f>
        <v>3477.2529666092578</v>
      </c>
      <c r="F99" s="4">
        <f t="shared" ca="1" si="21"/>
        <v>3429.078121250885</v>
      </c>
      <c r="G99" s="4">
        <f t="shared" ca="1" si="21"/>
        <v>3379.2750809247605</v>
      </c>
      <c r="H99" s="4">
        <f t="shared" ca="1" si="21"/>
        <v>3328.8438945788744</v>
      </c>
      <c r="I99" s="4">
        <f t="shared" ca="1" si="21"/>
        <v>3277.7766387003239</v>
      </c>
      <c r="J99" s="4">
        <f t="shared" ca="1" si="21"/>
        <v>3226.0646829308648</v>
      </c>
      <c r="K99" s="4">
        <f t="shared" ca="1" si="21"/>
        <v>3173.6992747661793</v>
      </c>
      <c r="L99" s="4">
        <f t="shared" ca="1" si="21"/>
        <v>3119.9159286755153</v>
      </c>
      <c r="M99" s="4">
        <f t="shared" ca="1" si="21"/>
        <v>3064.6891851104015</v>
      </c>
      <c r="N99" s="4">
        <f t="shared" ca="1" si="21"/>
        <v>3007.9928729057328</v>
      </c>
      <c r="O99" s="4">
        <f t="shared" ca="1" si="21"/>
        <v>2949.8004018387087</v>
      </c>
      <c r="P99" s="4">
        <f t="shared" ca="1" si="21"/>
        <v>2889.6916118322533</v>
      </c>
      <c r="Q99" s="4">
        <f t="shared" ca="1" si="21"/>
        <v>2827.6245990768207</v>
      </c>
      <c r="R99" s="4">
        <f t="shared" ca="1" si="21"/>
        <v>2763.556662665007</v>
      </c>
      <c r="S99" s="4">
        <f t="shared" ca="1" si="21"/>
        <v>2697.4442941406228</v>
      </c>
      <c r="T99" s="4">
        <f t="shared" ca="1" si="21"/>
        <v>2629.243163017999</v>
      </c>
      <c r="U99" s="4">
        <f t="shared" ca="1" si="21"/>
        <v>2558.9081009169804</v>
      </c>
      <c r="V99" s="4">
        <f t="shared" ca="1" si="21"/>
        <v>2486.3930869987312</v>
      </c>
      <c r="W99" s="4">
        <f t="shared" ca="1" si="21"/>
        <v>2411.6512336377191</v>
      </c>
      <c r="X99" s="4">
        <f t="shared" ca="1" si="21"/>
        <v>2334.6347707078312</v>
      </c>
      <c r="Y99" s="4">
        <f t="shared" ca="1" si="21"/>
        <v>2255.2950317090917</v>
      </c>
      <c r="Z99" s="4">
        <f t="shared" ca="1" si="21"/>
        <v>2173.5824352640907</v>
      </c>
      <c r="AA99" s="4">
        <f t="shared" ca="1" si="21"/>
        <v>2089.4464705761843</v>
      </c>
      <c r="AB99" s="4">
        <f t="shared" ca="1" si="21"/>
        <v>2002.8356814932149</v>
      </c>
      <c r="AC99" s="4">
        <f t="shared" ca="1" si="21"/>
        <v>1913.6976491544324</v>
      </c>
      <c r="AD99" s="4">
        <f t="shared" ca="1" si="21"/>
        <v>1821.9789742807973</v>
      </c>
      <c r="AE99" s="4">
        <f t="shared" ca="1" si="21"/>
        <v>1727.6252623504533</v>
      </c>
      <c r="AF99" s="4">
        <f t="shared" ca="1" si="21"/>
        <v>1630.5802778994503</v>
      </c>
      <c r="AG99" s="4">
        <f t="shared" ca="1" si="21"/>
        <v>1530.7867027453233</v>
      </c>
      <c r="AH99" s="4">
        <f t="shared" ca="1" si="21"/>
        <v>1427.1581622400513</v>
      </c>
      <c r="AI99" s="4">
        <f t="shared" ca="1" si="21"/>
        <v>1319.5818779357592</v>
      </c>
      <c r="AJ99" s="4">
        <f t="shared" ca="1" si="21"/>
        <v>1207.9420437304718</v>
      </c>
      <c r="AK99" s="4">
        <f t="shared" ca="1" si="21"/>
        <v>1092.1197376329915</v>
      </c>
      <c r="AL99" s="4">
        <f t="shared" ca="1" si="21"/>
        <v>971.99284813463282</v>
      </c>
      <c r="AM99" s="4">
        <f t="shared" ca="1" si="21"/>
        <v>847.43598721769024</v>
      </c>
      <c r="AN99" s="4">
        <f t="shared" ca="1" si="21"/>
        <v>718.3204135873392</v>
      </c>
      <c r="AO99" s="4">
        <f t="shared" ca="1" si="21"/>
        <v>584.51393375789053</v>
      </c>
      <c r="AP99" s="4">
        <f t="shared" ca="1" si="21"/>
        <v>445.88092789252454</v>
      </c>
      <c r="AQ99" s="4">
        <f t="shared" ca="1" si="21"/>
        <v>302.28215138285805</v>
      </c>
      <c r="AR99" s="4">
        <f t="shared" ca="1" si="21"/>
        <v>153.70214897864562</v>
      </c>
      <c r="AS99" s="4">
        <f t="shared" ca="1" si="21"/>
        <v>1.2761347534251399E-11</v>
      </c>
      <c r="AT99" s="4">
        <f t="shared" ca="1" si="21"/>
        <v>1.2952767747265171E-11</v>
      </c>
      <c r="AU99" s="4">
        <f t="shared" ca="1" si="21"/>
        <v>1.3147059263474148E-11</v>
      </c>
      <c r="AV99" s="4">
        <f t="shared" ca="1" si="21"/>
        <v>1.3344265152426261E-11</v>
      </c>
      <c r="AW99" s="4">
        <f t="shared" ca="1" si="21"/>
        <v>1.3544429129712654E-11</v>
      </c>
      <c r="AX99" s="4">
        <f t="shared" ca="1" si="21"/>
        <v>1.3747595566658344E-11</v>
      </c>
      <c r="AY99" s="4">
        <f t="shared" ca="1" si="21"/>
        <v>1.3953809500158219E-11</v>
      </c>
      <c r="AZ99" s="4">
        <f t="shared" ca="1" si="21"/>
        <v>1.4163116642660592E-11</v>
      </c>
      <c r="BA99" s="4">
        <f t="shared" ca="1" si="21"/>
        <v>1.43755633923005E-11</v>
      </c>
      <c r="BB99" s="4">
        <f t="shared" ca="1" si="21"/>
        <v>1.4591196843185007E-11</v>
      </c>
      <c r="BC99" s="4">
        <f t="shared" ca="1" si="21"/>
        <v>1.4810064795832781E-11</v>
      </c>
      <c r="BD99" s="4">
        <f t="shared" ca="1" si="21"/>
        <v>1.5032215767770273E-11</v>
      </c>
      <c r="BE99" s="4">
        <f t="shared" ca="1" si="21"/>
        <v>1.5257699004286825E-11</v>
      </c>
      <c r="BF99" s="4">
        <f t="shared" ca="1" si="21"/>
        <v>1.5486564489351129E-11</v>
      </c>
      <c r="BG99" s="4">
        <f t="shared" ca="1" si="21"/>
        <v>1.5718862956691396E-11</v>
      </c>
      <c r="BH99" s="4">
        <f t="shared" ca="1" si="21"/>
        <v>1.5954645901041767E-11</v>
      </c>
      <c r="BI99" s="4">
        <f t="shared" ca="1" si="21"/>
        <v>1.6193965589557393E-11</v>
      </c>
      <c r="BJ99" s="4">
        <f t="shared" ca="1" si="21"/>
        <v>1.6436875073400753E-11</v>
      </c>
      <c r="BK99" s="4">
        <f t="shared" ca="1" si="21"/>
        <v>1.6683428199501765E-11</v>
      </c>
      <c r="BL99" s="4">
        <f t="shared" ca="1" si="21"/>
        <v>1.6933679622494293E-11</v>
      </c>
    </row>
    <row r="100" spans="1:64" x14ac:dyDescent="0.35">
      <c r="A100" s="1"/>
      <c r="C100" s="2" t="s">
        <v>541</v>
      </c>
      <c r="E100" s="4">
        <f t="shared" ref="E100:AJ100" ca="1" si="22">E88-E104-E89</f>
        <v>48.174845358372536</v>
      </c>
      <c r="F100" s="4">
        <f t="shared" ca="1" si="22"/>
        <v>49.803040326124361</v>
      </c>
      <c r="G100" s="4">
        <f t="shared" ca="1" si="22"/>
        <v>50.431186345885919</v>
      </c>
      <c r="H100" s="4">
        <f t="shared" ca="1" si="22"/>
        <v>51.067255878550434</v>
      </c>
      <c r="I100" s="4">
        <f t="shared" ca="1" si="22"/>
        <v>51.711955769459301</v>
      </c>
      <c r="J100" s="4">
        <f t="shared" ca="1" si="22"/>
        <v>52.365408164685334</v>
      </c>
      <c r="K100" s="4">
        <f t="shared" ca="1" si="22"/>
        <v>53.783346090664274</v>
      </c>
      <c r="L100" s="4">
        <f t="shared" ca="1" si="22"/>
        <v>55.226743565114006</v>
      </c>
      <c r="M100" s="4">
        <f t="shared" ca="1" si="22"/>
        <v>56.69631220466853</v>
      </c>
      <c r="N100" s="4">
        <f t="shared" ca="1" si="22"/>
        <v>58.19247106702408</v>
      </c>
      <c r="O100" s="4">
        <f t="shared" ca="1" si="22"/>
        <v>60.108790006455571</v>
      </c>
      <c r="P100" s="4">
        <f t="shared" ca="1" si="22"/>
        <v>62.067012755432806</v>
      </c>
      <c r="Q100" s="4">
        <f t="shared" ca="1" si="22"/>
        <v>64.067936411813861</v>
      </c>
      <c r="R100" s="4">
        <f t="shared" ca="1" si="22"/>
        <v>66.112368524384124</v>
      </c>
      <c r="S100" s="4">
        <f t="shared" ca="1" si="22"/>
        <v>68.201131122623849</v>
      </c>
      <c r="T100" s="4">
        <f t="shared" ca="1" si="22"/>
        <v>70.335062101018508</v>
      </c>
      <c r="U100" s="4">
        <f t="shared" ca="1" si="22"/>
        <v>72.515013918249124</v>
      </c>
      <c r="V100" s="4">
        <f t="shared" ca="1" si="22"/>
        <v>74.741853361012119</v>
      </c>
      <c r="W100" s="4">
        <f t="shared" ca="1" si="22"/>
        <v>77.016462929887723</v>
      </c>
      <c r="X100" s="4">
        <f t="shared" ca="1" si="22"/>
        <v>79.339738998739222</v>
      </c>
      <c r="Y100" s="4">
        <f t="shared" ca="1" si="22"/>
        <v>81.712596445000941</v>
      </c>
      <c r="Z100" s="4">
        <f t="shared" ca="1" si="22"/>
        <v>84.135964687906551</v>
      </c>
      <c r="AA100" s="4">
        <f t="shared" ca="1" si="22"/>
        <v>86.61078908296939</v>
      </c>
      <c r="AB100" s="4">
        <f t="shared" ca="1" si="22"/>
        <v>89.138032338782608</v>
      </c>
      <c r="AC100" s="4">
        <f t="shared" ca="1" si="22"/>
        <v>91.71867487363518</v>
      </c>
      <c r="AD100" s="4">
        <f t="shared" ca="1" si="22"/>
        <v>94.353711930343877</v>
      </c>
      <c r="AE100" s="4">
        <f t="shared" ca="1" si="22"/>
        <v>97.044984451003103</v>
      </c>
      <c r="AF100" s="4">
        <f t="shared" ca="1" si="22"/>
        <v>99.793575154127041</v>
      </c>
      <c r="AG100" s="4">
        <f t="shared" ca="1" si="22"/>
        <v>103.62854050527201</v>
      </c>
      <c r="AH100" s="4">
        <f t="shared" ca="1" si="22"/>
        <v>107.57628430429214</v>
      </c>
      <c r="AI100" s="4">
        <f t="shared" ca="1" si="22"/>
        <v>111.63983420528733</v>
      </c>
      <c r="AJ100" s="4">
        <f t="shared" ca="1" si="22"/>
        <v>115.82230609748028</v>
      </c>
      <c r="AK100" s="4">
        <f t="shared" ref="AK100:BL100" ca="1" si="23">AK88-AK104-AK89</f>
        <v>120.12688949835865</v>
      </c>
      <c r="AL100" s="4">
        <f t="shared" ca="1" si="23"/>
        <v>124.55686091694254</v>
      </c>
      <c r="AM100" s="4">
        <f t="shared" ca="1" si="23"/>
        <v>129.11557363035107</v>
      </c>
      <c r="AN100" s="4">
        <f t="shared" ca="1" si="23"/>
        <v>133.80647982944862</v>
      </c>
      <c r="AO100" s="4">
        <f t="shared" ca="1" si="23"/>
        <v>138.63300586536599</v>
      </c>
      <c r="AP100" s="4">
        <f t="shared" ca="1" si="23"/>
        <v>143.59877650966652</v>
      </c>
      <c r="AQ100" s="4">
        <f t="shared" ca="1" si="23"/>
        <v>148.58000240421242</v>
      </c>
      <c r="AR100" s="4">
        <f t="shared" ca="1" si="23"/>
        <v>153.70214897863286</v>
      </c>
      <c r="AS100" s="4">
        <f t="shared" ca="1" si="23"/>
        <v>-1.9142021301377097E-13</v>
      </c>
      <c r="AT100" s="4">
        <f t="shared" ca="1" si="23"/>
        <v>-1.9429151620897756E-13</v>
      </c>
      <c r="AU100" s="4">
        <f t="shared" ca="1" si="23"/>
        <v>-1.9720588895211223E-13</v>
      </c>
      <c r="AV100" s="4">
        <f t="shared" ca="1" si="23"/>
        <v>-2.0016397728639391E-13</v>
      </c>
      <c r="AW100" s="4">
        <f t="shared" ca="1" si="23"/>
        <v>-2.031664369456898E-13</v>
      </c>
      <c r="AX100" s="4">
        <f t="shared" ca="1" si="23"/>
        <v>-2.0621393349987516E-13</v>
      </c>
      <c r="AY100" s="4">
        <f t="shared" ca="1" si="23"/>
        <v>-2.0930714250237327E-13</v>
      </c>
      <c r="AZ100" s="4">
        <f t="shared" ca="1" si="23"/>
        <v>-2.1244674963990886E-13</v>
      </c>
      <c r="BA100" s="4">
        <f t="shared" ca="1" si="23"/>
        <v>-2.1563345088450751E-13</v>
      </c>
      <c r="BB100" s="4">
        <f t="shared" ca="1" si="23"/>
        <v>-2.1886795264777508E-13</v>
      </c>
      <c r="BC100" s="4">
        <f t="shared" ca="1" si="23"/>
        <v>-2.2215097193749169E-13</v>
      </c>
      <c r="BD100" s="4">
        <f t="shared" ca="1" si="23"/>
        <v>-2.2548323651655409E-13</v>
      </c>
      <c r="BE100" s="4">
        <f t="shared" ca="1" si="23"/>
        <v>-2.2886548506430235E-13</v>
      </c>
      <c r="BF100" s="4">
        <f t="shared" ca="1" si="23"/>
        <v>-2.3229846734026694E-13</v>
      </c>
      <c r="BG100" s="4">
        <f t="shared" ca="1" si="23"/>
        <v>-2.3578294435037092E-13</v>
      </c>
      <c r="BH100" s="4">
        <f t="shared" ca="1" si="23"/>
        <v>-2.3931968851562649E-13</v>
      </c>
      <c r="BI100" s="4">
        <f t="shared" ca="1" si="23"/>
        <v>-2.4290948384336089E-13</v>
      </c>
      <c r="BJ100" s="4">
        <f t="shared" ca="1" si="23"/>
        <v>-2.465531261010113E-13</v>
      </c>
      <c r="BK100" s="4">
        <f t="shared" ca="1" si="23"/>
        <v>-2.5025142299252644E-13</v>
      </c>
      <c r="BL100" s="4">
        <f t="shared" ca="1" si="23"/>
        <v>-2.540051943374144E-13</v>
      </c>
    </row>
    <row r="101" spans="1:64" x14ac:dyDescent="0.35">
      <c r="A101" s="1"/>
      <c r="C101" s="2" t="s">
        <v>542</v>
      </c>
      <c r="E101" s="61"/>
      <c r="F101" s="61"/>
      <c r="G101" s="61"/>
      <c r="H101" s="61"/>
      <c r="I101" s="61"/>
      <c r="J101" s="61"/>
      <c r="K101" s="61"/>
      <c r="L101" s="61"/>
      <c r="M101" s="61"/>
      <c r="N101" s="61"/>
      <c r="O101" s="61"/>
      <c r="P101" s="61"/>
      <c r="Q101" s="61"/>
      <c r="R101" s="61"/>
      <c r="S101" s="61"/>
      <c r="T101" s="61"/>
      <c r="U101" s="61"/>
      <c r="V101" s="61"/>
      <c r="W101" s="61"/>
      <c r="X101" s="61"/>
      <c r="Y101" s="61"/>
      <c r="Z101" s="61"/>
      <c r="AA101" s="61"/>
      <c r="AB101" s="61"/>
      <c r="AC101" s="61"/>
      <c r="AD101" s="61"/>
      <c r="AE101" s="61"/>
      <c r="AF101" s="61"/>
      <c r="AG101" s="61"/>
      <c r="AH101" s="61"/>
      <c r="AI101" s="61"/>
      <c r="AJ101" s="61"/>
      <c r="AK101" s="61"/>
      <c r="AL101" s="61"/>
      <c r="AM101" s="61"/>
      <c r="AN101" s="61"/>
      <c r="AO101" s="61"/>
      <c r="AP101" s="61"/>
      <c r="AQ101" s="61"/>
      <c r="AR101" s="61"/>
      <c r="AS101" s="61"/>
      <c r="AT101" s="61"/>
      <c r="AU101" s="61"/>
      <c r="AV101" s="61"/>
      <c r="AW101" s="61"/>
      <c r="AX101" s="61"/>
      <c r="AY101" s="61"/>
      <c r="AZ101" s="61"/>
      <c r="BA101" s="61"/>
      <c r="BB101" s="61"/>
      <c r="BC101" s="61"/>
      <c r="BD101" s="61"/>
      <c r="BE101" s="61"/>
      <c r="BF101" s="61"/>
      <c r="BG101" s="61"/>
      <c r="BH101" s="61"/>
      <c r="BI101" s="61"/>
      <c r="BJ101" s="61"/>
      <c r="BK101" s="61"/>
      <c r="BL101" s="61"/>
    </row>
    <row r="102" spans="1:64" x14ac:dyDescent="0.35">
      <c r="A102" s="1"/>
      <c r="C102" s="2" t="s">
        <v>559</v>
      </c>
      <c r="D102" s="4">
        <f ca="1">D96</f>
        <v>3477.2529666092578</v>
      </c>
      <c r="E102" s="4">
        <f ca="1">E99-E100-E101</f>
        <v>3429.078121250885</v>
      </c>
      <c r="F102" s="4">
        <f t="shared" ref="F102:BL102" ca="1" si="24">F99-F100-F101</f>
        <v>3379.2750809247605</v>
      </c>
      <c r="G102" s="4">
        <f t="shared" ca="1" si="24"/>
        <v>3328.8438945788744</v>
      </c>
      <c r="H102" s="4">
        <f t="shared" ca="1" si="24"/>
        <v>3277.7766387003239</v>
      </c>
      <c r="I102" s="4">
        <f t="shared" ca="1" si="24"/>
        <v>3226.0646829308648</v>
      </c>
      <c r="J102" s="4">
        <f t="shared" ca="1" si="24"/>
        <v>3173.6992747661793</v>
      </c>
      <c r="K102" s="4">
        <f t="shared" ca="1" si="24"/>
        <v>3119.9159286755153</v>
      </c>
      <c r="L102" s="4">
        <f t="shared" ca="1" si="24"/>
        <v>3064.6891851104015</v>
      </c>
      <c r="M102" s="4">
        <f t="shared" ca="1" si="24"/>
        <v>3007.9928729057328</v>
      </c>
      <c r="N102" s="4">
        <f t="shared" ca="1" si="24"/>
        <v>2949.8004018387087</v>
      </c>
      <c r="O102" s="4">
        <f t="shared" ca="1" si="24"/>
        <v>2889.6916118322533</v>
      </c>
      <c r="P102" s="4">
        <f t="shared" ca="1" si="24"/>
        <v>2827.6245990768207</v>
      </c>
      <c r="Q102" s="4">
        <f t="shared" ca="1" si="24"/>
        <v>2763.556662665007</v>
      </c>
      <c r="R102" s="4">
        <f t="shared" ca="1" si="24"/>
        <v>2697.4442941406228</v>
      </c>
      <c r="S102" s="4">
        <f t="shared" ca="1" si="24"/>
        <v>2629.243163017999</v>
      </c>
      <c r="T102" s="4">
        <f t="shared" ca="1" si="24"/>
        <v>2558.9081009169804</v>
      </c>
      <c r="U102" s="4">
        <f t="shared" ca="1" si="24"/>
        <v>2486.3930869987312</v>
      </c>
      <c r="V102" s="4">
        <f t="shared" ca="1" si="24"/>
        <v>2411.6512336377191</v>
      </c>
      <c r="W102" s="4">
        <f t="shared" ca="1" si="24"/>
        <v>2334.6347707078312</v>
      </c>
      <c r="X102" s="4">
        <f t="shared" ca="1" si="24"/>
        <v>2255.2950317090917</v>
      </c>
      <c r="Y102" s="4">
        <f t="shared" ca="1" si="24"/>
        <v>2173.5824352640907</v>
      </c>
      <c r="Z102" s="4">
        <f t="shared" ca="1" si="24"/>
        <v>2089.4464705761843</v>
      </c>
      <c r="AA102" s="4">
        <f t="shared" ca="1" si="24"/>
        <v>2002.8356814932149</v>
      </c>
      <c r="AB102" s="4">
        <f t="shared" ca="1" si="24"/>
        <v>1913.6976491544324</v>
      </c>
      <c r="AC102" s="4">
        <f t="shared" ca="1" si="24"/>
        <v>1821.9789742807973</v>
      </c>
      <c r="AD102" s="4">
        <f t="shared" ca="1" si="24"/>
        <v>1727.6252623504533</v>
      </c>
      <c r="AE102" s="4">
        <f t="shared" ca="1" si="24"/>
        <v>1630.5802778994503</v>
      </c>
      <c r="AF102" s="4">
        <f t="shared" ca="1" si="24"/>
        <v>1530.7867027453233</v>
      </c>
      <c r="AG102" s="4">
        <f t="shared" ca="1" si="24"/>
        <v>1427.1581622400513</v>
      </c>
      <c r="AH102" s="4">
        <f t="shared" ca="1" si="24"/>
        <v>1319.5818779357592</v>
      </c>
      <c r="AI102" s="4">
        <f t="shared" ca="1" si="24"/>
        <v>1207.9420437304718</v>
      </c>
      <c r="AJ102" s="4">
        <f t="shared" ca="1" si="24"/>
        <v>1092.1197376329915</v>
      </c>
      <c r="AK102" s="4">
        <f t="shared" ca="1" si="24"/>
        <v>971.99284813463282</v>
      </c>
      <c r="AL102" s="4">
        <f t="shared" ca="1" si="24"/>
        <v>847.43598721769024</v>
      </c>
      <c r="AM102" s="4">
        <f t="shared" ca="1" si="24"/>
        <v>718.3204135873392</v>
      </c>
      <c r="AN102" s="4">
        <f t="shared" ca="1" si="24"/>
        <v>584.51393375789053</v>
      </c>
      <c r="AO102" s="4">
        <f t="shared" ca="1" si="24"/>
        <v>445.88092789252454</v>
      </c>
      <c r="AP102" s="4">
        <f t="shared" ca="1" si="24"/>
        <v>302.28215138285805</v>
      </c>
      <c r="AQ102" s="4">
        <f t="shared" ca="1" si="24"/>
        <v>153.70214897864562</v>
      </c>
      <c r="AR102" s="4">
        <f t="shared" ca="1" si="24"/>
        <v>1.2761347534251399E-11</v>
      </c>
      <c r="AS102" s="4">
        <f t="shared" ca="1" si="24"/>
        <v>1.2952767747265171E-11</v>
      </c>
      <c r="AT102" s="4">
        <f t="shared" ca="1" si="24"/>
        <v>1.3147059263474148E-11</v>
      </c>
      <c r="AU102" s="4">
        <f t="shared" ca="1" si="24"/>
        <v>1.3344265152426261E-11</v>
      </c>
      <c r="AV102" s="4">
        <f t="shared" ca="1" si="24"/>
        <v>1.3544429129712654E-11</v>
      </c>
      <c r="AW102" s="4">
        <f t="shared" ca="1" si="24"/>
        <v>1.3747595566658344E-11</v>
      </c>
      <c r="AX102" s="4">
        <f t="shared" ca="1" si="24"/>
        <v>1.3953809500158219E-11</v>
      </c>
      <c r="AY102" s="4">
        <f t="shared" ca="1" si="24"/>
        <v>1.4163116642660592E-11</v>
      </c>
      <c r="AZ102" s="4">
        <f t="shared" ca="1" si="24"/>
        <v>1.43755633923005E-11</v>
      </c>
      <c r="BA102" s="4">
        <f t="shared" ca="1" si="24"/>
        <v>1.4591196843185007E-11</v>
      </c>
      <c r="BB102" s="4">
        <f t="shared" ca="1" si="24"/>
        <v>1.4810064795832781E-11</v>
      </c>
      <c r="BC102" s="4">
        <f t="shared" ca="1" si="24"/>
        <v>1.5032215767770273E-11</v>
      </c>
      <c r="BD102" s="4">
        <f t="shared" ca="1" si="24"/>
        <v>1.5257699004286825E-11</v>
      </c>
      <c r="BE102" s="4">
        <f t="shared" ca="1" si="24"/>
        <v>1.5486564489351129E-11</v>
      </c>
      <c r="BF102" s="4">
        <f t="shared" ca="1" si="24"/>
        <v>1.5718862956691396E-11</v>
      </c>
      <c r="BG102" s="4">
        <f t="shared" ca="1" si="24"/>
        <v>1.5954645901041767E-11</v>
      </c>
      <c r="BH102" s="4">
        <f t="shared" ca="1" si="24"/>
        <v>1.6193965589557393E-11</v>
      </c>
      <c r="BI102" s="4">
        <f t="shared" ca="1" si="24"/>
        <v>1.6436875073400753E-11</v>
      </c>
      <c r="BJ102" s="4">
        <f t="shared" ca="1" si="24"/>
        <v>1.6683428199501765E-11</v>
      </c>
      <c r="BK102" s="4">
        <f t="shared" ca="1" si="24"/>
        <v>1.6933679622494293E-11</v>
      </c>
      <c r="BL102" s="4">
        <f t="shared" ca="1" si="24"/>
        <v>1.7187684816831706E-11</v>
      </c>
    </row>
    <row r="103" spans="1:64" x14ac:dyDescent="0.35">
      <c r="A103" s="1"/>
      <c r="C103" s="2" t="s">
        <v>72</v>
      </c>
      <c r="D103" s="4"/>
      <c r="E103" s="12">
        <f t="shared" ref="E103:AJ103" si="25">E53</f>
        <v>1.4999999999999999E-2</v>
      </c>
      <c r="F103" s="12">
        <f t="shared" si="25"/>
        <v>1.4999999999999999E-2</v>
      </c>
      <c r="G103" s="12">
        <f t="shared" si="25"/>
        <v>1.4999999999999999E-2</v>
      </c>
      <c r="H103" s="12">
        <f t="shared" si="25"/>
        <v>1.4999999999999999E-2</v>
      </c>
      <c r="I103" s="12">
        <f t="shared" si="25"/>
        <v>1.4999999999999999E-2</v>
      </c>
      <c r="J103" s="12">
        <f t="shared" si="25"/>
        <v>1.4999999999999999E-2</v>
      </c>
      <c r="K103" s="12">
        <f t="shared" si="25"/>
        <v>1.4999999999999999E-2</v>
      </c>
      <c r="L103" s="12">
        <f t="shared" si="25"/>
        <v>1.4999999999999999E-2</v>
      </c>
      <c r="M103" s="12">
        <f t="shared" si="25"/>
        <v>1.4999999999999999E-2</v>
      </c>
      <c r="N103" s="12">
        <f t="shared" si="25"/>
        <v>1.4999999999999999E-2</v>
      </c>
      <c r="O103" s="12">
        <f t="shared" si="25"/>
        <v>1.4999999999999999E-2</v>
      </c>
      <c r="P103" s="12">
        <f t="shared" si="25"/>
        <v>1.4999999999999999E-2</v>
      </c>
      <c r="Q103" s="12">
        <f t="shared" si="25"/>
        <v>1.4999999999999999E-2</v>
      </c>
      <c r="R103" s="12">
        <f t="shared" si="25"/>
        <v>1.4999999999999999E-2</v>
      </c>
      <c r="S103" s="12">
        <f t="shared" si="25"/>
        <v>1.4999999999999999E-2</v>
      </c>
      <c r="T103" s="12">
        <f t="shared" si="25"/>
        <v>1.4999999999999999E-2</v>
      </c>
      <c r="U103" s="12">
        <f t="shared" si="25"/>
        <v>1.4999999999999999E-2</v>
      </c>
      <c r="V103" s="12">
        <f t="shared" si="25"/>
        <v>1.4999999999999999E-2</v>
      </c>
      <c r="W103" s="12">
        <f t="shared" si="25"/>
        <v>1.4999999999999999E-2</v>
      </c>
      <c r="X103" s="12">
        <f t="shared" si="25"/>
        <v>1.4999999999999999E-2</v>
      </c>
      <c r="Y103" s="12">
        <f t="shared" si="25"/>
        <v>1.4999999999999999E-2</v>
      </c>
      <c r="Z103" s="12">
        <f t="shared" si="25"/>
        <v>1.4999999999999999E-2</v>
      </c>
      <c r="AA103" s="12">
        <f t="shared" si="25"/>
        <v>1.4999999999999999E-2</v>
      </c>
      <c r="AB103" s="12">
        <f t="shared" si="25"/>
        <v>1.4999999999999999E-2</v>
      </c>
      <c r="AC103" s="12">
        <f t="shared" si="25"/>
        <v>1.4999999999999999E-2</v>
      </c>
      <c r="AD103" s="12">
        <f t="shared" si="25"/>
        <v>1.4999999999999999E-2</v>
      </c>
      <c r="AE103" s="12">
        <f t="shared" si="25"/>
        <v>1.4999999999999999E-2</v>
      </c>
      <c r="AF103" s="12">
        <f t="shared" si="25"/>
        <v>1.4999999999999999E-2</v>
      </c>
      <c r="AG103" s="12">
        <f t="shared" si="25"/>
        <v>1.4999999999999999E-2</v>
      </c>
      <c r="AH103" s="12">
        <f t="shared" si="25"/>
        <v>1.4999999999999999E-2</v>
      </c>
      <c r="AI103" s="12">
        <f t="shared" si="25"/>
        <v>1.4999999999999999E-2</v>
      </c>
      <c r="AJ103" s="12">
        <f t="shared" si="25"/>
        <v>1.4999999999999999E-2</v>
      </c>
      <c r="AK103" s="12">
        <f t="shared" ref="AK103:BL103" si="26">AK53</f>
        <v>1.4999999999999999E-2</v>
      </c>
      <c r="AL103" s="12">
        <f t="shared" si="26"/>
        <v>1.4999999999999999E-2</v>
      </c>
      <c r="AM103" s="12">
        <f t="shared" si="26"/>
        <v>1.4999999999999999E-2</v>
      </c>
      <c r="AN103" s="12">
        <f t="shared" si="26"/>
        <v>1.4999999999999999E-2</v>
      </c>
      <c r="AO103" s="12">
        <f t="shared" si="26"/>
        <v>1.4999999999999999E-2</v>
      </c>
      <c r="AP103" s="12">
        <f t="shared" si="26"/>
        <v>1.4999999999999999E-2</v>
      </c>
      <c r="AQ103" s="12">
        <f t="shared" si="26"/>
        <v>1.4999999999999999E-2</v>
      </c>
      <c r="AR103" s="12">
        <f t="shared" si="26"/>
        <v>1.4999999999999999E-2</v>
      </c>
      <c r="AS103" s="12">
        <f t="shared" si="26"/>
        <v>1.4999999999999999E-2</v>
      </c>
      <c r="AT103" s="12">
        <f t="shared" si="26"/>
        <v>1.4999999999999999E-2</v>
      </c>
      <c r="AU103" s="12">
        <f t="shared" si="26"/>
        <v>1.4999999999999999E-2</v>
      </c>
      <c r="AV103" s="12">
        <f t="shared" si="26"/>
        <v>1.4999999999999999E-2</v>
      </c>
      <c r="AW103" s="12">
        <f t="shared" si="26"/>
        <v>1.4999999999999999E-2</v>
      </c>
      <c r="AX103" s="12">
        <f t="shared" si="26"/>
        <v>1.4999999999999999E-2</v>
      </c>
      <c r="AY103" s="12">
        <f t="shared" si="26"/>
        <v>1.4999999999999999E-2</v>
      </c>
      <c r="AZ103" s="12">
        <f t="shared" si="26"/>
        <v>1.4999999999999999E-2</v>
      </c>
      <c r="BA103" s="12">
        <f t="shared" si="26"/>
        <v>1.4999999999999999E-2</v>
      </c>
      <c r="BB103" s="12">
        <f t="shared" si="26"/>
        <v>1.4999999999999999E-2</v>
      </c>
      <c r="BC103" s="12">
        <f t="shared" si="26"/>
        <v>1.4999999999999999E-2</v>
      </c>
      <c r="BD103" s="12">
        <f t="shared" si="26"/>
        <v>1.4999999999999999E-2</v>
      </c>
      <c r="BE103" s="12">
        <f t="shared" si="26"/>
        <v>1.4999999999999999E-2</v>
      </c>
      <c r="BF103" s="12">
        <f t="shared" si="26"/>
        <v>1.4999999999999999E-2</v>
      </c>
      <c r="BG103" s="12">
        <f t="shared" si="26"/>
        <v>1.4999999999999999E-2</v>
      </c>
      <c r="BH103" s="12">
        <f t="shared" si="26"/>
        <v>1.4999999999999999E-2</v>
      </c>
      <c r="BI103" s="12">
        <f t="shared" si="26"/>
        <v>1.4999999999999999E-2</v>
      </c>
      <c r="BJ103" s="12">
        <f t="shared" si="26"/>
        <v>1.4999999999999999E-2</v>
      </c>
      <c r="BK103" s="12">
        <f t="shared" si="26"/>
        <v>1.4999999999999999E-2</v>
      </c>
      <c r="BL103" s="12">
        <f t="shared" si="26"/>
        <v>1.4999999999999999E-2</v>
      </c>
    </row>
    <row r="104" spans="1:64" x14ac:dyDescent="0.35">
      <c r="A104" s="1"/>
      <c r="C104" s="2" t="s">
        <v>310</v>
      </c>
      <c r="E104" s="4">
        <f ca="1">E99*E103</f>
        <v>52.158794499138864</v>
      </c>
      <c r="F104" s="4">
        <f t="shared" ref="F104:BL104" ca="1" si="27">F99*F103</f>
        <v>51.43617181876327</v>
      </c>
      <c r="G104" s="4">
        <f t="shared" ca="1" si="27"/>
        <v>50.689126213871404</v>
      </c>
      <c r="H104" s="4">
        <f t="shared" ca="1" si="27"/>
        <v>49.932658418683111</v>
      </c>
      <c r="I104" s="4">
        <f t="shared" ca="1" si="27"/>
        <v>49.16664958050486</v>
      </c>
      <c r="J104" s="4">
        <f t="shared" ca="1" si="27"/>
        <v>48.390970243962968</v>
      </c>
      <c r="K104" s="4">
        <f t="shared" ca="1" si="27"/>
        <v>47.605489121492688</v>
      </c>
      <c r="L104" s="4">
        <f t="shared" ca="1" si="27"/>
        <v>46.798738930132728</v>
      </c>
      <c r="M104" s="4">
        <f t="shared" ca="1" si="27"/>
        <v>45.970337776656024</v>
      </c>
      <c r="N104" s="4">
        <f t="shared" ca="1" si="27"/>
        <v>45.119893093585993</v>
      </c>
      <c r="O104" s="4">
        <f t="shared" ca="1" si="27"/>
        <v>44.247006027580632</v>
      </c>
      <c r="P104" s="4">
        <f t="shared" ca="1" si="27"/>
        <v>43.345374177483798</v>
      </c>
      <c r="Q104" s="4">
        <f t="shared" ca="1" si="27"/>
        <v>42.414368986152311</v>
      </c>
      <c r="R104" s="4">
        <f t="shared" ca="1" si="27"/>
        <v>41.453349939975105</v>
      </c>
      <c r="S104" s="4">
        <f t="shared" ca="1" si="27"/>
        <v>40.461664412109343</v>
      </c>
      <c r="T104" s="4">
        <f t="shared" ca="1" si="27"/>
        <v>39.438647445269986</v>
      </c>
      <c r="U104" s="4">
        <f t="shared" ca="1" si="27"/>
        <v>38.383621513754704</v>
      </c>
      <c r="V104" s="4">
        <f t="shared" ca="1" si="27"/>
        <v>37.295896304980964</v>
      </c>
      <c r="W104" s="4">
        <f t="shared" ca="1" si="27"/>
        <v>36.174768504565783</v>
      </c>
      <c r="X104" s="4">
        <f t="shared" ca="1" si="27"/>
        <v>35.01952156061747</v>
      </c>
      <c r="Y104" s="4">
        <f t="shared" ca="1" si="27"/>
        <v>33.829425475636377</v>
      </c>
      <c r="Z104" s="4">
        <f t="shared" ca="1" si="27"/>
        <v>32.603736528961356</v>
      </c>
      <c r="AA104" s="4">
        <f t="shared" ca="1" si="27"/>
        <v>31.341697058642765</v>
      </c>
      <c r="AB104" s="4">
        <f t="shared" ca="1" si="27"/>
        <v>30.042535222398222</v>
      </c>
      <c r="AC104" s="4">
        <f t="shared" ca="1" si="27"/>
        <v>28.705464737316486</v>
      </c>
      <c r="AD104" s="4">
        <f t="shared" ca="1" si="27"/>
        <v>27.32968461421196</v>
      </c>
      <c r="AE104" s="4">
        <f t="shared" ca="1" si="27"/>
        <v>25.914378935256799</v>
      </c>
      <c r="AF104" s="4">
        <f t="shared" ca="1" si="27"/>
        <v>24.458704168491753</v>
      </c>
      <c r="AG104" s="4">
        <f t="shared" ca="1" si="27"/>
        <v>22.961800541179848</v>
      </c>
      <c r="AH104" s="4">
        <f t="shared" ca="1" si="27"/>
        <v>21.40737243360077</v>
      </c>
      <c r="AI104" s="4">
        <f t="shared" ca="1" si="27"/>
        <v>19.793728169036388</v>
      </c>
      <c r="AJ104" s="4">
        <f t="shared" ca="1" si="27"/>
        <v>18.119130655957076</v>
      </c>
      <c r="AK104" s="4">
        <f t="shared" ca="1" si="27"/>
        <v>16.381796064494871</v>
      </c>
      <c r="AL104" s="4">
        <f t="shared" ca="1" si="27"/>
        <v>14.579892722019492</v>
      </c>
      <c r="AM104" s="4">
        <f t="shared" ca="1" si="27"/>
        <v>12.711539808265353</v>
      </c>
      <c r="AN104" s="4">
        <f t="shared" ca="1" si="27"/>
        <v>10.774806203810087</v>
      </c>
      <c r="AO104" s="4">
        <f t="shared" ca="1" si="27"/>
        <v>8.7677090063683583</v>
      </c>
      <c r="AP104" s="4">
        <f t="shared" ca="1" si="27"/>
        <v>6.6882139183878682</v>
      </c>
      <c r="AQ104" s="4">
        <f t="shared" ca="1" si="27"/>
        <v>4.5342322707428702</v>
      </c>
      <c r="AR104" s="4">
        <f t="shared" ca="1" si="27"/>
        <v>2.3055322346796845</v>
      </c>
      <c r="AS104" s="4">
        <f t="shared" ca="1" si="27"/>
        <v>1.9142021301377097E-13</v>
      </c>
      <c r="AT104" s="4">
        <f t="shared" ca="1" si="27"/>
        <v>1.9429151620897756E-13</v>
      </c>
      <c r="AU104" s="4">
        <f t="shared" ca="1" si="27"/>
        <v>1.9720588895211223E-13</v>
      </c>
      <c r="AV104" s="4">
        <f t="shared" ca="1" si="27"/>
        <v>2.0016397728639391E-13</v>
      </c>
      <c r="AW104" s="4">
        <f t="shared" ca="1" si="27"/>
        <v>2.031664369456898E-13</v>
      </c>
      <c r="AX104" s="4">
        <f t="shared" ca="1" si="27"/>
        <v>2.0621393349987516E-13</v>
      </c>
      <c r="AY104" s="4">
        <f t="shared" ca="1" si="27"/>
        <v>2.0930714250237327E-13</v>
      </c>
      <c r="AZ104" s="4">
        <f t="shared" ca="1" si="27"/>
        <v>2.1244674963990886E-13</v>
      </c>
      <c r="BA104" s="4">
        <f t="shared" ca="1" si="27"/>
        <v>2.1563345088450751E-13</v>
      </c>
      <c r="BB104" s="4">
        <f t="shared" ca="1" si="27"/>
        <v>2.1886795264777508E-13</v>
      </c>
      <c r="BC104" s="4">
        <f t="shared" ca="1" si="27"/>
        <v>2.2215097193749169E-13</v>
      </c>
      <c r="BD104" s="4">
        <f t="shared" ca="1" si="27"/>
        <v>2.2548323651655409E-13</v>
      </c>
      <c r="BE104" s="4">
        <f t="shared" ca="1" si="27"/>
        <v>2.2886548506430235E-13</v>
      </c>
      <c r="BF104" s="4">
        <f t="shared" ca="1" si="27"/>
        <v>2.3229846734026694E-13</v>
      </c>
      <c r="BG104" s="4">
        <f t="shared" ca="1" si="27"/>
        <v>2.3578294435037092E-13</v>
      </c>
      <c r="BH104" s="4">
        <f t="shared" ca="1" si="27"/>
        <v>2.3931968851562649E-13</v>
      </c>
      <c r="BI104" s="4">
        <f t="shared" ca="1" si="27"/>
        <v>2.4290948384336089E-13</v>
      </c>
      <c r="BJ104" s="4">
        <f t="shared" ca="1" si="27"/>
        <v>2.465531261010113E-13</v>
      </c>
      <c r="BK104" s="4">
        <f t="shared" ca="1" si="27"/>
        <v>2.5025142299252644E-13</v>
      </c>
      <c r="BL104" s="4">
        <f t="shared" ca="1" si="27"/>
        <v>2.540051943374144E-13</v>
      </c>
    </row>
    <row r="105" spans="1:64" x14ac:dyDescent="0.35">
      <c r="A105" s="1"/>
      <c r="E105" s="26"/>
      <c r="F105" s="26"/>
      <c r="G105" s="26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/>
      <c r="BF105" s="4"/>
      <c r="BG105" s="4"/>
      <c r="BH105" s="4"/>
      <c r="BI105" s="4"/>
      <c r="BJ105" s="4"/>
      <c r="BK105" s="4"/>
      <c r="BL105" s="4"/>
    </row>
    <row r="106" spans="1:64" x14ac:dyDescent="0.35">
      <c r="A106" s="1"/>
      <c r="C106" s="2" t="s">
        <v>302</v>
      </c>
      <c r="D106" s="4">
        <f ca="1">SUMIF(41:41,FALSE,99:99)</f>
        <v>2.9508915217202062E-10</v>
      </c>
    </row>
    <row r="107" spans="1:64" x14ac:dyDescent="0.35">
      <c r="A107" s="1"/>
      <c r="C107" s="2" t="s">
        <v>303</v>
      </c>
      <c r="D107" s="4">
        <f ca="1">SUMIF(39:39,D10*2,102:102)</f>
        <v>1.2761347534251399E-11</v>
      </c>
    </row>
    <row r="108" spans="1:64" x14ac:dyDescent="0.35">
      <c r="A108" s="1"/>
    </row>
    <row r="109" spans="1:64" s="40" customFormat="1" x14ac:dyDescent="0.35">
      <c r="A109" s="40" t="s">
        <v>553</v>
      </c>
    </row>
    <row r="110" spans="1:64" x14ac:dyDescent="0.35">
      <c r="A110" s="1"/>
      <c r="C110" s="2" t="s">
        <v>555</v>
      </c>
      <c r="D110" s="2" t="b">
        <f>D12</f>
        <v>1</v>
      </c>
      <c r="E110" s="2" t="b">
        <f>$D$110</f>
        <v>1</v>
      </c>
      <c r="F110" s="2" t="b">
        <f t="shared" ref="F110:BL110" si="28">$D$110</f>
        <v>1</v>
      </c>
      <c r="G110" s="2" t="b">
        <f t="shared" si="28"/>
        <v>1</v>
      </c>
      <c r="H110" s="2" t="b">
        <f t="shared" si="28"/>
        <v>1</v>
      </c>
      <c r="I110" s="2" t="b">
        <f t="shared" si="28"/>
        <v>1</v>
      </c>
      <c r="J110" s="2" t="b">
        <f t="shared" si="28"/>
        <v>1</v>
      </c>
      <c r="K110" s="2" t="b">
        <f t="shared" si="28"/>
        <v>1</v>
      </c>
      <c r="L110" s="2" t="b">
        <f t="shared" si="28"/>
        <v>1</v>
      </c>
      <c r="M110" s="2" t="b">
        <f t="shared" si="28"/>
        <v>1</v>
      </c>
      <c r="N110" s="2" t="b">
        <f t="shared" si="28"/>
        <v>1</v>
      </c>
      <c r="O110" s="2" t="b">
        <f t="shared" si="28"/>
        <v>1</v>
      </c>
      <c r="P110" s="2" t="b">
        <f t="shared" si="28"/>
        <v>1</v>
      </c>
      <c r="Q110" s="2" t="b">
        <f t="shared" si="28"/>
        <v>1</v>
      </c>
      <c r="R110" s="2" t="b">
        <f t="shared" si="28"/>
        <v>1</v>
      </c>
      <c r="S110" s="2" t="b">
        <f t="shared" si="28"/>
        <v>1</v>
      </c>
      <c r="T110" s="2" t="b">
        <f t="shared" si="28"/>
        <v>1</v>
      </c>
      <c r="U110" s="2" t="b">
        <f t="shared" si="28"/>
        <v>1</v>
      </c>
      <c r="V110" s="2" t="b">
        <f t="shared" si="28"/>
        <v>1</v>
      </c>
      <c r="W110" s="2" t="b">
        <f t="shared" si="28"/>
        <v>1</v>
      </c>
      <c r="X110" s="2" t="b">
        <f t="shared" si="28"/>
        <v>1</v>
      </c>
      <c r="Y110" s="2" t="b">
        <f t="shared" si="28"/>
        <v>1</v>
      </c>
      <c r="Z110" s="2" t="b">
        <f t="shared" si="28"/>
        <v>1</v>
      </c>
      <c r="AA110" s="2" t="b">
        <f t="shared" si="28"/>
        <v>1</v>
      </c>
      <c r="AB110" s="2" t="b">
        <f t="shared" si="28"/>
        <v>1</v>
      </c>
      <c r="AC110" s="2" t="b">
        <f t="shared" si="28"/>
        <v>1</v>
      </c>
      <c r="AD110" s="2" t="b">
        <f t="shared" si="28"/>
        <v>1</v>
      </c>
      <c r="AE110" s="2" t="b">
        <f t="shared" si="28"/>
        <v>1</v>
      </c>
      <c r="AF110" s="2" t="b">
        <f t="shared" si="28"/>
        <v>1</v>
      </c>
      <c r="AG110" s="2" t="b">
        <f t="shared" si="28"/>
        <v>1</v>
      </c>
      <c r="AH110" s="2" t="b">
        <f t="shared" si="28"/>
        <v>1</v>
      </c>
      <c r="AI110" s="2" t="b">
        <f t="shared" si="28"/>
        <v>1</v>
      </c>
      <c r="AJ110" s="2" t="b">
        <f t="shared" si="28"/>
        <v>1</v>
      </c>
      <c r="AK110" s="2" t="b">
        <f t="shared" si="28"/>
        <v>1</v>
      </c>
      <c r="AL110" s="2" t="b">
        <f t="shared" si="28"/>
        <v>1</v>
      </c>
      <c r="AM110" s="2" t="b">
        <f t="shared" si="28"/>
        <v>1</v>
      </c>
      <c r="AN110" s="2" t="b">
        <f t="shared" si="28"/>
        <v>1</v>
      </c>
      <c r="AO110" s="2" t="b">
        <f t="shared" si="28"/>
        <v>1</v>
      </c>
      <c r="AP110" s="2" t="b">
        <f t="shared" si="28"/>
        <v>1</v>
      </c>
      <c r="AQ110" s="2" t="b">
        <f t="shared" si="28"/>
        <v>1</v>
      </c>
      <c r="AR110" s="2" t="b">
        <f t="shared" si="28"/>
        <v>1</v>
      </c>
      <c r="AS110" s="2" t="b">
        <f t="shared" si="28"/>
        <v>1</v>
      </c>
      <c r="AT110" s="2" t="b">
        <f t="shared" si="28"/>
        <v>1</v>
      </c>
      <c r="AU110" s="2" t="b">
        <f t="shared" si="28"/>
        <v>1</v>
      </c>
      <c r="AV110" s="2" t="b">
        <f t="shared" si="28"/>
        <v>1</v>
      </c>
      <c r="AW110" s="2" t="b">
        <f t="shared" si="28"/>
        <v>1</v>
      </c>
      <c r="AX110" s="2" t="b">
        <f t="shared" si="28"/>
        <v>1</v>
      </c>
      <c r="AY110" s="2" t="b">
        <f t="shared" si="28"/>
        <v>1</v>
      </c>
      <c r="AZ110" s="2" t="b">
        <f t="shared" si="28"/>
        <v>1</v>
      </c>
      <c r="BA110" s="2" t="b">
        <f t="shared" si="28"/>
        <v>1</v>
      </c>
      <c r="BB110" s="2" t="b">
        <f t="shared" si="28"/>
        <v>1</v>
      </c>
      <c r="BC110" s="2" t="b">
        <f t="shared" si="28"/>
        <v>1</v>
      </c>
      <c r="BD110" s="2" t="b">
        <f t="shared" si="28"/>
        <v>1</v>
      </c>
      <c r="BE110" s="2" t="b">
        <f t="shared" si="28"/>
        <v>1</v>
      </c>
      <c r="BF110" s="2" t="b">
        <f t="shared" si="28"/>
        <v>1</v>
      </c>
      <c r="BG110" s="2" t="b">
        <f t="shared" si="28"/>
        <v>1</v>
      </c>
      <c r="BH110" s="2" t="b">
        <f t="shared" si="28"/>
        <v>1</v>
      </c>
      <c r="BI110" s="2" t="b">
        <f t="shared" si="28"/>
        <v>1</v>
      </c>
      <c r="BJ110" s="2" t="b">
        <f t="shared" si="28"/>
        <v>1</v>
      </c>
      <c r="BK110" s="2" t="b">
        <f t="shared" si="28"/>
        <v>1</v>
      </c>
      <c r="BL110" s="2" t="b">
        <f t="shared" si="28"/>
        <v>1</v>
      </c>
    </row>
    <row r="111" spans="1:64" x14ac:dyDescent="0.35">
      <c r="A111" s="1"/>
    </row>
    <row r="112" spans="1:64" x14ac:dyDescent="0.35">
      <c r="A112" s="1"/>
      <c r="C112" s="2" t="s">
        <v>5</v>
      </c>
      <c r="E112" s="4">
        <f>D114</f>
        <v>0</v>
      </c>
      <c r="F112" s="4">
        <f t="shared" ref="F112:BL112" si="29">E114</f>
        <v>0</v>
      </c>
      <c r="G112" s="4">
        <f t="shared" si="29"/>
        <v>0</v>
      </c>
      <c r="H112" s="4">
        <f t="shared" si="29"/>
        <v>0</v>
      </c>
      <c r="I112" s="4">
        <f t="shared" si="29"/>
        <v>0</v>
      </c>
      <c r="J112" s="4">
        <f t="shared" si="29"/>
        <v>0</v>
      </c>
      <c r="K112" s="4">
        <f t="shared" si="29"/>
        <v>0</v>
      </c>
      <c r="L112" s="4">
        <f t="shared" si="29"/>
        <v>0</v>
      </c>
      <c r="M112" s="4">
        <f t="shared" si="29"/>
        <v>0</v>
      </c>
      <c r="N112" s="4">
        <f t="shared" si="29"/>
        <v>0</v>
      </c>
      <c r="O112" s="4">
        <f t="shared" si="29"/>
        <v>0</v>
      </c>
      <c r="P112" s="4">
        <f t="shared" si="29"/>
        <v>0</v>
      </c>
      <c r="Q112" s="4">
        <f t="shared" si="29"/>
        <v>0</v>
      </c>
      <c r="R112" s="4">
        <f t="shared" si="29"/>
        <v>0</v>
      </c>
      <c r="S112" s="4">
        <f t="shared" si="29"/>
        <v>0</v>
      </c>
      <c r="T112" s="4">
        <f t="shared" si="29"/>
        <v>0</v>
      </c>
      <c r="U112" s="4">
        <f t="shared" si="29"/>
        <v>0</v>
      </c>
      <c r="V112" s="4">
        <f t="shared" si="29"/>
        <v>0</v>
      </c>
      <c r="W112" s="4">
        <f t="shared" si="29"/>
        <v>0</v>
      </c>
      <c r="X112" s="4">
        <f t="shared" si="29"/>
        <v>0</v>
      </c>
      <c r="Y112" s="4">
        <f t="shared" si="29"/>
        <v>0</v>
      </c>
      <c r="Z112" s="4">
        <f t="shared" si="29"/>
        <v>0</v>
      </c>
      <c r="AA112" s="4">
        <f t="shared" si="29"/>
        <v>0</v>
      </c>
      <c r="AB112" s="4">
        <f t="shared" si="29"/>
        <v>0</v>
      </c>
      <c r="AC112" s="4">
        <f t="shared" si="29"/>
        <v>0</v>
      </c>
      <c r="AD112" s="4">
        <f t="shared" si="29"/>
        <v>0</v>
      </c>
      <c r="AE112" s="4">
        <f t="shared" si="29"/>
        <v>0</v>
      </c>
      <c r="AF112" s="4">
        <f t="shared" si="29"/>
        <v>0</v>
      </c>
      <c r="AG112" s="4">
        <f t="shared" si="29"/>
        <v>0</v>
      </c>
      <c r="AH112" s="4">
        <f t="shared" si="29"/>
        <v>0</v>
      </c>
      <c r="AI112" s="4">
        <f t="shared" si="29"/>
        <v>0</v>
      </c>
      <c r="AJ112" s="4">
        <f t="shared" si="29"/>
        <v>0</v>
      </c>
      <c r="AK112" s="4">
        <f t="shared" si="29"/>
        <v>0</v>
      </c>
      <c r="AL112" s="4">
        <f t="shared" si="29"/>
        <v>0</v>
      </c>
      <c r="AM112" s="4">
        <f t="shared" si="29"/>
        <v>0</v>
      </c>
      <c r="AN112" s="4">
        <f t="shared" si="29"/>
        <v>0</v>
      </c>
      <c r="AO112" s="4">
        <f t="shared" si="29"/>
        <v>0</v>
      </c>
      <c r="AP112" s="4">
        <f t="shared" si="29"/>
        <v>0</v>
      </c>
      <c r="AQ112" s="4">
        <f t="shared" si="29"/>
        <v>0</v>
      </c>
      <c r="AR112" s="4">
        <f t="shared" si="29"/>
        <v>0</v>
      </c>
      <c r="AS112" s="4">
        <f t="shared" si="29"/>
        <v>0</v>
      </c>
      <c r="AT112" s="4">
        <f t="shared" si="29"/>
        <v>0</v>
      </c>
      <c r="AU112" s="4">
        <f t="shared" si="29"/>
        <v>0</v>
      </c>
      <c r="AV112" s="4">
        <f t="shared" si="29"/>
        <v>0</v>
      </c>
      <c r="AW112" s="4">
        <f t="shared" si="29"/>
        <v>0</v>
      </c>
      <c r="AX112" s="4">
        <f t="shared" si="29"/>
        <v>0</v>
      </c>
      <c r="AY112" s="4">
        <f t="shared" si="29"/>
        <v>0</v>
      </c>
      <c r="AZ112" s="4">
        <f t="shared" si="29"/>
        <v>0</v>
      </c>
      <c r="BA112" s="4">
        <f t="shared" si="29"/>
        <v>0</v>
      </c>
      <c r="BB112" s="4">
        <f t="shared" si="29"/>
        <v>0</v>
      </c>
      <c r="BC112" s="4">
        <f t="shared" si="29"/>
        <v>0</v>
      </c>
      <c r="BD112" s="4">
        <f t="shared" si="29"/>
        <v>0</v>
      </c>
      <c r="BE112" s="4">
        <f t="shared" si="29"/>
        <v>0</v>
      </c>
      <c r="BF112" s="4">
        <f t="shared" si="29"/>
        <v>0</v>
      </c>
      <c r="BG112" s="4">
        <f t="shared" si="29"/>
        <v>0</v>
      </c>
      <c r="BH112" s="4">
        <f t="shared" si="29"/>
        <v>0</v>
      </c>
      <c r="BI112" s="4">
        <f t="shared" si="29"/>
        <v>0</v>
      </c>
      <c r="BJ112" s="4">
        <f t="shared" si="29"/>
        <v>0</v>
      </c>
      <c r="BK112" s="4">
        <f t="shared" si="29"/>
        <v>0</v>
      </c>
      <c r="BL112" s="4">
        <f t="shared" si="29"/>
        <v>0</v>
      </c>
    </row>
    <row r="113" spans="1:64" x14ac:dyDescent="0.35">
      <c r="A113" s="1"/>
      <c r="C113" s="2" t="s">
        <v>554</v>
      </c>
      <c r="E113" s="4">
        <f t="shared" ref="E113:AJ113" si="30">E60</f>
        <v>0</v>
      </c>
      <c r="F113" s="4">
        <f t="shared" si="30"/>
        <v>0</v>
      </c>
      <c r="G113" s="4">
        <f t="shared" si="30"/>
        <v>0</v>
      </c>
      <c r="H113" s="4">
        <f t="shared" si="30"/>
        <v>0</v>
      </c>
      <c r="I113" s="4">
        <f t="shared" si="30"/>
        <v>0</v>
      </c>
      <c r="J113" s="4">
        <f t="shared" si="30"/>
        <v>0</v>
      </c>
      <c r="K113" s="4">
        <f t="shared" si="30"/>
        <v>0</v>
      </c>
      <c r="L113" s="4">
        <f t="shared" si="30"/>
        <v>0</v>
      </c>
      <c r="M113" s="4">
        <f t="shared" si="30"/>
        <v>0</v>
      </c>
      <c r="N113" s="4">
        <f t="shared" si="30"/>
        <v>0</v>
      </c>
      <c r="O113" s="4">
        <f t="shared" si="30"/>
        <v>0</v>
      </c>
      <c r="P113" s="4">
        <f t="shared" si="30"/>
        <v>0</v>
      </c>
      <c r="Q113" s="4">
        <f t="shared" si="30"/>
        <v>0</v>
      </c>
      <c r="R113" s="4">
        <f t="shared" si="30"/>
        <v>0</v>
      </c>
      <c r="S113" s="4">
        <f t="shared" si="30"/>
        <v>0</v>
      </c>
      <c r="T113" s="4">
        <f t="shared" si="30"/>
        <v>0</v>
      </c>
      <c r="U113" s="4">
        <f t="shared" si="30"/>
        <v>0</v>
      </c>
      <c r="V113" s="4">
        <f t="shared" si="30"/>
        <v>0</v>
      </c>
      <c r="W113" s="4">
        <f t="shared" si="30"/>
        <v>0</v>
      </c>
      <c r="X113" s="4">
        <f t="shared" si="30"/>
        <v>0</v>
      </c>
      <c r="Y113" s="4">
        <f t="shared" si="30"/>
        <v>0</v>
      </c>
      <c r="Z113" s="4">
        <f t="shared" si="30"/>
        <v>0</v>
      </c>
      <c r="AA113" s="4">
        <f t="shared" si="30"/>
        <v>0</v>
      </c>
      <c r="AB113" s="4">
        <f t="shared" si="30"/>
        <v>0</v>
      </c>
      <c r="AC113" s="4">
        <f t="shared" si="30"/>
        <v>0</v>
      </c>
      <c r="AD113" s="4">
        <f t="shared" si="30"/>
        <v>0</v>
      </c>
      <c r="AE113" s="4">
        <f t="shared" si="30"/>
        <v>0</v>
      </c>
      <c r="AF113" s="4">
        <f t="shared" si="30"/>
        <v>0</v>
      </c>
      <c r="AG113" s="4">
        <f t="shared" si="30"/>
        <v>0</v>
      </c>
      <c r="AH113" s="4">
        <f t="shared" si="30"/>
        <v>0</v>
      </c>
      <c r="AI113" s="4">
        <f t="shared" si="30"/>
        <v>0</v>
      </c>
      <c r="AJ113" s="4">
        <f t="shared" si="30"/>
        <v>0</v>
      </c>
      <c r="AK113" s="4">
        <f t="shared" ref="AK113:BL113" si="31">AK60</f>
        <v>0</v>
      </c>
      <c r="AL113" s="4">
        <f t="shared" si="31"/>
        <v>0</v>
      </c>
      <c r="AM113" s="4">
        <f t="shared" si="31"/>
        <v>0</v>
      </c>
      <c r="AN113" s="4">
        <f t="shared" si="31"/>
        <v>0</v>
      </c>
      <c r="AO113" s="4">
        <f t="shared" si="31"/>
        <v>0</v>
      </c>
      <c r="AP113" s="4">
        <f t="shared" si="31"/>
        <v>0</v>
      </c>
      <c r="AQ113" s="4">
        <f t="shared" si="31"/>
        <v>0</v>
      </c>
      <c r="AR113" s="4">
        <f t="shared" si="31"/>
        <v>0</v>
      </c>
      <c r="AS113" s="4">
        <f t="shared" si="31"/>
        <v>0</v>
      </c>
      <c r="AT113" s="4">
        <f t="shared" si="31"/>
        <v>0</v>
      </c>
      <c r="AU113" s="4">
        <f t="shared" si="31"/>
        <v>0</v>
      </c>
      <c r="AV113" s="4">
        <f t="shared" si="31"/>
        <v>0</v>
      </c>
      <c r="AW113" s="4">
        <f t="shared" si="31"/>
        <v>0</v>
      </c>
      <c r="AX113" s="4">
        <f t="shared" si="31"/>
        <v>0</v>
      </c>
      <c r="AY113" s="4">
        <f t="shared" si="31"/>
        <v>0</v>
      </c>
      <c r="AZ113" s="4">
        <f t="shared" si="31"/>
        <v>0</v>
      </c>
      <c r="BA113" s="4">
        <f t="shared" si="31"/>
        <v>0</v>
      </c>
      <c r="BB113" s="4">
        <f t="shared" si="31"/>
        <v>0</v>
      </c>
      <c r="BC113" s="4">
        <f t="shared" si="31"/>
        <v>0</v>
      </c>
      <c r="BD113" s="4">
        <f t="shared" si="31"/>
        <v>0</v>
      </c>
      <c r="BE113" s="4">
        <f t="shared" si="31"/>
        <v>0</v>
      </c>
      <c r="BF113" s="4">
        <f t="shared" si="31"/>
        <v>0</v>
      </c>
      <c r="BG113" s="4">
        <f t="shared" si="31"/>
        <v>0</v>
      </c>
      <c r="BH113" s="4">
        <f t="shared" si="31"/>
        <v>0</v>
      </c>
      <c r="BI113" s="4">
        <f t="shared" si="31"/>
        <v>0</v>
      </c>
      <c r="BJ113" s="4">
        <f t="shared" si="31"/>
        <v>0</v>
      </c>
      <c r="BK113" s="4">
        <f t="shared" si="31"/>
        <v>0</v>
      </c>
      <c r="BL113" s="4">
        <f t="shared" si="31"/>
        <v>0</v>
      </c>
    </row>
    <row r="114" spans="1:64" x14ac:dyDescent="0.35">
      <c r="A114" s="1"/>
      <c r="C114" s="2" t="s">
        <v>7</v>
      </c>
      <c r="D114" s="4">
        <f>D29</f>
        <v>0</v>
      </c>
      <c r="E114" s="4">
        <f>E112+E113</f>
        <v>0</v>
      </c>
      <c r="F114" s="4">
        <f t="shared" ref="F114:BL114" si="32">F112+F113</f>
        <v>0</v>
      </c>
      <c r="G114" s="4">
        <f t="shared" si="32"/>
        <v>0</v>
      </c>
      <c r="H114" s="4">
        <f t="shared" si="32"/>
        <v>0</v>
      </c>
      <c r="I114" s="4">
        <f t="shared" si="32"/>
        <v>0</v>
      </c>
      <c r="J114" s="4">
        <f t="shared" si="32"/>
        <v>0</v>
      </c>
      <c r="K114" s="4">
        <f t="shared" si="32"/>
        <v>0</v>
      </c>
      <c r="L114" s="4">
        <f t="shared" si="32"/>
        <v>0</v>
      </c>
      <c r="M114" s="4">
        <f t="shared" si="32"/>
        <v>0</v>
      </c>
      <c r="N114" s="4">
        <f t="shared" si="32"/>
        <v>0</v>
      </c>
      <c r="O114" s="4">
        <f t="shared" si="32"/>
        <v>0</v>
      </c>
      <c r="P114" s="4">
        <f t="shared" si="32"/>
        <v>0</v>
      </c>
      <c r="Q114" s="4">
        <f t="shared" si="32"/>
        <v>0</v>
      </c>
      <c r="R114" s="4">
        <f t="shared" si="32"/>
        <v>0</v>
      </c>
      <c r="S114" s="4">
        <f t="shared" si="32"/>
        <v>0</v>
      </c>
      <c r="T114" s="4">
        <f t="shared" si="32"/>
        <v>0</v>
      </c>
      <c r="U114" s="4">
        <f t="shared" si="32"/>
        <v>0</v>
      </c>
      <c r="V114" s="4">
        <f t="shared" si="32"/>
        <v>0</v>
      </c>
      <c r="W114" s="4">
        <f t="shared" si="32"/>
        <v>0</v>
      </c>
      <c r="X114" s="4">
        <f t="shared" si="32"/>
        <v>0</v>
      </c>
      <c r="Y114" s="4">
        <f t="shared" si="32"/>
        <v>0</v>
      </c>
      <c r="Z114" s="4">
        <f t="shared" si="32"/>
        <v>0</v>
      </c>
      <c r="AA114" s="4">
        <f t="shared" si="32"/>
        <v>0</v>
      </c>
      <c r="AB114" s="4">
        <f t="shared" si="32"/>
        <v>0</v>
      </c>
      <c r="AC114" s="4">
        <f t="shared" si="32"/>
        <v>0</v>
      </c>
      <c r="AD114" s="4">
        <f t="shared" si="32"/>
        <v>0</v>
      </c>
      <c r="AE114" s="4">
        <f t="shared" si="32"/>
        <v>0</v>
      </c>
      <c r="AF114" s="4">
        <f t="shared" si="32"/>
        <v>0</v>
      </c>
      <c r="AG114" s="4">
        <f t="shared" si="32"/>
        <v>0</v>
      </c>
      <c r="AH114" s="4">
        <f t="shared" si="32"/>
        <v>0</v>
      </c>
      <c r="AI114" s="4">
        <f t="shared" si="32"/>
        <v>0</v>
      </c>
      <c r="AJ114" s="4">
        <f t="shared" si="32"/>
        <v>0</v>
      </c>
      <c r="AK114" s="4">
        <f t="shared" si="32"/>
        <v>0</v>
      </c>
      <c r="AL114" s="4">
        <f t="shared" si="32"/>
        <v>0</v>
      </c>
      <c r="AM114" s="4">
        <f t="shared" si="32"/>
        <v>0</v>
      </c>
      <c r="AN114" s="4">
        <f t="shared" si="32"/>
        <v>0</v>
      </c>
      <c r="AO114" s="4">
        <f t="shared" si="32"/>
        <v>0</v>
      </c>
      <c r="AP114" s="4">
        <f t="shared" si="32"/>
        <v>0</v>
      </c>
      <c r="AQ114" s="4">
        <f t="shared" si="32"/>
        <v>0</v>
      </c>
      <c r="AR114" s="4">
        <f t="shared" si="32"/>
        <v>0</v>
      </c>
      <c r="AS114" s="4">
        <f t="shared" si="32"/>
        <v>0</v>
      </c>
      <c r="AT114" s="4">
        <f t="shared" si="32"/>
        <v>0</v>
      </c>
      <c r="AU114" s="4">
        <f t="shared" si="32"/>
        <v>0</v>
      </c>
      <c r="AV114" s="4">
        <f t="shared" si="32"/>
        <v>0</v>
      </c>
      <c r="AW114" s="4">
        <f t="shared" si="32"/>
        <v>0</v>
      </c>
      <c r="AX114" s="4">
        <f t="shared" si="32"/>
        <v>0</v>
      </c>
      <c r="AY114" s="4">
        <f t="shared" si="32"/>
        <v>0</v>
      </c>
      <c r="AZ114" s="4">
        <f t="shared" si="32"/>
        <v>0</v>
      </c>
      <c r="BA114" s="4">
        <f t="shared" si="32"/>
        <v>0</v>
      </c>
      <c r="BB114" s="4">
        <f t="shared" si="32"/>
        <v>0</v>
      </c>
      <c r="BC114" s="4">
        <f t="shared" si="32"/>
        <v>0</v>
      </c>
      <c r="BD114" s="4">
        <f t="shared" si="32"/>
        <v>0</v>
      </c>
      <c r="BE114" s="4">
        <f t="shared" si="32"/>
        <v>0</v>
      </c>
      <c r="BF114" s="4">
        <f t="shared" si="32"/>
        <v>0</v>
      </c>
      <c r="BG114" s="4">
        <f t="shared" si="32"/>
        <v>0</v>
      </c>
      <c r="BH114" s="4">
        <f t="shared" si="32"/>
        <v>0</v>
      </c>
      <c r="BI114" s="4">
        <f t="shared" si="32"/>
        <v>0</v>
      </c>
      <c r="BJ114" s="4">
        <f t="shared" si="32"/>
        <v>0</v>
      </c>
      <c r="BK114" s="4">
        <f t="shared" si="32"/>
        <v>0</v>
      </c>
      <c r="BL114" s="4">
        <f t="shared" si="32"/>
        <v>0</v>
      </c>
    </row>
    <row r="115" spans="1:64" x14ac:dyDescent="0.35">
      <c r="A115" s="1"/>
    </row>
    <row r="116" spans="1:64" x14ac:dyDescent="0.35">
      <c r="A116" s="1"/>
      <c r="C116" s="2" t="s">
        <v>106</v>
      </c>
      <c r="E116" s="12">
        <f t="shared" ref="E116:BL116" si="33">$D$17/2</f>
        <v>0</v>
      </c>
      <c r="F116" s="12">
        <f t="shared" si="33"/>
        <v>0</v>
      </c>
      <c r="G116" s="12">
        <f t="shared" si="33"/>
        <v>0</v>
      </c>
      <c r="H116" s="12">
        <f t="shared" si="33"/>
        <v>0</v>
      </c>
      <c r="I116" s="12">
        <f t="shared" si="33"/>
        <v>0</v>
      </c>
      <c r="J116" s="12">
        <f t="shared" si="33"/>
        <v>0</v>
      </c>
      <c r="K116" s="12">
        <f t="shared" si="33"/>
        <v>0</v>
      </c>
      <c r="L116" s="12">
        <f t="shared" si="33"/>
        <v>0</v>
      </c>
      <c r="M116" s="12">
        <f t="shared" si="33"/>
        <v>0</v>
      </c>
      <c r="N116" s="12">
        <f t="shared" si="33"/>
        <v>0</v>
      </c>
      <c r="O116" s="12">
        <f t="shared" si="33"/>
        <v>0</v>
      </c>
      <c r="P116" s="12">
        <f t="shared" si="33"/>
        <v>0</v>
      </c>
      <c r="Q116" s="12">
        <f t="shared" si="33"/>
        <v>0</v>
      </c>
      <c r="R116" s="12">
        <f t="shared" si="33"/>
        <v>0</v>
      </c>
      <c r="S116" s="12">
        <f t="shared" si="33"/>
        <v>0</v>
      </c>
      <c r="T116" s="12">
        <f t="shared" si="33"/>
        <v>0</v>
      </c>
      <c r="U116" s="12">
        <f t="shared" si="33"/>
        <v>0</v>
      </c>
      <c r="V116" s="12">
        <f t="shared" si="33"/>
        <v>0</v>
      </c>
      <c r="W116" s="12">
        <f t="shared" si="33"/>
        <v>0</v>
      </c>
      <c r="X116" s="12">
        <f t="shared" si="33"/>
        <v>0</v>
      </c>
      <c r="Y116" s="12">
        <f t="shared" si="33"/>
        <v>0</v>
      </c>
      <c r="Z116" s="12">
        <f t="shared" si="33"/>
        <v>0</v>
      </c>
      <c r="AA116" s="12">
        <f t="shared" si="33"/>
        <v>0</v>
      </c>
      <c r="AB116" s="12">
        <f t="shared" si="33"/>
        <v>0</v>
      </c>
      <c r="AC116" s="12">
        <f t="shared" si="33"/>
        <v>0</v>
      </c>
      <c r="AD116" s="12">
        <f t="shared" si="33"/>
        <v>0</v>
      </c>
      <c r="AE116" s="12">
        <f t="shared" si="33"/>
        <v>0</v>
      </c>
      <c r="AF116" s="12">
        <f t="shared" si="33"/>
        <v>0</v>
      </c>
      <c r="AG116" s="12">
        <f t="shared" si="33"/>
        <v>0</v>
      </c>
      <c r="AH116" s="12">
        <f t="shared" si="33"/>
        <v>0</v>
      </c>
      <c r="AI116" s="12">
        <f t="shared" si="33"/>
        <v>0</v>
      </c>
      <c r="AJ116" s="12">
        <f t="shared" si="33"/>
        <v>0</v>
      </c>
      <c r="AK116" s="12">
        <f t="shared" si="33"/>
        <v>0</v>
      </c>
      <c r="AL116" s="12">
        <f t="shared" si="33"/>
        <v>0</v>
      </c>
      <c r="AM116" s="12">
        <f t="shared" si="33"/>
        <v>0</v>
      </c>
      <c r="AN116" s="12">
        <f t="shared" si="33"/>
        <v>0</v>
      </c>
      <c r="AO116" s="12">
        <f t="shared" si="33"/>
        <v>0</v>
      </c>
      <c r="AP116" s="12">
        <f t="shared" si="33"/>
        <v>0</v>
      </c>
      <c r="AQ116" s="12">
        <f t="shared" si="33"/>
        <v>0</v>
      </c>
      <c r="AR116" s="12">
        <f t="shared" si="33"/>
        <v>0</v>
      </c>
      <c r="AS116" s="12">
        <f t="shared" si="33"/>
        <v>0</v>
      </c>
      <c r="AT116" s="12">
        <f t="shared" si="33"/>
        <v>0</v>
      </c>
      <c r="AU116" s="12">
        <f t="shared" si="33"/>
        <v>0</v>
      </c>
      <c r="AV116" s="12">
        <f t="shared" si="33"/>
        <v>0</v>
      </c>
      <c r="AW116" s="12">
        <f t="shared" si="33"/>
        <v>0</v>
      </c>
      <c r="AX116" s="12">
        <f t="shared" si="33"/>
        <v>0</v>
      </c>
      <c r="AY116" s="12">
        <f t="shared" si="33"/>
        <v>0</v>
      </c>
      <c r="AZ116" s="12">
        <f t="shared" si="33"/>
        <v>0</v>
      </c>
      <c r="BA116" s="12">
        <f t="shared" si="33"/>
        <v>0</v>
      </c>
      <c r="BB116" s="12">
        <f t="shared" si="33"/>
        <v>0</v>
      </c>
      <c r="BC116" s="12">
        <f t="shared" si="33"/>
        <v>0</v>
      </c>
      <c r="BD116" s="12">
        <f t="shared" si="33"/>
        <v>0</v>
      </c>
      <c r="BE116" s="12">
        <f t="shared" si="33"/>
        <v>0</v>
      </c>
      <c r="BF116" s="12">
        <f t="shared" si="33"/>
        <v>0</v>
      </c>
      <c r="BG116" s="12">
        <f t="shared" si="33"/>
        <v>0</v>
      </c>
      <c r="BH116" s="12">
        <f t="shared" si="33"/>
        <v>0</v>
      </c>
      <c r="BI116" s="12">
        <f t="shared" si="33"/>
        <v>0</v>
      </c>
      <c r="BJ116" s="12">
        <f t="shared" si="33"/>
        <v>0</v>
      </c>
      <c r="BK116" s="12">
        <f t="shared" si="33"/>
        <v>0</v>
      </c>
      <c r="BL116" s="12">
        <f t="shared" si="33"/>
        <v>0</v>
      </c>
    </row>
    <row r="117" spans="1:64" x14ac:dyDescent="0.35">
      <c r="A117" s="1"/>
      <c r="C117" s="2" t="s">
        <v>107</v>
      </c>
      <c r="E117" s="4">
        <f t="shared" ref="E117:AJ117" ca="1" si="34">D59*E116*$D$13</f>
        <v>0</v>
      </c>
      <c r="F117" s="4">
        <f t="shared" si="34"/>
        <v>0</v>
      </c>
      <c r="G117" s="4">
        <f t="shared" si="34"/>
        <v>0</v>
      </c>
      <c r="H117" s="4">
        <f t="shared" si="34"/>
        <v>0</v>
      </c>
      <c r="I117" s="4">
        <f t="shared" si="34"/>
        <v>0</v>
      </c>
      <c r="J117" s="4">
        <f t="shared" si="34"/>
        <v>0</v>
      </c>
      <c r="K117" s="4">
        <f t="shared" si="34"/>
        <v>0</v>
      </c>
      <c r="L117" s="4">
        <f t="shared" si="34"/>
        <v>0</v>
      </c>
      <c r="M117" s="4">
        <f t="shared" si="34"/>
        <v>0</v>
      </c>
      <c r="N117" s="4">
        <f t="shared" si="34"/>
        <v>0</v>
      </c>
      <c r="O117" s="4">
        <f t="shared" si="34"/>
        <v>0</v>
      </c>
      <c r="P117" s="4">
        <f t="shared" si="34"/>
        <v>0</v>
      </c>
      <c r="Q117" s="4">
        <f t="shared" si="34"/>
        <v>0</v>
      </c>
      <c r="R117" s="4">
        <f t="shared" si="34"/>
        <v>0</v>
      </c>
      <c r="S117" s="4">
        <f t="shared" si="34"/>
        <v>0</v>
      </c>
      <c r="T117" s="4">
        <f t="shared" si="34"/>
        <v>0</v>
      </c>
      <c r="U117" s="4">
        <f t="shared" si="34"/>
        <v>0</v>
      </c>
      <c r="V117" s="4">
        <f t="shared" si="34"/>
        <v>0</v>
      </c>
      <c r="W117" s="4">
        <f t="shared" si="34"/>
        <v>0</v>
      </c>
      <c r="X117" s="4">
        <f t="shared" si="34"/>
        <v>0</v>
      </c>
      <c r="Y117" s="4">
        <f t="shared" si="34"/>
        <v>0</v>
      </c>
      <c r="Z117" s="4">
        <f t="shared" si="34"/>
        <v>0</v>
      </c>
      <c r="AA117" s="4">
        <f t="shared" si="34"/>
        <v>0</v>
      </c>
      <c r="AB117" s="4">
        <f t="shared" si="34"/>
        <v>0</v>
      </c>
      <c r="AC117" s="4">
        <f t="shared" si="34"/>
        <v>0</v>
      </c>
      <c r="AD117" s="4">
        <f t="shared" si="34"/>
        <v>0</v>
      </c>
      <c r="AE117" s="4">
        <f t="shared" si="34"/>
        <v>0</v>
      </c>
      <c r="AF117" s="4">
        <f t="shared" si="34"/>
        <v>0</v>
      </c>
      <c r="AG117" s="4">
        <f t="shared" si="34"/>
        <v>0</v>
      </c>
      <c r="AH117" s="4">
        <f t="shared" si="34"/>
        <v>0</v>
      </c>
      <c r="AI117" s="4">
        <f t="shared" si="34"/>
        <v>0</v>
      </c>
      <c r="AJ117" s="4">
        <f t="shared" si="34"/>
        <v>0</v>
      </c>
      <c r="AK117" s="4">
        <f t="shared" ref="AK117:BL117" si="35">AJ59*AK116*$D$13</f>
        <v>0</v>
      </c>
      <c r="AL117" s="4">
        <f t="shared" si="35"/>
        <v>0</v>
      </c>
      <c r="AM117" s="4">
        <f t="shared" si="35"/>
        <v>0</v>
      </c>
      <c r="AN117" s="4">
        <f t="shared" si="35"/>
        <v>0</v>
      </c>
      <c r="AO117" s="4">
        <f t="shared" si="35"/>
        <v>0</v>
      </c>
      <c r="AP117" s="4">
        <f t="shared" si="35"/>
        <v>0</v>
      </c>
      <c r="AQ117" s="4">
        <f t="shared" si="35"/>
        <v>0</v>
      </c>
      <c r="AR117" s="4">
        <f t="shared" si="35"/>
        <v>0</v>
      </c>
      <c r="AS117" s="4">
        <f t="shared" si="35"/>
        <v>0</v>
      </c>
      <c r="AT117" s="4">
        <f t="shared" si="35"/>
        <v>0</v>
      </c>
      <c r="AU117" s="4">
        <f t="shared" si="35"/>
        <v>0</v>
      </c>
      <c r="AV117" s="4">
        <f t="shared" si="35"/>
        <v>0</v>
      </c>
      <c r="AW117" s="4">
        <f t="shared" si="35"/>
        <v>0</v>
      </c>
      <c r="AX117" s="4">
        <f t="shared" si="35"/>
        <v>0</v>
      </c>
      <c r="AY117" s="4">
        <f t="shared" si="35"/>
        <v>0</v>
      </c>
      <c r="AZ117" s="4">
        <f t="shared" si="35"/>
        <v>0</v>
      </c>
      <c r="BA117" s="4">
        <f t="shared" si="35"/>
        <v>0</v>
      </c>
      <c r="BB117" s="4">
        <f t="shared" si="35"/>
        <v>0</v>
      </c>
      <c r="BC117" s="4">
        <f t="shared" si="35"/>
        <v>0</v>
      </c>
      <c r="BD117" s="4">
        <f t="shared" si="35"/>
        <v>0</v>
      </c>
      <c r="BE117" s="4">
        <f t="shared" si="35"/>
        <v>0</v>
      </c>
      <c r="BF117" s="4">
        <f t="shared" si="35"/>
        <v>0</v>
      </c>
      <c r="BG117" s="4">
        <f t="shared" si="35"/>
        <v>0</v>
      </c>
      <c r="BH117" s="4">
        <f t="shared" si="35"/>
        <v>0</v>
      </c>
      <c r="BI117" s="4">
        <f t="shared" si="35"/>
        <v>0</v>
      </c>
      <c r="BJ117" s="4">
        <f t="shared" si="35"/>
        <v>0</v>
      </c>
      <c r="BK117" s="4">
        <f t="shared" si="35"/>
        <v>0</v>
      </c>
      <c r="BL117" s="4">
        <f t="shared" si="35"/>
        <v>0</v>
      </c>
    </row>
    <row r="118" spans="1:64" x14ac:dyDescent="0.35">
      <c r="A118" s="1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  <c r="AO118" s="4"/>
      <c r="AP118" s="4"/>
      <c r="AQ118" s="4"/>
      <c r="AR118" s="4"/>
      <c r="AS118" s="4"/>
      <c r="AT118" s="4"/>
      <c r="AU118" s="4"/>
      <c r="AV118" s="4"/>
      <c r="AW118" s="4"/>
      <c r="AX118" s="4"/>
      <c r="AY118" s="4"/>
      <c r="AZ118" s="4"/>
      <c r="BA118" s="4"/>
      <c r="BB118" s="4"/>
      <c r="BC118" s="4"/>
      <c r="BD118" s="4"/>
      <c r="BE118" s="4"/>
      <c r="BF118" s="4"/>
      <c r="BG118" s="4"/>
      <c r="BH118" s="4"/>
      <c r="BI118" s="4"/>
      <c r="BJ118" s="4"/>
      <c r="BK118" s="4"/>
      <c r="BL118" s="4"/>
    </row>
    <row r="119" spans="1:64" x14ac:dyDescent="0.35">
      <c r="A119" s="1"/>
      <c r="C119" s="2" t="s">
        <v>174</v>
      </c>
      <c r="D119" s="4">
        <f t="shared" ref="D119:AI119" ca="1" si="36">D59</f>
        <v>204.5982666015625</v>
      </c>
      <c r="E119" s="4">
        <f t="shared" si="36"/>
        <v>0</v>
      </c>
      <c r="F119" s="4">
        <f t="shared" si="36"/>
        <v>0</v>
      </c>
      <c r="G119" s="4">
        <f t="shared" si="36"/>
        <v>0</v>
      </c>
      <c r="H119" s="4">
        <f t="shared" si="36"/>
        <v>0</v>
      </c>
      <c r="I119" s="4">
        <f t="shared" si="36"/>
        <v>0</v>
      </c>
      <c r="J119" s="4">
        <f t="shared" si="36"/>
        <v>0</v>
      </c>
      <c r="K119" s="4">
        <f t="shared" si="36"/>
        <v>0</v>
      </c>
      <c r="L119" s="4">
        <f t="shared" si="36"/>
        <v>0</v>
      </c>
      <c r="M119" s="4">
        <f t="shared" si="36"/>
        <v>0</v>
      </c>
      <c r="N119" s="4">
        <f t="shared" si="36"/>
        <v>0</v>
      </c>
      <c r="O119" s="4">
        <f t="shared" si="36"/>
        <v>0</v>
      </c>
      <c r="P119" s="4">
        <f t="shared" si="36"/>
        <v>0</v>
      </c>
      <c r="Q119" s="4">
        <f t="shared" si="36"/>
        <v>0</v>
      </c>
      <c r="R119" s="4">
        <f t="shared" si="36"/>
        <v>0</v>
      </c>
      <c r="S119" s="4">
        <f t="shared" si="36"/>
        <v>0</v>
      </c>
      <c r="T119" s="4">
        <f t="shared" si="36"/>
        <v>0</v>
      </c>
      <c r="U119" s="4">
        <f t="shared" si="36"/>
        <v>0</v>
      </c>
      <c r="V119" s="4">
        <f t="shared" si="36"/>
        <v>0</v>
      </c>
      <c r="W119" s="4">
        <f t="shared" si="36"/>
        <v>0</v>
      </c>
      <c r="X119" s="4">
        <f t="shared" si="36"/>
        <v>0</v>
      </c>
      <c r="Y119" s="4">
        <f t="shared" si="36"/>
        <v>0</v>
      </c>
      <c r="Z119" s="4">
        <f t="shared" si="36"/>
        <v>0</v>
      </c>
      <c r="AA119" s="4">
        <f t="shared" si="36"/>
        <v>0</v>
      </c>
      <c r="AB119" s="4">
        <f t="shared" si="36"/>
        <v>0</v>
      </c>
      <c r="AC119" s="4">
        <f t="shared" si="36"/>
        <v>0</v>
      </c>
      <c r="AD119" s="4">
        <f t="shared" si="36"/>
        <v>0</v>
      </c>
      <c r="AE119" s="4">
        <f t="shared" si="36"/>
        <v>0</v>
      </c>
      <c r="AF119" s="4">
        <f t="shared" si="36"/>
        <v>0</v>
      </c>
      <c r="AG119" s="4">
        <f t="shared" si="36"/>
        <v>0</v>
      </c>
      <c r="AH119" s="4">
        <f t="shared" si="36"/>
        <v>0</v>
      </c>
      <c r="AI119" s="4">
        <f t="shared" si="36"/>
        <v>0</v>
      </c>
      <c r="AJ119" s="4">
        <f t="shared" ref="AJ119:BL119" si="37">AJ59</f>
        <v>0</v>
      </c>
      <c r="AK119" s="4">
        <f t="shared" si="37"/>
        <v>0</v>
      </c>
      <c r="AL119" s="4">
        <f t="shared" si="37"/>
        <v>0</v>
      </c>
      <c r="AM119" s="4">
        <f t="shared" si="37"/>
        <v>0</v>
      </c>
      <c r="AN119" s="4">
        <f t="shared" si="37"/>
        <v>0</v>
      </c>
      <c r="AO119" s="4">
        <f t="shared" si="37"/>
        <v>0</v>
      </c>
      <c r="AP119" s="4">
        <f t="shared" si="37"/>
        <v>0</v>
      </c>
      <c r="AQ119" s="4">
        <f t="shared" si="37"/>
        <v>0</v>
      </c>
      <c r="AR119" s="4">
        <f t="shared" si="37"/>
        <v>0</v>
      </c>
      <c r="AS119" s="4">
        <f t="shared" si="37"/>
        <v>0</v>
      </c>
      <c r="AT119" s="4">
        <f t="shared" si="37"/>
        <v>0</v>
      </c>
      <c r="AU119" s="4">
        <f t="shared" si="37"/>
        <v>0</v>
      </c>
      <c r="AV119" s="4">
        <f t="shared" si="37"/>
        <v>0</v>
      </c>
      <c r="AW119" s="4">
        <f t="shared" si="37"/>
        <v>0</v>
      </c>
      <c r="AX119" s="4">
        <f t="shared" si="37"/>
        <v>0</v>
      </c>
      <c r="AY119" s="4">
        <f t="shared" si="37"/>
        <v>0</v>
      </c>
      <c r="AZ119" s="4">
        <f t="shared" si="37"/>
        <v>0</v>
      </c>
      <c r="BA119" s="4">
        <f t="shared" si="37"/>
        <v>0</v>
      </c>
      <c r="BB119" s="4">
        <f t="shared" si="37"/>
        <v>0</v>
      </c>
      <c r="BC119" s="4">
        <f t="shared" si="37"/>
        <v>0</v>
      </c>
      <c r="BD119" s="4">
        <f t="shared" si="37"/>
        <v>0</v>
      </c>
      <c r="BE119" s="4">
        <f t="shared" si="37"/>
        <v>0</v>
      </c>
      <c r="BF119" s="4">
        <f t="shared" si="37"/>
        <v>0</v>
      </c>
      <c r="BG119" s="4">
        <f t="shared" si="37"/>
        <v>0</v>
      </c>
      <c r="BH119" s="4">
        <f t="shared" si="37"/>
        <v>0</v>
      </c>
      <c r="BI119" s="4">
        <f t="shared" si="37"/>
        <v>0</v>
      </c>
      <c r="BJ119" s="4">
        <f t="shared" si="37"/>
        <v>0</v>
      </c>
      <c r="BK119" s="4">
        <f t="shared" si="37"/>
        <v>0</v>
      </c>
      <c r="BL119" s="4">
        <f t="shared" si="37"/>
        <v>0</v>
      </c>
    </row>
    <row r="120" spans="1:64" x14ac:dyDescent="0.35">
      <c r="A120" s="1"/>
      <c r="C120" s="2" t="s">
        <v>171</v>
      </c>
      <c r="D120" s="12">
        <f>D18</f>
        <v>5.0000000000000001E-3</v>
      </c>
      <c r="E120" s="4">
        <f ca="1">D119*$D$120*E110</f>
        <v>1.0229913330078124</v>
      </c>
      <c r="F120" s="4">
        <f t="shared" ref="F120:BL120" si="38">E119*$D$120*F110</f>
        <v>0</v>
      </c>
      <c r="G120" s="4">
        <f t="shared" si="38"/>
        <v>0</v>
      </c>
      <c r="H120" s="4">
        <f t="shared" si="38"/>
        <v>0</v>
      </c>
      <c r="I120" s="4">
        <f t="shared" si="38"/>
        <v>0</v>
      </c>
      <c r="J120" s="4">
        <f t="shared" si="38"/>
        <v>0</v>
      </c>
      <c r="K120" s="4">
        <f t="shared" si="38"/>
        <v>0</v>
      </c>
      <c r="L120" s="4">
        <f t="shared" si="38"/>
        <v>0</v>
      </c>
      <c r="M120" s="4">
        <f t="shared" si="38"/>
        <v>0</v>
      </c>
      <c r="N120" s="4">
        <f t="shared" si="38"/>
        <v>0</v>
      </c>
      <c r="O120" s="4">
        <f t="shared" si="38"/>
        <v>0</v>
      </c>
      <c r="P120" s="4">
        <f t="shared" si="38"/>
        <v>0</v>
      </c>
      <c r="Q120" s="4">
        <f t="shared" si="38"/>
        <v>0</v>
      </c>
      <c r="R120" s="4">
        <f t="shared" si="38"/>
        <v>0</v>
      </c>
      <c r="S120" s="4">
        <f t="shared" si="38"/>
        <v>0</v>
      </c>
      <c r="T120" s="4">
        <f t="shared" si="38"/>
        <v>0</v>
      </c>
      <c r="U120" s="4">
        <f t="shared" si="38"/>
        <v>0</v>
      </c>
      <c r="V120" s="4">
        <f t="shared" si="38"/>
        <v>0</v>
      </c>
      <c r="W120" s="4">
        <f t="shared" si="38"/>
        <v>0</v>
      </c>
      <c r="X120" s="4">
        <f t="shared" si="38"/>
        <v>0</v>
      </c>
      <c r="Y120" s="4">
        <f t="shared" si="38"/>
        <v>0</v>
      </c>
      <c r="Z120" s="4">
        <f t="shared" si="38"/>
        <v>0</v>
      </c>
      <c r="AA120" s="4">
        <f t="shared" si="38"/>
        <v>0</v>
      </c>
      <c r="AB120" s="4">
        <f t="shared" si="38"/>
        <v>0</v>
      </c>
      <c r="AC120" s="4">
        <f t="shared" si="38"/>
        <v>0</v>
      </c>
      <c r="AD120" s="4">
        <f t="shared" si="38"/>
        <v>0</v>
      </c>
      <c r="AE120" s="4">
        <f t="shared" si="38"/>
        <v>0</v>
      </c>
      <c r="AF120" s="4">
        <f t="shared" si="38"/>
        <v>0</v>
      </c>
      <c r="AG120" s="4">
        <f t="shared" si="38"/>
        <v>0</v>
      </c>
      <c r="AH120" s="4">
        <f t="shared" si="38"/>
        <v>0</v>
      </c>
      <c r="AI120" s="4">
        <f t="shared" si="38"/>
        <v>0</v>
      </c>
      <c r="AJ120" s="4">
        <f t="shared" si="38"/>
        <v>0</v>
      </c>
      <c r="AK120" s="4">
        <f t="shared" si="38"/>
        <v>0</v>
      </c>
      <c r="AL120" s="4">
        <f t="shared" si="38"/>
        <v>0</v>
      </c>
      <c r="AM120" s="4">
        <f t="shared" si="38"/>
        <v>0</v>
      </c>
      <c r="AN120" s="4">
        <f t="shared" si="38"/>
        <v>0</v>
      </c>
      <c r="AO120" s="4">
        <f t="shared" si="38"/>
        <v>0</v>
      </c>
      <c r="AP120" s="4">
        <f t="shared" si="38"/>
        <v>0</v>
      </c>
      <c r="AQ120" s="4">
        <f t="shared" si="38"/>
        <v>0</v>
      </c>
      <c r="AR120" s="4">
        <f t="shared" si="38"/>
        <v>0</v>
      </c>
      <c r="AS120" s="4">
        <f t="shared" si="38"/>
        <v>0</v>
      </c>
      <c r="AT120" s="4">
        <f t="shared" si="38"/>
        <v>0</v>
      </c>
      <c r="AU120" s="4">
        <f t="shared" si="38"/>
        <v>0</v>
      </c>
      <c r="AV120" s="4">
        <f t="shared" si="38"/>
        <v>0</v>
      </c>
      <c r="AW120" s="4">
        <f t="shared" si="38"/>
        <v>0</v>
      </c>
      <c r="AX120" s="4">
        <f t="shared" si="38"/>
        <v>0</v>
      </c>
      <c r="AY120" s="4">
        <f t="shared" si="38"/>
        <v>0</v>
      </c>
      <c r="AZ120" s="4">
        <f t="shared" si="38"/>
        <v>0</v>
      </c>
      <c r="BA120" s="4">
        <f t="shared" si="38"/>
        <v>0</v>
      </c>
      <c r="BB120" s="4">
        <f t="shared" si="38"/>
        <v>0</v>
      </c>
      <c r="BC120" s="4">
        <f t="shared" si="38"/>
        <v>0</v>
      </c>
      <c r="BD120" s="4">
        <f t="shared" si="38"/>
        <v>0</v>
      </c>
      <c r="BE120" s="4">
        <f t="shared" si="38"/>
        <v>0</v>
      </c>
      <c r="BF120" s="4">
        <f t="shared" si="38"/>
        <v>0</v>
      </c>
      <c r="BG120" s="4">
        <f t="shared" si="38"/>
        <v>0</v>
      </c>
      <c r="BH120" s="4">
        <f t="shared" si="38"/>
        <v>0</v>
      </c>
      <c r="BI120" s="4">
        <f t="shared" si="38"/>
        <v>0</v>
      </c>
      <c r="BJ120" s="4">
        <f t="shared" si="38"/>
        <v>0</v>
      </c>
      <c r="BK120" s="4">
        <f t="shared" si="38"/>
        <v>0</v>
      </c>
      <c r="BL120" s="4">
        <f t="shared" si="38"/>
        <v>0</v>
      </c>
    </row>
    <row r="121" spans="1:64" x14ac:dyDescent="0.35">
      <c r="A121" s="1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/>
      <c r="AP121" s="4"/>
      <c r="AQ121" s="4"/>
      <c r="AR121" s="4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/>
      <c r="BL121" s="4"/>
    </row>
    <row r="122" spans="1:64" s="40" customFormat="1" x14ac:dyDescent="0.35">
      <c r="A122" s="40" t="s">
        <v>408</v>
      </c>
      <c r="D122" s="175"/>
      <c r="E122" s="175"/>
      <c r="F122" s="175"/>
      <c r="G122" s="175"/>
      <c r="H122" s="175"/>
      <c r="I122" s="175"/>
      <c r="J122" s="175"/>
      <c r="K122" s="175"/>
      <c r="L122" s="175"/>
      <c r="M122" s="175"/>
      <c r="N122" s="175"/>
      <c r="O122" s="175"/>
      <c r="P122" s="175"/>
      <c r="Q122" s="175"/>
      <c r="R122" s="175"/>
      <c r="S122" s="175"/>
      <c r="T122" s="175"/>
      <c r="U122" s="175"/>
      <c r="V122" s="175"/>
      <c r="W122" s="175"/>
      <c r="X122" s="175"/>
      <c r="Y122" s="175"/>
      <c r="Z122" s="175"/>
      <c r="AA122" s="175"/>
      <c r="AB122" s="175"/>
      <c r="AC122" s="175"/>
      <c r="AD122" s="175"/>
      <c r="AE122" s="175"/>
      <c r="AF122" s="175"/>
      <c r="AG122" s="175"/>
      <c r="AH122" s="175"/>
      <c r="AI122" s="175"/>
      <c r="AJ122" s="175"/>
      <c r="AK122" s="175"/>
      <c r="AL122" s="175"/>
      <c r="AM122" s="175"/>
      <c r="AN122" s="175"/>
      <c r="AO122" s="175"/>
      <c r="AP122" s="175"/>
      <c r="AQ122" s="175"/>
      <c r="AR122" s="175"/>
      <c r="AS122" s="175"/>
      <c r="AT122" s="175"/>
      <c r="AU122" s="175"/>
      <c r="AV122" s="175"/>
      <c r="AW122" s="175"/>
      <c r="AX122" s="175"/>
      <c r="AY122" s="175"/>
      <c r="AZ122" s="175"/>
      <c r="BA122" s="175"/>
      <c r="BB122" s="175"/>
      <c r="BC122" s="175"/>
      <c r="BD122" s="175"/>
      <c r="BE122" s="175"/>
      <c r="BF122" s="175"/>
      <c r="BG122" s="175"/>
      <c r="BH122" s="175"/>
      <c r="BI122" s="175"/>
      <c r="BJ122" s="175"/>
      <c r="BK122" s="175"/>
      <c r="BL122" s="175"/>
    </row>
    <row r="123" spans="1:64" x14ac:dyDescent="0.35">
      <c r="A123" s="1"/>
      <c r="C123" s="2" t="s">
        <v>104</v>
      </c>
      <c r="D123" s="4"/>
      <c r="E123" s="4">
        <f t="shared" ref="E123:AJ123" si="39">E45</f>
        <v>185</v>
      </c>
      <c r="F123" s="4">
        <f t="shared" si="39"/>
        <v>185</v>
      </c>
      <c r="G123" s="4">
        <f t="shared" si="39"/>
        <v>185</v>
      </c>
      <c r="H123" s="4">
        <f t="shared" si="39"/>
        <v>185</v>
      </c>
      <c r="I123" s="4">
        <f t="shared" si="39"/>
        <v>185</v>
      </c>
      <c r="J123" s="4">
        <f t="shared" si="39"/>
        <v>185</v>
      </c>
      <c r="K123" s="4">
        <f t="shared" si="39"/>
        <v>186.85</v>
      </c>
      <c r="L123" s="4">
        <f t="shared" si="39"/>
        <v>188.71850000000001</v>
      </c>
      <c r="M123" s="4">
        <f t="shared" si="39"/>
        <v>190.60568499999999</v>
      </c>
      <c r="N123" s="4">
        <f t="shared" si="39"/>
        <v>192.51174184999999</v>
      </c>
      <c r="O123" s="4">
        <f t="shared" si="39"/>
        <v>195.39941797774998</v>
      </c>
      <c r="P123" s="4">
        <f t="shared" si="39"/>
        <v>198.33040924741621</v>
      </c>
      <c r="Q123" s="4">
        <f t="shared" si="39"/>
        <v>201.30536538612745</v>
      </c>
      <c r="R123" s="4">
        <f t="shared" si="39"/>
        <v>204.32494586691934</v>
      </c>
      <c r="S123" s="4">
        <f t="shared" si="39"/>
        <v>207.38982005492309</v>
      </c>
      <c r="T123" s="4">
        <f t="shared" si="39"/>
        <v>210.50066735574691</v>
      </c>
      <c r="U123" s="4">
        <f t="shared" si="39"/>
        <v>213.65817736608309</v>
      </c>
      <c r="V123" s="4">
        <f t="shared" si="39"/>
        <v>216.86305002657431</v>
      </c>
      <c r="W123" s="4">
        <f t="shared" si="39"/>
        <v>220.11599577697291</v>
      </c>
      <c r="X123" s="4">
        <f t="shared" si="39"/>
        <v>223.41773571362748</v>
      </c>
      <c r="Y123" s="4">
        <f t="shared" si="39"/>
        <v>226.76900174933186</v>
      </c>
      <c r="Z123" s="4">
        <f t="shared" si="39"/>
        <v>230.17053677557183</v>
      </c>
      <c r="AA123" s="4">
        <f t="shared" si="39"/>
        <v>233.62309482720539</v>
      </c>
      <c r="AB123" s="4">
        <f t="shared" si="39"/>
        <v>237.12744124961344</v>
      </c>
      <c r="AC123" s="4">
        <f t="shared" si="39"/>
        <v>240.68435286835762</v>
      </c>
      <c r="AD123" s="4">
        <f t="shared" si="39"/>
        <v>244.29461816138297</v>
      </c>
      <c r="AE123" s="4">
        <f t="shared" si="39"/>
        <v>247.9590374338037</v>
      </c>
      <c r="AF123" s="4">
        <f t="shared" si="39"/>
        <v>251.67842299531074</v>
      </c>
      <c r="AG123" s="4">
        <f t="shared" si="39"/>
        <v>257.97038357019346</v>
      </c>
      <c r="AH123" s="4">
        <f t="shared" si="39"/>
        <v>264.4196431594483</v>
      </c>
      <c r="AI123" s="4">
        <f t="shared" si="39"/>
        <v>271.03013423843447</v>
      </c>
      <c r="AJ123" s="4">
        <f t="shared" si="39"/>
        <v>277.8058875943953</v>
      </c>
      <c r="AK123" s="4">
        <f t="shared" ref="AK123:BL123" si="40">AK45</f>
        <v>284.75103478425518</v>
      </c>
      <c r="AL123" s="4">
        <f t="shared" si="40"/>
        <v>291.86981065386152</v>
      </c>
      <c r="AM123" s="4">
        <f t="shared" si="40"/>
        <v>299.16655592020805</v>
      </c>
      <c r="AN123" s="4">
        <f t="shared" si="40"/>
        <v>306.64571981821325</v>
      </c>
      <c r="AO123" s="4">
        <f t="shared" si="40"/>
        <v>314.31186281366854</v>
      </c>
      <c r="AP123" s="4">
        <f t="shared" si="40"/>
        <v>322.16965938401023</v>
      </c>
      <c r="AQ123" s="4">
        <f t="shared" si="40"/>
        <v>330.22390086861049</v>
      </c>
      <c r="AR123" s="4">
        <f t="shared" si="40"/>
        <v>338.47949839032572</v>
      </c>
      <c r="AS123" s="4">
        <f t="shared" si="40"/>
        <v>346.94148585008384</v>
      </c>
      <c r="AT123" s="4">
        <f t="shared" si="40"/>
        <v>355.61502299633588</v>
      </c>
      <c r="AU123" s="4">
        <f t="shared" si="40"/>
        <v>364.50539857124426</v>
      </c>
      <c r="AV123" s="4">
        <f t="shared" si="40"/>
        <v>373.61803353552534</v>
      </c>
      <c r="AW123" s="4">
        <f t="shared" si="40"/>
        <v>382.95848437391345</v>
      </c>
      <c r="AX123" s="4">
        <f t="shared" si="40"/>
        <v>392.53244648326125</v>
      </c>
      <c r="AY123" s="4">
        <f t="shared" si="40"/>
        <v>402.34575764534276</v>
      </c>
      <c r="AZ123" s="4">
        <f t="shared" si="40"/>
        <v>412.4044015864763</v>
      </c>
      <c r="BA123" s="4">
        <f t="shared" si="40"/>
        <v>422.71451162613818</v>
      </c>
      <c r="BB123" s="4">
        <f t="shared" si="40"/>
        <v>433.28237441679158</v>
      </c>
      <c r="BC123" s="4">
        <f t="shared" si="40"/>
        <v>444.11443377721133</v>
      </c>
      <c r="BD123" s="4">
        <f t="shared" si="40"/>
        <v>455.2172946216416</v>
      </c>
      <c r="BE123" s="4">
        <f t="shared" si="40"/>
        <v>466.59772698718263</v>
      </c>
      <c r="BF123" s="4">
        <f t="shared" si="40"/>
        <v>478.26267016186216</v>
      </c>
      <c r="BG123" s="4">
        <f t="shared" si="40"/>
        <v>490.21923691590865</v>
      </c>
      <c r="BH123" s="4">
        <f t="shared" si="40"/>
        <v>502.47471783880633</v>
      </c>
      <c r="BI123" s="4">
        <f t="shared" si="40"/>
        <v>515.03658578477643</v>
      </c>
      <c r="BJ123" s="4">
        <f t="shared" si="40"/>
        <v>527.91250042939578</v>
      </c>
      <c r="BK123" s="4">
        <f t="shared" si="40"/>
        <v>541.1103129401306</v>
      </c>
      <c r="BL123" s="4">
        <f t="shared" si="40"/>
        <v>554.63807076363378</v>
      </c>
    </row>
    <row r="124" spans="1:64" x14ac:dyDescent="0.35">
      <c r="A124" s="1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/>
      <c r="BE124" s="4"/>
      <c r="BF124" s="4"/>
      <c r="BG124" s="4"/>
      <c r="BH124" s="4"/>
      <c r="BI124" s="4"/>
      <c r="BJ124" s="4"/>
      <c r="BK124" s="4"/>
      <c r="BL124" s="4"/>
    </row>
    <row r="125" spans="1:64" x14ac:dyDescent="0.35">
      <c r="A125" s="1"/>
      <c r="C125" s="2" t="s">
        <v>105</v>
      </c>
      <c r="D125" s="4"/>
      <c r="E125" s="4">
        <f t="shared" ref="E125:AJ125" si="41">E46</f>
        <v>0</v>
      </c>
      <c r="F125" s="4">
        <f t="shared" si="41"/>
        <v>0</v>
      </c>
      <c r="G125" s="4">
        <f t="shared" si="41"/>
        <v>0</v>
      </c>
      <c r="H125" s="4">
        <f t="shared" si="41"/>
        <v>0</v>
      </c>
      <c r="I125" s="4">
        <f t="shared" si="41"/>
        <v>0</v>
      </c>
      <c r="J125" s="4">
        <f t="shared" si="41"/>
        <v>0</v>
      </c>
      <c r="K125" s="4">
        <f t="shared" si="41"/>
        <v>0</v>
      </c>
      <c r="L125" s="4">
        <f t="shared" si="41"/>
        <v>0</v>
      </c>
      <c r="M125" s="4">
        <f t="shared" si="41"/>
        <v>0</v>
      </c>
      <c r="N125" s="4">
        <f t="shared" si="41"/>
        <v>0</v>
      </c>
      <c r="O125" s="4">
        <f t="shared" si="41"/>
        <v>0</v>
      </c>
      <c r="P125" s="4">
        <f t="shared" si="41"/>
        <v>0</v>
      </c>
      <c r="Q125" s="4">
        <f t="shared" si="41"/>
        <v>0</v>
      </c>
      <c r="R125" s="4">
        <f t="shared" si="41"/>
        <v>0</v>
      </c>
      <c r="S125" s="4">
        <f t="shared" si="41"/>
        <v>0</v>
      </c>
      <c r="T125" s="4">
        <f t="shared" si="41"/>
        <v>0</v>
      </c>
      <c r="U125" s="4">
        <f t="shared" si="41"/>
        <v>0</v>
      </c>
      <c r="V125" s="4">
        <f t="shared" si="41"/>
        <v>0</v>
      </c>
      <c r="W125" s="4">
        <f t="shared" si="41"/>
        <v>0</v>
      </c>
      <c r="X125" s="4">
        <f t="shared" si="41"/>
        <v>0</v>
      </c>
      <c r="Y125" s="4">
        <f t="shared" si="41"/>
        <v>0</v>
      </c>
      <c r="Z125" s="4">
        <f t="shared" si="41"/>
        <v>0</v>
      </c>
      <c r="AA125" s="4">
        <f t="shared" si="41"/>
        <v>0</v>
      </c>
      <c r="AB125" s="4">
        <f t="shared" si="41"/>
        <v>0</v>
      </c>
      <c r="AC125" s="4">
        <f t="shared" si="41"/>
        <v>0</v>
      </c>
      <c r="AD125" s="4">
        <f t="shared" si="41"/>
        <v>0</v>
      </c>
      <c r="AE125" s="4">
        <f t="shared" si="41"/>
        <v>0</v>
      </c>
      <c r="AF125" s="4">
        <f t="shared" si="41"/>
        <v>0</v>
      </c>
      <c r="AG125" s="4">
        <f t="shared" si="41"/>
        <v>0</v>
      </c>
      <c r="AH125" s="4">
        <f t="shared" si="41"/>
        <v>0</v>
      </c>
      <c r="AI125" s="4">
        <f t="shared" si="41"/>
        <v>0</v>
      </c>
      <c r="AJ125" s="4">
        <f t="shared" si="41"/>
        <v>0</v>
      </c>
      <c r="AK125" s="4">
        <f t="shared" ref="AK125:BL125" si="42">AK46</f>
        <v>0</v>
      </c>
      <c r="AL125" s="4">
        <f t="shared" si="42"/>
        <v>0</v>
      </c>
      <c r="AM125" s="4">
        <f t="shared" si="42"/>
        <v>0</v>
      </c>
      <c r="AN125" s="4">
        <f t="shared" si="42"/>
        <v>0</v>
      </c>
      <c r="AO125" s="4">
        <f t="shared" si="42"/>
        <v>0</v>
      </c>
      <c r="AP125" s="4">
        <f t="shared" si="42"/>
        <v>0</v>
      </c>
      <c r="AQ125" s="4">
        <f t="shared" si="42"/>
        <v>0</v>
      </c>
      <c r="AR125" s="4">
        <f t="shared" si="42"/>
        <v>0</v>
      </c>
      <c r="AS125" s="4">
        <f t="shared" si="42"/>
        <v>0</v>
      </c>
      <c r="AT125" s="4">
        <f t="shared" si="42"/>
        <v>0</v>
      </c>
      <c r="AU125" s="4">
        <f t="shared" si="42"/>
        <v>0</v>
      </c>
      <c r="AV125" s="4">
        <f t="shared" si="42"/>
        <v>0</v>
      </c>
      <c r="AW125" s="4">
        <f t="shared" si="42"/>
        <v>0</v>
      </c>
      <c r="AX125" s="4">
        <f t="shared" si="42"/>
        <v>0</v>
      </c>
      <c r="AY125" s="4">
        <f t="shared" si="42"/>
        <v>0</v>
      </c>
      <c r="AZ125" s="4">
        <f t="shared" si="42"/>
        <v>0</v>
      </c>
      <c r="BA125" s="4">
        <f t="shared" si="42"/>
        <v>0</v>
      </c>
      <c r="BB125" s="4">
        <f t="shared" si="42"/>
        <v>0</v>
      </c>
      <c r="BC125" s="4">
        <f t="shared" si="42"/>
        <v>0</v>
      </c>
      <c r="BD125" s="4">
        <f t="shared" si="42"/>
        <v>0</v>
      </c>
      <c r="BE125" s="4">
        <f t="shared" si="42"/>
        <v>0</v>
      </c>
      <c r="BF125" s="4">
        <f t="shared" si="42"/>
        <v>0</v>
      </c>
      <c r="BG125" s="4">
        <f t="shared" si="42"/>
        <v>0</v>
      </c>
      <c r="BH125" s="4">
        <f t="shared" si="42"/>
        <v>0</v>
      </c>
      <c r="BI125" s="4">
        <f t="shared" si="42"/>
        <v>0</v>
      </c>
      <c r="BJ125" s="4">
        <f t="shared" si="42"/>
        <v>0</v>
      </c>
      <c r="BK125" s="4">
        <f t="shared" si="42"/>
        <v>0</v>
      </c>
      <c r="BL125" s="4">
        <f t="shared" si="42"/>
        <v>0</v>
      </c>
    </row>
    <row r="126" spans="1:64" x14ac:dyDescent="0.35">
      <c r="A126" s="1"/>
      <c r="C126" s="2" t="s">
        <v>409</v>
      </c>
      <c r="D126" s="4"/>
      <c r="E126" s="4">
        <f t="shared" ref="E126:BL126" ca="1" si="43">E104</f>
        <v>52.158794499138864</v>
      </c>
      <c r="F126" s="4">
        <f t="shared" ca="1" si="43"/>
        <v>51.43617181876327</v>
      </c>
      <c r="G126" s="4">
        <f t="shared" ca="1" si="43"/>
        <v>50.689126213871404</v>
      </c>
      <c r="H126" s="4">
        <f t="shared" ca="1" si="43"/>
        <v>49.932658418683111</v>
      </c>
      <c r="I126" s="4">
        <f t="shared" ca="1" si="43"/>
        <v>49.16664958050486</v>
      </c>
      <c r="J126" s="4">
        <f t="shared" ca="1" si="43"/>
        <v>48.390970243962968</v>
      </c>
      <c r="K126" s="4">
        <f t="shared" ca="1" si="43"/>
        <v>47.605489121492688</v>
      </c>
      <c r="L126" s="4">
        <f t="shared" ca="1" si="43"/>
        <v>46.798738930132728</v>
      </c>
      <c r="M126" s="4">
        <f t="shared" ca="1" si="43"/>
        <v>45.970337776656024</v>
      </c>
      <c r="N126" s="4">
        <f t="shared" ca="1" si="43"/>
        <v>45.119893093585993</v>
      </c>
      <c r="O126" s="4">
        <f t="shared" ca="1" si="43"/>
        <v>44.247006027580632</v>
      </c>
      <c r="P126" s="4">
        <f t="shared" ca="1" si="43"/>
        <v>43.345374177483798</v>
      </c>
      <c r="Q126" s="4">
        <f t="shared" ca="1" si="43"/>
        <v>42.414368986152311</v>
      </c>
      <c r="R126" s="4">
        <f t="shared" ca="1" si="43"/>
        <v>41.453349939975105</v>
      </c>
      <c r="S126" s="4">
        <f t="shared" ca="1" si="43"/>
        <v>40.461664412109343</v>
      </c>
      <c r="T126" s="4">
        <f t="shared" ca="1" si="43"/>
        <v>39.438647445269986</v>
      </c>
      <c r="U126" s="4">
        <f t="shared" ca="1" si="43"/>
        <v>38.383621513754704</v>
      </c>
      <c r="V126" s="4">
        <f t="shared" ca="1" si="43"/>
        <v>37.295896304980964</v>
      </c>
      <c r="W126" s="4">
        <f t="shared" ca="1" si="43"/>
        <v>36.174768504565783</v>
      </c>
      <c r="X126" s="4">
        <f t="shared" ca="1" si="43"/>
        <v>35.01952156061747</v>
      </c>
      <c r="Y126" s="4">
        <f t="shared" ca="1" si="43"/>
        <v>33.829425475636377</v>
      </c>
      <c r="Z126" s="4">
        <f t="shared" ca="1" si="43"/>
        <v>32.603736528961356</v>
      </c>
      <c r="AA126" s="4">
        <f t="shared" ca="1" si="43"/>
        <v>31.341697058642765</v>
      </c>
      <c r="AB126" s="4">
        <f t="shared" ca="1" si="43"/>
        <v>30.042535222398222</v>
      </c>
      <c r="AC126" s="4">
        <f t="shared" ca="1" si="43"/>
        <v>28.705464737316486</v>
      </c>
      <c r="AD126" s="4">
        <f t="shared" ca="1" si="43"/>
        <v>27.32968461421196</v>
      </c>
      <c r="AE126" s="4">
        <f t="shared" ca="1" si="43"/>
        <v>25.914378935256799</v>
      </c>
      <c r="AF126" s="4">
        <f t="shared" ca="1" si="43"/>
        <v>24.458704168491753</v>
      </c>
      <c r="AG126" s="4">
        <f t="shared" ca="1" si="43"/>
        <v>22.961800541179848</v>
      </c>
      <c r="AH126" s="4">
        <f t="shared" ca="1" si="43"/>
        <v>21.40737243360077</v>
      </c>
      <c r="AI126" s="4">
        <f t="shared" ca="1" si="43"/>
        <v>19.793728169036388</v>
      </c>
      <c r="AJ126" s="4">
        <f t="shared" ca="1" si="43"/>
        <v>18.119130655957076</v>
      </c>
      <c r="AK126" s="4">
        <f t="shared" ca="1" si="43"/>
        <v>16.381796064494871</v>
      </c>
      <c r="AL126" s="4">
        <f t="shared" ca="1" si="43"/>
        <v>14.579892722019492</v>
      </c>
      <c r="AM126" s="4">
        <f t="shared" ca="1" si="43"/>
        <v>12.711539808265353</v>
      </c>
      <c r="AN126" s="4">
        <f t="shared" ca="1" si="43"/>
        <v>10.774806203810087</v>
      </c>
      <c r="AO126" s="4">
        <f t="shared" ca="1" si="43"/>
        <v>8.7677090063683583</v>
      </c>
      <c r="AP126" s="4">
        <f t="shared" ca="1" si="43"/>
        <v>6.6882139183878682</v>
      </c>
      <c r="AQ126" s="4">
        <f t="shared" ca="1" si="43"/>
        <v>4.5342322707428702</v>
      </c>
      <c r="AR126" s="4">
        <f t="shared" ca="1" si="43"/>
        <v>2.3055322346796845</v>
      </c>
      <c r="AS126" s="4">
        <f t="shared" ca="1" si="43"/>
        <v>1.9142021301377097E-13</v>
      </c>
      <c r="AT126" s="4">
        <f t="shared" ca="1" si="43"/>
        <v>1.9429151620897756E-13</v>
      </c>
      <c r="AU126" s="4">
        <f t="shared" ca="1" si="43"/>
        <v>1.9720588895211223E-13</v>
      </c>
      <c r="AV126" s="4">
        <f t="shared" ca="1" si="43"/>
        <v>2.0016397728639391E-13</v>
      </c>
      <c r="AW126" s="4">
        <f t="shared" ca="1" si="43"/>
        <v>2.031664369456898E-13</v>
      </c>
      <c r="AX126" s="4">
        <f t="shared" ca="1" si="43"/>
        <v>2.0621393349987516E-13</v>
      </c>
      <c r="AY126" s="4">
        <f t="shared" ca="1" si="43"/>
        <v>2.0930714250237327E-13</v>
      </c>
      <c r="AZ126" s="4">
        <f t="shared" ca="1" si="43"/>
        <v>2.1244674963990886E-13</v>
      </c>
      <c r="BA126" s="4">
        <f t="shared" ca="1" si="43"/>
        <v>2.1563345088450751E-13</v>
      </c>
      <c r="BB126" s="4">
        <f t="shared" ca="1" si="43"/>
        <v>2.1886795264777508E-13</v>
      </c>
      <c r="BC126" s="4">
        <f t="shared" ca="1" si="43"/>
        <v>2.2215097193749169E-13</v>
      </c>
      <c r="BD126" s="4">
        <f t="shared" ca="1" si="43"/>
        <v>2.2548323651655409E-13</v>
      </c>
      <c r="BE126" s="4">
        <f t="shared" ca="1" si="43"/>
        <v>2.2886548506430235E-13</v>
      </c>
      <c r="BF126" s="4">
        <f t="shared" ca="1" si="43"/>
        <v>2.3229846734026694E-13</v>
      </c>
      <c r="BG126" s="4">
        <f t="shared" ca="1" si="43"/>
        <v>2.3578294435037092E-13</v>
      </c>
      <c r="BH126" s="4">
        <f t="shared" ca="1" si="43"/>
        <v>2.3931968851562649E-13</v>
      </c>
      <c r="BI126" s="4">
        <f t="shared" ca="1" si="43"/>
        <v>2.4290948384336089E-13</v>
      </c>
      <c r="BJ126" s="4">
        <f t="shared" ca="1" si="43"/>
        <v>2.465531261010113E-13</v>
      </c>
      <c r="BK126" s="4">
        <f t="shared" ca="1" si="43"/>
        <v>2.5025142299252644E-13</v>
      </c>
      <c r="BL126" s="4">
        <f t="shared" ca="1" si="43"/>
        <v>2.540051943374144E-13</v>
      </c>
    </row>
    <row r="127" spans="1:64" x14ac:dyDescent="0.35">
      <c r="A127" s="1"/>
      <c r="C127" s="2" t="s">
        <v>410</v>
      </c>
      <c r="D127" s="4">
        <f>D28+D30</f>
        <v>4347.8260498046875</v>
      </c>
      <c r="E127" s="4">
        <f t="shared" ref="E127:AJ127" si="44">E51</f>
        <v>1.0217981338500977</v>
      </c>
      <c r="F127" s="4">
        <f t="shared" si="44"/>
        <v>1.0205897092819214</v>
      </c>
      <c r="G127" s="4">
        <f t="shared" si="44"/>
        <v>1.0193692445755005</v>
      </c>
      <c r="H127" s="4">
        <f t="shared" si="44"/>
        <v>1.0181394815444946</v>
      </c>
      <c r="I127" s="4">
        <f t="shared" si="44"/>
        <v>1.0207159519195557</v>
      </c>
      <c r="J127" s="4">
        <f t="shared" si="44"/>
        <v>1.0271241664886475</v>
      </c>
      <c r="K127" s="4">
        <f t="shared" si="44"/>
        <v>1.0335763692855835</v>
      </c>
      <c r="L127" s="4">
        <f t="shared" si="44"/>
        <v>1.040074348449707</v>
      </c>
      <c r="M127" s="4">
        <f t="shared" si="44"/>
        <v>1.0486035346984863</v>
      </c>
      <c r="N127" s="4">
        <f t="shared" si="44"/>
        <v>1.0592074394226074</v>
      </c>
      <c r="O127" s="4">
        <f t="shared" si="44"/>
        <v>1.0699450969696045</v>
      </c>
      <c r="P127" s="4">
        <f t="shared" si="44"/>
        <v>1.0808181762695313</v>
      </c>
      <c r="Q127" s="4">
        <f t="shared" si="44"/>
        <v>1.091828465461731</v>
      </c>
      <c r="R127" s="4">
        <f t="shared" si="44"/>
        <v>1.1029773950576782</v>
      </c>
      <c r="S127" s="4">
        <f t="shared" si="44"/>
        <v>1.1142672300338745</v>
      </c>
      <c r="T127" s="4">
        <f t="shared" si="44"/>
        <v>1.1256992816925049</v>
      </c>
      <c r="U127" s="4">
        <f t="shared" si="44"/>
        <v>1.1372755765914917</v>
      </c>
      <c r="V127" s="4">
        <f t="shared" si="44"/>
        <v>1.1489977836608887</v>
      </c>
      <c r="W127" s="4">
        <f t="shared" si="44"/>
        <v>1.1608679294586182</v>
      </c>
      <c r="X127" s="4">
        <f t="shared" si="44"/>
        <v>1.1728878021240234</v>
      </c>
      <c r="Y127" s="4">
        <f t="shared" si="44"/>
        <v>1.1850591897964478</v>
      </c>
      <c r="Z127" s="4">
        <f t="shared" si="44"/>
        <v>1.197384238243103</v>
      </c>
      <c r="AA127" s="4">
        <f t="shared" si="44"/>
        <v>1.209864616394043</v>
      </c>
      <c r="AB127" s="4">
        <f t="shared" si="44"/>
        <v>1.2225024700164795</v>
      </c>
      <c r="AC127" s="4">
        <f t="shared" si="44"/>
        <v>1.2353037595748901</v>
      </c>
      <c r="AD127" s="4">
        <f t="shared" si="44"/>
        <v>1.2482752799987793</v>
      </c>
      <c r="AE127" s="4">
        <f t="shared" si="44"/>
        <v>1.2666095495223999</v>
      </c>
      <c r="AF127" s="4">
        <f t="shared" si="44"/>
        <v>1.2905001640319824</v>
      </c>
      <c r="AG127" s="4">
        <f t="shared" si="44"/>
        <v>1.3149557113647461</v>
      </c>
      <c r="AH127" s="4">
        <f t="shared" si="44"/>
        <v>1.3399896621704102</v>
      </c>
      <c r="AI127" s="4">
        <f t="shared" si="44"/>
        <v>1.3656159639358521</v>
      </c>
      <c r="AJ127" s="4">
        <f t="shared" si="44"/>
        <v>1.3918493986129761</v>
      </c>
      <c r="AK127" s="4">
        <f t="shared" ref="AK127:BL127" si="45">AK51</f>
        <v>1.4187043905258179</v>
      </c>
      <c r="AL127" s="4">
        <f t="shared" si="45"/>
        <v>1.4461959600448608</v>
      </c>
      <c r="AM127" s="4">
        <f t="shared" si="45"/>
        <v>1.4743396043777466</v>
      </c>
      <c r="AN127" s="4">
        <f t="shared" si="45"/>
        <v>1.5031499862670898</v>
      </c>
      <c r="AO127" s="4">
        <f t="shared" si="45"/>
        <v>1.531999945640564</v>
      </c>
      <c r="AP127" s="4">
        <f t="shared" si="45"/>
        <v>1.5608862638473511</v>
      </c>
      <c r="AQ127" s="4">
        <f t="shared" si="45"/>
        <v>0.78774815797805786</v>
      </c>
      <c r="AR127" s="4">
        <f t="shared" si="45"/>
        <v>0</v>
      </c>
      <c r="AS127" s="4">
        <f t="shared" si="45"/>
        <v>0</v>
      </c>
      <c r="AT127" s="4">
        <f t="shared" si="45"/>
        <v>0</v>
      </c>
      <c r="AU127" s="4">
        <f t="shared" si="45"/>
        <v>0</v>
      </c>
      <c r="AV127" s="4">
        <f t="shared" si="45"/>
        <v>0</v>
      </c>
      <c r="AW127" s="4">
        <f t="shared" si="45"/>
        <v>0</v>
      </c>
      <c r="AX127" s="4">
        <f t="shared" si="45"/>
        <v>0</v>
      </c>
      <c r="AY127" s="4">
        <f t="shared" si="45"/>
        <v>0</v>
      </c>
      <c r="AZ127" s="4">
        <f t="shared" si="45"/>
        <v>0</v>
      </c>
      <c r="BA127" s="4">
        <f t="shared" si="45"/>
        <v>0</v>
      </c>
      <c r="BB127" s="4">
        <f t="shared" si="45"/>
        <v>0</v>
      </c>
      <c r="BC127" s="4">
        <f t="shared" si="45"/>
        <v>0</v>
      </c>
      <c r="BD127" s="4">
        <f t="shared" si="45"/>
        <v>0</v>
      </c>
      <c r="BE127" s="4">
        <f t="shared" si="45"/>
        <v>0</v>
      </c>
      <c r="BF127" s="4">
        <f t="shared" si="45"/>
        <v>0</v>
      </c>
      <c r="BG127" s="4">
        <f t="shared" si="45"/>
        <v>0</v>
      </c>
      <c r="BH127" s="4">
        <f t="shared" si="45"/>
        <v>0</v>
      </c>
      <c r="BI127" s="4">
        <f t="shared" si="45"/>
        <v>0</v>
      </c>
      <c r="BJ127" s="4">
        <f t="shared" si="45"/>
        <v>0</v>
      </c>
      <c r="BK127" s="4">
        <f t="shared" si="45"/>
        <v>0</v>
      </c>
      <c r="BL127" s="4">
        <f t="shared" si="45"/>
        <v>0</v>
      </c>
    </row>
    <row r="128" spans="1:64" x14ac:dyDescent="0.35">
      <c r="A128" s="1"/>
      <c r="C128" s="2" t="s">
        <v>492</v>
      </c>
      <c r="D128" s="12">
        <f>D25</f>
        <v>2.5000000000000001E-2</v>
      </c>
      <c r="E128" s="4">
        <f>$D$128*$D$127</f>
        <v>108.69565124511719</v>
      </c>
      <c r="F128" s="4">
        <f t="shared" ref="F128:BL128" si="46">$D$128*$D$127</f>
        <v>108.69565124511719</v>
      </c>
      <c r="G128" s="4">
        <f t="shared" si="46"/>
        <v>108.69565124511719</v>
      </c>
      <c r="H128" s="4">
        <f t="shared" si="46"/>
        <v>108.69565124511719</v>
      </c>
      <c r="I128" s="4">
        <f t="shared" si="46"/>
        <v>108.69565124511719</v>
      </c>
      <c r="J128" s="4">
        <f t="shared" si="46"/>
        <v>108.69565124511719</v>
      </c>
      <c r="K128" s="4">
        <f t="shared" si="46"/>
        <v>108.69565124511719</v>
      </c>
      <c r="L128" s="4">
        <f t="shared" si="46"/>
        <v>108.69565124511719</v>
      </c>
      <c r="M128" s="4">
        <f t="shared" si="46"/>
        <v>108.69565124511719</v>
      </c>
      <c r="N128" s="4">
        <f t="shared" si="46"/>
        <v>108.69565124511719</v>
      </c>
      <c r="O128" s="4">
        <f t="shared" si="46"/>
        <v>108.69565124511719</v>
      </c>
      <c r="P128" s="4">
        <f t="shared" si="46"/>
        <v>108.69565124511719</v>
      </c>
      <c r="Q128" s="4">
        <f t="shared" si="46"/>
        <v>108.69565124511719</v>
      </c>
      <c r="R128" s="4">
        <f t="shared" si="46"/>
        <v>108.69565124511719</v>
      </c>
      <c r="S128" s="4">
        <f t="shared" si="46"/>
        <v>108.69565124511719</v>
      </c>
      <c r="T128" s="4">
        <f t="shared" si="46"/>
        <v>108.69565124511719</v>
      </c>
      <c r="U128" s="4">
        <f t="shared" si="46"/>
        <v>108.69565124511719</v>
      </c>
      <c r="V128" s="4">
        <f t="shared" si="46"/>
        <v>108.69565124511719</v>
      </c>
      <c r="W128" s="4">
        <f t="shared" si="46"/>
        <v>108.69565124511719</v>
      </c>
      <c r="X128" s="4">
        <f t="shared" si="46"/>
        <v>108.69565124511719</v>
      </c>
      <c r="Y128" s="4">
        <f t="shared" si="46"/>
        <v>108.69565124511719</v>
      </c>
      <c r="Z128" s="4">
        <f t="shared" si="46"/>
        <v>108.69565124511719</v>
      </c>
      <c r="AA128" s="4">
        <f t="shared" si="46"/>
        <v>108.69565124511719</v>
      </c>
      <c r="AB128" s="4">
        <f t="shared" si="46"/>
        <v>108.69565124511719</v>
      </c>
      <c r="AC128" s="4">
        <f t="shared" si="46"/>
        <v>108.69565124511719</v>
      </c>
      <c r="AD128" s="4">
        <f t="shared" si="46"/>
        <v>108.69565124511719</v>
      </c>
      <c r="AE128" s="4">
        <f t="shared" si="46"/>
        <v>108.69565124511719</v>
      </c>
      <c r="AF128" s="4">
        <f t="shared" si="46"/>
        <v>108.69565124511719</v>
      </c>
      <c r="AG128" s="4">
        <f t="shared" si="46"/>
        <v>108.69565124511719</v>
      </c>
      <c r="AH128" s="4">
        <f t="shared" si="46"/>
        <v>108.69565124511719</v>
      </c>
      <c r="AI128" s="4">
        <f t="shared" si="46"/>
        <v>108.69565124511719</v>
      </c>
      <c r="AJ128" s="4">
        <f t="shared" si="46"/>
        <v>108.69565124511719</v>
      </c>
      <c r="AK128" s="4">
        <f t="shared" si="46"/>
        <v>108.69565124511719</v>
      </c>
      <c r="AL128" s="4">
        <f t="shared" si="46"/>
        <v>108.69565124511719</v>
      </c>
      <c r="AM128" s="4">
        <f t="shared" si="46"/>
        <v>108.69565124511719</v>
      </c>
      <c r="AN128" s="4">
        <f t="shared" si="46"/>
        <v>108.69565124511719</v>
      </c>
      <c r="AO128" s="4">
        <f t="shared" si="46"/>
        <v>108.69565124511719</v>
      </c>
      <c r="AP128" s="4">
        <f t="shared" si="46"/>
        <v>108.69565124511719</v>
      </c>
      <c r="AQ128" s="4">
        <f t="shared" si="46"/>
        <v>108.69565124511719</v>
      </c>
      <c r="AR128" s="4">
        <f t="shared" si="46"/>
        <v>108.69565124511719</v>
      </c>
      <c r="AS128" s="4">
        <f t="shared" si="46"/>
        <v>108.69565124511719</v>
      </c>
      <c r="AT128" s="4">
        <f t="shared" si="46"/>
        <v>108.69565124511719</v>
      </c>
      <c r="AU128" s="4">
        <f t="shared" si="46"/>
        <v>108.69565124511719</v>
      </c>
      <c r="AV128" s="4">
        <f t="shared" si="46"/>
        <v>108.69565124511719</v>
      </c>
      <c r="AW128" s="4">
        <f t="shared" si="46"/>
        <v>108.69565124511719</v>
      </c>
      <c r="AX128" s="4">
        <f t="shared" si="46"/>
        <v>108.69565124511719</v>
      </c>
      <c r="AY128" s="4">
        <f t="shared" si="46"/>
        <v>108.69565124511719</v>
      </c>
      <c r="AZ128" s="4">
        <f t="shared" si="46"/>
        <v>108.69565124511719</v>
      </c>
      <c r="BA128" s="4">
        <f t="shared" si="46"/>
        <v>108.69565124511719</v>
      </c>
      <c r="BB128" s="4">
        <f t="shared" si="46"/>
        <v>108.69565124511719</v>
      </c>
      <c r="BC128" s="4">
        <f t="shared" si="46"/>
        <v>108.69565124511719</v>
      </c>
      <c r="BD128" s="4">
        <f t="shared" si="46"/>
        <v>108.69565124511719</v>
      </c>
      <c r="BE128" s="4">
        <f t="shared" si="46"/>
        <v>108.69565124511719</v>
      </c>
      <c r="BF128" s="4">
        <f t="shared" si="46"/>
        <v>108.69565124511719</v>
      </c>
      <c r="BG128" s="4">
        <f t="shared" si="46"/>
        <v>108.69565124511719</v>
      </c>
      <c r="BH128" s="4">
        <f t="shared" si="46"/>
        <v>108.69565124511719</v>
      </c>
      <c r="BI128" s="4">
        <f t="shared" si="46"/>
        <v>108.69565124511719</v>
      </c>
      <c r="BJ128" s="4">
        <f t="shared" si="46"/>
        <v>108.69565124511719</v>
      </c>
      <c r="BK128" s="4">
        <f t="shared" si="46"/>
        <v>108.69565124511719</v>
      </c>
      <c r="BL128" s="4">
        <f t="shared" si="46"/>
        <v>108.69565124511719</v>
      </c>
    </row>
    <row r="129" spans="1:64" ht="15" thickBot="1" x14ac:dyDescent="0.4">
      <c r="A129" s="1"/>
      <c r="C129" s="24" t="s">
        <v>493</v>
      </c>
      <c r="D129" s="25"/>
      <c r="E129" s="25">
        <f ca="1">E123+E125-E126-E127-E128</f>
        <v>23.123756121893834</v>
      </c>
      <c r="F129" s="25">
        <f t="shared" ref="F129:BL129" ca="1" si="47">F123+F125-F126-F127-F128</f>
        <v>23.847587226837604</v>
      </c>
      <c r="G129" s="25">
        <f t="shared" ca="1" si="47"/>
        <v>24.595853296435891</v>
      </c>
      <c r="H129" s="25">
        <f t="shared" ca="1" si="47"/>
        <v>25.353550854655211</v>
      </c>
      <c r="I129" s="25">
        <f t="shared" ca="1" si="47"/>
        <v>26.116983222458387</v>
      </c>
      <c r="J129" s="25">
        <f t="shared" ca="1" si="47"/>
        <v>26.886254344431208</v>
      </c>
      <c r="K129" s="25">
        <f t="shared" ca="1" si="47"/>
        <v>29.515283264104525</v>
      </c>
      <c r="L129" s="25">
        <f t="shared" ca="1" si="47"/>
        <v>32.184035476300366</v>
      </c>
      <c r="M129" s="25">
        <f t="shared" ca="1" si="47"/>
        <v>34.891092443528279</v>
      </c>
      <c r="N129" s="25">
        <f t="shared" ca="1" si="47"/>
        <v>37.636990071874195</v>
      </c>
      <c r="O129" s="25">
        <f t="shared" ca="1" si="47"/>
        <v>41.386815608082557</v>
      </c>
      <c r="P129" s="25">
        <f t="shared" ca="1" si="47"/>
        <v>45.208565648545701</v>
      </c>
      <c r="Q129" s="25">
        <f t="shared" ca="1" si="47"/>
        <v>49.103516689396216</v>
      </c>
      <c r="R129" s="25">
        <f t="shared" ca="1" si="47"/>
        <v>53.072967286769355</v>
      </c>
      <c r="S129" s="25">
        <f t="shared" ca="1" si="47"/>
        <v>57.118237167662684</v>
      </c>
      <c r="T129" s="25">
        <f t="shared" ca="1" si="47"/>
        <v>61.240669383667225</v>
      </c>
      <c r="U129" s="25">
        <f t="shared" ca="1" si="47"/>
        <v>65.441629030619694</v>
      </c>
      <c r="V129" s="25">
        <f t="shared" ca="1" si="47"/>
        <v>69.722504692815264</v>
      </c>
      <c r="W129" s="25">
        <f t="shared" ca="1" si="47"/>
        <v>74.084708097831324</v>
      </c>
      <c r="X129" s="25">
        <f t="shared" ca="1" si="47"/>
        <v>78.529675105768789</v>
      </c>
      <c r="Y129" s="25">
        <f t="shared" ca="1" si="47"/>
        <v>83.058865838781841</v>
      </c>
      <c r="Z129" s="25">
        <f t="shared" ca="1" si="47"/>
        <v>87.67376476325019</v>
      </c>
      <c r="AA129" s="25">
        <f t="shared" ca="1" si="47"/>
        <v>92.375881907051379</v>
      </c>
      <c r="AB129" s="25">
        <f t="shared" ca="1" si="47"/>
        <v>97.166752312081556</v>
      </c>
      <c r="AC129" s="25">
        <f t="shared" ca="1" si="47"/>
        <v>102.04793312634906</v>
      </c>
      <c r="AD129" s="25">
        <f t="shared" ca="1" si="47"/>
        <v>107.02100702205503</v>
      </c>
      <c r="AE129" s="25">
        <f t="shared" ca="1" si="47"/>
        <v>112.08239770390732</v>
      </c>
      <c r="AF129" s="25">
        <f t="shared" ca="1" si="47"/>
        <v>117.23356741766982</v>
      </c>
      <c r="AG129" s="25">
        <f t="shared" ca="1" si="47"/>
        <v>124.99797607253167</v>
      </c>
      <c r="AH129" s="25">
        <f t="shared" ca="1" si="47"/>
        <v>132.97662981855996</v>
      </c>
      <c r="AI129" s="25">
        <f t="shared" ca="1" si="47"/>
        <v>141.17513886034504</v>
      </c>
      <c r="AJ129" s="25">
        <f t="shared" ca="1" si="47"/>
        <v>149.59925629470808</v>
      </c>
      <c r="AK129" s="25">
        <f t="shared" ca="1" si="47"/>
        <v>158.2548830841173</v>
      </c>
      <c r="AL129" s="25">
        <f t="shared" ca="1" si="47"/>
        <v>167.14807072667998</v>
      </c>
      <c r="AM129" s="25">
        <f t="shared" ca="1" si="47"/>
        <v>176.28502526244779</v>
      </c>
      <c r="AN129" s="25">
        <f t="shared" ca="1" si="47"/>
        <v>185.67211238301888</v>
      </c>
      <c r="AO129" s="25">
        <f t="shared" ca="1" si="47"/>
        <v>195.31650261654244</v>
      </c>
      <c r="AP129" s="25">
        <f t="shared" ca="1" si="47"/>
        <v>205.22490795665783</v>
      </c>
      <c r="AQ129" s="25">
        <f t="shared" ca="1" si="47"/>
        <v>216.2062691947724</v>
      </c>
      <c r="AR129" s="25">
        <f t="shared" ca="1" si="47"/>
        <v>227.47831491052887</v>
      </c>
      <c r="AS129" s="25">
        <f t="shared" ca="1" si="47"/>
        <v>238.24583460496649</v>
      </c>
      <c r="AT129" s="25">
        <f t="shared" ca="1" si="47"/>
        <v>246.91937175121853</v>
      </c>
      <c r="AU129" s="25">
        <f t="shared" ca="1" si="47"/>
        <v>255.80974732612691</v>
      </c>
      <c r="AV129" s="25">
        <f t="shared" ca="1" si="47"/>
        <v>264.92238229040794</v>
      </c>
      <c r="AW129" s="25">
        <f t="shared" ca="1" si="47"/>
        <v>274.26283312879605</v>
      </c>
      <c r="AX129" s="25">
        <f t="shared" ca="1" si="47"/>
        <v>283.83679523814385</v>
      </c>
      <c r="AY129" s="25">
        <f t="shared" ca="1" si="47"/>
        <v>293.65010640022535</v>
      </c>
      <c r="AZ129" s="25">
        <f t="shared" ca="1" si="47"/>
        <v>303.70875034135889</v>
      </c>
      <c r="BA129" s="25">
        <f t="shared" ca="1" si="47"/>
        <v>314.01886038102077</v>
      </c>
      <c r="BB129" s="25">
        <f t="shared" ca="1" si="47"/>
        <v>324.58672317167418</v>
      </c>
      <c r="BC129" s="25">
        <f t="shared" ca="1" si="47"/>
        <v>335.41878253209393</v>
      </c>
      <c r="BD129" s="25">
        <f t="shared" ca="1" si="47"/>
        <v>346.5216433765242</v>
      </c>
      <c r="BE129" s="25">
        <f t="shared" ca="1" si="47"/>
        <v>357.90207574206522</v>
      </c>
      <c r="BF129" s="25">
        <f t="shared" ca="1" si="47"/>
        <v>369.56701891674476</v>
      </c>
      <c r="BG129" s="25">
        <f t="shared" ca="1" si="47"/>
        <v>381.52358567079125</v>
      </c>
      <c r="BH129" s="25">
        <f t="shared" ca="1" si="47"/>
        <v>393.77906659368892</v>
      </c>
      <c r="BI129" s="25">
        <f t="shared" ca="1" si="47"/>
        <v>406.34093453965903</v>
      </c>
      <c r="BJ129" s="25">
        <f t="shared" ca="1" si="47"/>
        <v>419.21684918427837</v>
      </c>
      <c r="BK129" s="25">
        <f t="shared" ca="1" si="47"/>
        <v>432.41466169501319</v>
      </c>
      <c r="BL129" s="25">
        <f t="shared" ca="1" si="47"/>
        <v>445.94241951851637</v>
      </c>
    </row>
    <row r="130" spans="1:64" x14ac:dyDescent="0.35">
      <c r="A130" s="1"/>
      <c r="C130" s="10" t="s">
        <v>494</v>
      </c>
      <c r="D130" s="46"/>
      <c r="E130" s="46">
        <f>D133</f>
        <v>0</v>
      </c>
      <c r="F130" s="46">
        <f t="shared" ref="F130:BL130" ca="1" si="48">E133</f>
        <v>0</v>
      </c>
      <c r="G130" s="46">
        <f t="shared" ca="1" si="48"/>
        <v>0</v>
      </c>
      <c r="H130" s="46">
        <f t="shared" ca="1" si="48"/>
        <v>0</v>
      </c>
      <c r="I130" s="46">
        <f t="shared" ca="1" si="48"/>
        <v>0</v>
      </c>
      <c r="J130" s="46">
        <f t="shared" ca="1" si="48"/>
        <v>0</v>
      </c>
      <c r="K130" s="46">
        <f t="shared" ca="1" si="48"/>
        <v>0</v>
      </c>
      <c r="L130" s="46">
        <f t="shared" ca="1" si="48"/>
        <v>0</v>
      </c>
      <c r="M130" s="46">
        <f t="shared" ca="1" si="48"/>
        <v>0</v>
      </c>
      <c r="N130" s="46">
        <f t="shared" ca="1" si="48"/>
        <v>0</v>
      </c>
      <c r="O130" s="46">
        <f t="shared" ca="1" si="48"/>
        <v>0</v>
      </c>
      <c r="P130" s="46">
        <f t="shared" ca="1" si="48"/>
        <v>0</v>
      </c>
      <c r="Q130" s="46">
        <f t="shared" ca="1" si="48"/>
        <v>0</v>
      </c>
      <c r="R130" s="46">
        <f t="shared" ca="1" si="48"/>
        <v>0</v>
      </c>
      <c r="S130" s="46">
        <f t="shared" ca="1" si="48"/>
        <v>0</v>
      </c>
      <c r="T130" s="46">
        <f t="shared" ca="1" si="48"/>
        <v>0</v>
      </c>
      <c r="U130" s="46">
        <f t="shared" ca="1" si="48"/>
        <v>0</v>
      </c>
      <c r="V130" s="46">
        <f t="shared" ca="1" si="48"/>
        <v>0</v>
      </c>
      <c r="W130" s="46">
        <f t="shared" ca="1" si="48"/>
        <v>0</v>
      </c>
      <c r="X130" s="46">
        <f t="shared" ca="1" si="48"/>
        <v>0</v>
      </c>
      <c r="Y130" s="46">
        <f t="shared" ca="1" si="48"/>
        <v>0</v>
      </c>
      <c r="Z130" s="46">
        <f t="shared" ca="1" si="48"/>
        <v>0</v>
      </c>
      <c r="AA130" s="46">
        <f t="shared" ca="1" si="48"/>
        <v>0</v>
      </c>
      <c r="AB130" s="46">
        <f t="shared" ca="1" si="48"/>
        <v>0</v>
      </c>
      <c r="AC130" s="46">
        <f t="shared" ca="1" si="48"/>
        <v>0</v>
      </c>
      <c r="AD130" s="46">
        <f t="shared" ca="1" si="48"/>
        <v>0</v>
      </c>
      <c r="AE130" s="46">
        <f t="shared" ca="1" si="48"/>
        <v>0</v>
      </c>
      <c r="AF130" s="46">
        <f t="shared" ca="1" si="48"/>
        <v>0</v>
      </c>
      <c r="AG130" s="46">
        <f t="shared" ca="1" si="48"/>
        <v>0</v>
      </c>
      <c r="AH130" s="46">
        <f t="shared" ca="1" si="48"/>
        <v>0</v>
      </c>
      <c r="AI130" s="46">
        <f t="shared" ca="1" si="48"/>
        <v>0</v>
      </c>
      <c r="AJ130" s="46">
        <f t="shared" ca="1" si="48"/>
        <v>0</v>
      </c>
      <c r="AK130" s="46">
        <f t="shared" ca="1" si="48"/>
        <v>0</v>
      </c>
      <c r="AL130" s="46">
        <f t="shared" ca="1" si="48"/>
        <v>0</v>
      </c>
      <c r="AM130" s="46">
        <f t="shared" ca="1" si="48"/>
        <v>0</v>
      </c>
      <c r="AN130" s="46">
        <f t="shared" ca="1" si="48"/>
        <v>0</v>
      </c>
      <c r="AO130" s="46">
        <f t="shared" ca="1" si="48"/>
        <v>0</v>
      </c>
      <c r="AP130" s="46">
        <f t="shared" ca="1" si="48"/>
        <v>0</v>
      </c>
      <c r="AQ130" s="46">
        <f t="shared" ca="1" si="48"/>
        <v>0</v>
      </c>
      <c r="AR130" s="46">
        <f t="shared" ca="1" si="48"/>
        <v>0</v>
      </c>
      <c r="AS130" s="46">
        <f t="shared" ca="1" si="48"/>
        <v>0</v>
      </c>
      <c r="AT130" s="46">
        <f t="shared" ca="1" si="48"/>
        <v>0</v>
      </c>
      <c r="AU130" s="46">
        <f t="shared" ca="1" si="48"/>
        <v>0</v>
      </c>
      <c r="AV130" s="46">
        <f t="shared" ca="1" si="48"/>
        <v>0</v>
      </c>
      <c r="AW130" s="46">
        <f t="shared" ca="1" si="48"/>
        <v>0</v>
      </c>
      <c r="AX130" s="46">
        <f t="shared" ca="1" si="48"/>
        <v>0</v>
      </c>
      <c r="AY130" s="46">
        <f t="shared" ca="1" si="48"/>
        <v>0</v>
      </c>
      <c r="AZ130" s="46">
        <f t="shared" ca="1" si="48"/>
        <v>0</v>
      </c>
      <c r="BA130" s="46">
        <f t="shared" ca="1" si="48"/>
        <v>0</v>
      </c>
      <c r="BB130" s="46">
        <f t="shared" ca="1" si="48"/>
        <v>0</v>
      </c>
      <c r="BC130" s="46">
        <f t="shared" ca="1" si="48"/>
        <v>0</v>
      </c>
      <c r="BD130" s="46">
        <f t="shared" ca="1" si="48"/>
        <v>0</v>
      </c>
      <c r="BE130" s="46">
        <f t="shared" ca="1" si="48"/>
        <v>0</v>
      </c>
      <c r="BF130" s="46">
        <f t="shared" ca="1" si="48"/>
        <v>0</v>
      </c>
      <c r="BG130" s="46">
        <f t="shared" ca="1" si="48"/>
        <v>0</v>
      </c>
      <c r="BH130" s="46">
        <f t="shared" ca="1" si="48"/>
        <v>0</v>
      </c>
      <c r="BI130" s="46">
        <f t="shared" ca="1" si="48"/>
        <v>0</v>
      </c>
      <c r="BJ130" s="46">
        <f t="shared" ca="1" si="48"/>
        <v>0</v>
      </c>
      <c r="BK130" s="46">
        <f t="shared" ca="1" si="48"/>
        <v>0</v>
      </c>
      <c r="BL130" s="46">
        <f t="shared" ca="1" si="48"/>
        <v>0</v>
      </c>
    </row>
    <row r="131" spans="1:64" x14ac:dyDescent="0.35">
      <c r="A131" s="1"/>
      <c r="C131" s="10" t="s">
        <v>495</v>
      </c>
      <c r="D131" s="46"/>
      <c r="E131" s="46">
        <f ca="1">MAX(-E129,0)</f>
        <v>0</v>
      </c>
      <c r="F131" s="46">
        <f t="shared" ref="F131:BL131" ca="1" si="49">MAX(-F129,0)</f>
        <v>0</v>
      </c>
      <c r="G131" s="46">
        <f t="shared" ca="1" si="49"/>
        <v>0</v>
      </c>
      <c r="H131" s="46">
        <f t="shared" ca="1" si="49"/>
        <v>0</v>
      </c>
      <c r="I131" s="46">
        <f t="shared" ca="1" si="49"/>
        <v>0</v>
      </c>
      <c r="J131" s="46">
        <f t="shared" ca="1" si="49"/>
        <v>0</v>
      </c>
      <c r="K131" s="46">
        <f t="shared" ca="1" si="49"/>
        <v>0</v>
      </c>
      <c r="L131" s="46">
        <f t="shared" ca="1" si="49"/>
        <v>0</v>
      </c>
      <c r="M131" s="46">
        <f t="shared" ca="1" si="49"/>
        <v>0</v>
      </c>
      <c r="N131" s="46">
        <f t="shared" ca="1" si="49"/>
        <v>0</v>
      </c>
      <c r="O131" s="46">
        <f t="shared" ca="1" si="49"/>
        <v>0</v>
      </c>
      <c r="P131" s="46">
        <f t="shared" ca="1" si="49"/>
        <v>0</v>
      </c>
      <c r="Q131" s="46">
        <f t="shared" ca="1" si="49"/>
        <v>0</v>
      </c>
      <c r="R131" s="46">
        <f t="shared" ca="1" si="49"/>
        <v>0</v>
      </c>
      <c r="S131" s="46">
        <f t="shared" ca="1" si="49"/>
        <v>0</v>
      </c>
      <c r="T131" s="46">
        <f t="shared" ca="1" si="49"/>
        <v>0</v>
      </c>
      <c r="U131" s="46">
        <f t="shared" ca="1" si="49"/>
        <v>0</v>
      </c>
      <c r="V131" s="46">
        <f t="shared" ca="1" si="49"/>
        <v>0</v>
      </c>
      <c r="W131" s="46">
        <f t="shared" ca="1" si="49"/>
        <v>0</v>
      </c>
      <c r="X131" s="46">
        <f t="shared" ca="1" si="49"/>
        <v>0</v>
      </c>
      <c r="Y131" s="46">
        <f t="shared" ca="1" si="49"/>
        <v>0</v>
      </c>
      <c r="Z131" s="46">
        <f t="shared" ca="1" si="49"/>
        <v>0</v>
      </c>
      <c r="AA131" s="46">
        <f t="shared" ca="1" si="49"/>
        <v>0</v>
      </c>
      <c r="AB131" s="46">
        <f t="shared" ca="1" si="49"/>
        <v>0</v>
      </c>
      <c r="AC131" s="46">
        <f t="shared" ca="1" si="49"/>
        <v>0</v>
      </c>
      <c r="AD131" s="46">
        <f t="shared" ca="1" si="49"/>
        <v>0</v>
      </c>
      <c r="AE131" s="46">
        <f t="shared" ca="1" si="49"/>
        <v>0</v>
      </c>
      <c r="AF131" s="46">
        <f t="shared" ca="1" si="49"/>
        <v>0</v>
      </c>
      <c r="AG131" s="46">
        <f t="shared" ca="1" si="49"/>
        <v>0</v>
      </c>
      <c r="AH131" s="46">
        <f t="shared" ca="1" si="49"/>
        <v>0</v>
      </c>
      <c r="AI131" s="46">
        <f t="shared" ca="1" si="49"/>
        <v>0</v>
      </c>
      <c r="AJ131" s="46">
        <f t="shared" ca="1" si="49"/>
        <v>0</v>
      </c>
      <c r="AK131" s="46">
        <f t="shared" ca="1" si="49"/>
        <v>0</v>
      </c>
      <c r="AL131" s="46">
        <f t="shared" ca="1" si="49"/>
        <v>0</v>
      </c>
      <c r="AM131" s="46">
        <f t="shared" ca="1" si="49"/>
        <v>0</v>
      </c>
      <c r="AN131" s="46">
        <f t="shared" ca="1" si="49"/>
        <v>0</v>
      </c>
      <c r="AO131" s="46">
        <f t="shared" ca="1" si="49"/>
        <v>0</v>
      </c>
      <c r="AP131" s="46">
        <f t="shared" ca="1" si="49"/>
        <v>0</v>
      </c>
      <c r="AQ131" s="46">
        <f t="shared" ca="1" si="49"/>
        <v>0</v>
      </c>
      <c r="AR131" s="46">
        <f t="shared" ca="1" si="49"/>
        <v>0</v>
      </c>
      <c r="AS131" s="46">
        <f t="shared" ca="1" si="49"/>
        <v>0</v>
      </c>
      <c r="AT131" s="46">
        <f t="shared" ca="1" si="49"/>
        <v>0</v>
      </c>
      <c r="AU131" s="46">
        <f t="shared" ca="1" si="49"/>
        <v>0</v>
      </c>
      <c r="AV131" s="46">
        <f t="shared" ca="1" si="49"/>
        <v>0</v>
      </c>
      <c r="AW131" s="46">
        <f t="shared" ca="1" si="49"/>
        <v>0</v>
      </c>
      <c r="AX131" s="46">
        <f t="shared" ca="1" si="49"/>
        <v>0</v>
      </c>
      <c r="AY131" s="46">
        <f t="shared" ca="1" si="49"/>
        <v>0</v>
      </c>
      <c r="AZ131" s="46">
        <f t="shared" ca="1" si="49"/>
        <v>0</v>
      </c>
      <c r="BA131" s="46">
        <f t="shared" ca="1" si="49"/>
        <v>0</v>
      </c>
      <c r="BB131" s="46">
        <f t="shared" ca="1" si="49"/>
        <v>0</v>
      </c>
      <c r="BC131" s="46">
        <f t="shared" ca="1" si="49"/>
        <v>0</v>
      </c>
      <c r="BD131" s="46">
        <f t="shared" ca="1" si="49"/>
        <v>0</v>
      </c>
      <c r="BE131" s="46">
        <f t="shared" ca="1" si="49"/>
        <v>0</v>
      </c>
      <c r="BF131" s="46">
        <f t="shared" ca="1" si="49"/>
        <v>0</v>
      </c>
      <c r="BG131" s="46">
        <f t="shared" ca="1" si="49"/>
        <v>0</v>
      </c>
      <c r="BH131" s="46">
        <f t="shared" ca="1" si="49"/>
        <v>0</v>
      </c>
      <c r="BI131" s="46">
        <f t="shared" ca="1" si="49"/>
        <v>0</v>
      </c>
      <c r="BJ131" s="46">
        <f t="shared" ca="1" si="49"/>
        <v>0</v>
      </c>
      <c r="BK131" s="46">
        <f t="shared" ca="1" si="49"/>
        <v>0</v>
      </c>
      <c r="BL131" s="46">
        <f t="shared" ca="1" si="49"/>
        <v>0</v>
      </c>
    </row>
    <row r="132" spans="1:64" x14ac:dyDescent="0.35">
      <c r="A132" s="1"/>
      <c r="C132" s="10" t="s">
        <v>496</v>
      </c>
      <c r="D132" s="46"/>
      <c r="E132" s="46">
        <f ca="1">MIN(MAX(E129,0),E130)</f>
        <v>0</v>
      </c>
      <c r="F132" s="46">
        <f t="shared" ref="F132:BL132" ca="1" si="50">MIN(MAX(F129,0),F130)</f>
        <v>0</v>
      </c>
      <c r="G132" s="46">
        <f t="shared" ca="1" si="50"/>
        <v>0</v>
      </c>
      <c r="H132" s="46">
        <f t="shared" ca="1" si="50"/>
        <v>0</v>
      </c>
      <c r="I132" s="46">
        <f t="shared" ca="1" si="50"/>
        <v>0</v>
      </c>
      <c r="J132" s="46">
        <f t="shared" ca="1" si="50"/>
        <v>0</v>
      </c>
      <c r="K132" s="46">
        <f t="shared" ca="1" si="50"/>
        <v>0</v>
      </c>
      <c r="L132" s="46">
        <f t="shared" ca="1" si="50"/>
        <v>0</v>
      </c>
      <c r="M132" s="46">
        <f t="shared" ca="1" si="50"/>
        <v>0</v>
      </c>
      <c r="N132" s="46">
        <f t="shared" ca="1" si="50"/>
        <v>0</v>
      </c>
      <c r="O132" s="46">
        <f t="shared" ca="1" si="50"/>
        <v>0</v>
      </c>
      <c r="P132" s="46">
        <f t="shared" ca="1" si="50"/>
        <v>0</v>
      </c>
      <c r="Q132" s="46">
        <f t="shared" ca="1" si="50"/>
        <v>0</v>
      </c>
      <c r="R132" s="46">
        <f t="shared" ca="1" si="50"/>
        <v>0</v>
      </c>
      <c r="S132" s="46">
        <f t="shared" ca="1" si="50"/>
        <v>0</v>
      </c>
      <c r="T132" s="46">
        <f t="shared" ca="1" si="50"/>
        <v>0</v>
      </c>
      <c r="U132" s="46">
        <f t="shared" ca="1" si="50"/>
        <v>0</v>
      </c>
      <c r="V132" s="46">
        <f t="shared" ca="1" si="50"/>
        <v>0</v>
      </c>
      <c r="W132" s="46">
        <f t="shared" ca="1" si="50"/>
        <v>0</v>
      </c>
      <c r="X132" s="46">
        <f t="shared" ca="1" si="50"/>
        <v>0</v>
      </c>
      <c r="Y132" s="46">
        <f t="shared" ca="1" si="50"/>
        <v>0</v>
      </c>
      <c r="Z132" s="46">
        <f t="shared" ca="1" si="50"/>
        <v>0</v>
      </c>
      <c r="AA132" s="46">
        <f t="shared" ca="1" si="50"/>
        <v>0</v>
      </c>
      <c r="AB132" s="46">
        <f t="shared" ca="1" si="50"/>
        <v>0</v>
      </c>
      <c r="AC132" s="46">
        <f t="shared" ca="1" si="50"/>
        <v>0</v>
      </c>
      <c r="AD132" s="46">
        <f t="shared" ca="1" si="50"/>
        <v>0</v>
      </c>
      <c r="AE132" s="46">
        <f t="shared" ca="1" si="50"/>
        <v>0</v>
      </c>
      <c r="AF132" s="46">
        <f t="shared" ca="1" si="50"/>
        <v>0</v>
      </c>
      <c r="AG132" s="46">
        <f t="shared" ca="1" si="50"/>
        <v>0</v>
      </c>
      <c r="AH132" s="46">
        <f t="shared" ca="1" si="50"/>
        <v>0</v>
      </c>
      <c r="AI132" s="46">
        <f t="shared" ca="1" si="50"/>
        <v>0</v>
      </c>
      <c r="AJ132" s="46">
        <f t="shared" ca="1" si="50"/>
        <v>0</v>
      </c>
      <c r="AK132" s="46">
        <f t="shared" ca="1" si="50"/>
        <v>0</v>
      </c>
      <c r="AL132" s="46">
        <f t="shared" ca="1" si="50"/>
        <v>0</v>
      </c>
      <c r="AM132" s="46">
        <f t="shared" ca="1" si="50"/>
        <v>0</v>
      </c>
      <c r="AN132" s="46">
        <f t="shared" ca="1" si="50"/>
        <v>0</v>
      </c>
      <c r="AO132" s="46">
        <f t="shared" ca="1" si="50"/>
        <v>0</v>
      </c>
      <c r="AP132" s="46">
        <f t="shared" ca="1" si="50"/>
        <v>0</v>
      </c>
      <c r="AQ132" s="46">
        <f t="shared" ca="1" si="50"/>
        <v>0</v>
      </c>
      <c r="AR132" s="46">
        <f t="shared" ca="1" si="50"/>
        <v>0</v>
      </c>
      <c r="AS132" s="46">
        <f t="shared" ca="1" si="50"/>
        <v>0</v>
      </c>
      <c r="AT132" s="46">
        <f t="shared" ca="1" si="50"/>
        <v>0</v>
      </c>
      <c r="AU132" s="46">
        <f t="shared" ca="1" si="50"/>
        <v>0</v>
      </c>
      <c r="AV132" s="46">
        <f t="shared" ca="1" si="50"/>
        <v>0</v>
      </c>
      <c r="AW132" s="46">
        <f t="shared" ca="1" si="50"/>
        <v>0</v>
      </c>
      <c r="AX132" s="46">
        <f t="shared" ca="1" si="50"/>
        <v>0</v>
      </c>
      <c r="AY132" s="46">
        <f t="shared" ca="1" si="50"/>
        <v>0</v>
      </c>
      <c r="AZ132" s="46">
        <f t="shared" ca="1" si="50"/>
        <v>0</v>
      </c>
      <c r="BA132" s="46">
        <f t="shared" ca="1" si="50"/>
        <v>0</v>
      </c>
      <c r="BB132" s="46">
        <f t="shared" ca="1" si="50"/>
        <v>0</v>
      </c>
      <c r="BC132" s="46">
        <f t="shared" ca="1" si="50"/>
        <v>0</v>
      </c>
      <c r="BD132" s="46">
        <f t="shared" ca="1" si="50"/>
        <v>0</v>
      </c>
      <c r="BE132" s="46">
        <f t="shared" ca="1" si="50"/>
        <v>0</v>
      </c>
      <c r="BF132" s="46">
        <f t="shared" ca="1" si="50"/>
        <v>0</v>
      </c>
      <c r="BG132" s="46">
        <f t="shared" ca="1" si="50"/>
        <v>0</v>
      </c>
      <c r="BH132" s="46">
        <f t="shared" ca="1" si="50"/>
        <v>0</v>
      </c>
      <c r="BI132" s="46">
        <f t="shared" ca="1" si="50"/>
        <v>0</v>
      </c>
      <c r="BJ132" s="46">
        <f t="shared" ca="1" si="50"/>
        <v>0</v>
      </c>
      <c r="BK132" s="46">
        <f t="shared" ca="1" si="50"/>
        <v>0</v>
      </c>
      <c r="BL132" s="46">
        <f t="shared" ca="1" si="50"/>
        <v>0</v>
      </c>
    </row>
    <row r="133" spans="1:64" x14ac:dyDescent="0.35">
      <c r="A133" s="1"/>
      <c r="C133" s="10" t="s">
        <v>497</v>
      </c>
      <c r="D133" s="46"/>
      <c r="E133" s="46">
        <f ca="1">E130+E131-E132</f>
        <v>0</v>
      </c>
      <c r="F133" s="46">
        <f t="shared" ref="F133:BL133" ca="1" si="51">F130+F131-F132</f>
        <v>0</v>
      </c>
      <c r="G133" s="46">
        <f t="shared" ca="1" si="51"/>
        <v>0</v>
      </c>
      <c r="H133" s="46">
        <f t="shared" ca="1" si="51"/>
        <v>0</v>
      </c>
      <c r="I133" s="46">
        <f t="shared" ca="1" si="51"/>
        <v>0</v>
      </c>
      <c r="J133" s="46">
        <f t="shared" ca="1" si="51"/>
        <v>0</v>
      </c>
      <c r="K133" s="46">
        <f t="shared" ca="1" si="51"/>
        <v>0</v>
      </c>
      <c r="L133" s="46">
        <f t="shared" ca="1" si="51"/>
        <v>0</v>
      </c>
      <c r="M133" s="46">
        <f t="shared" ca="1" si="51"/>
        <v>0</v>
      </c>
      <c r="N133" s="46">
        <f t="shared" ca="1" si="51"/>
        <v>0</v>
      </c>
      <c r="O133" s="46">
        <f t="shared" ca="1" si="51"/>
        <v>0</v>
      </c>
      <c r="P133" s="46">
        <f t="shared" ca="1" si="51"/>
        <v>0</v>
      </c>
      <c r="Q133" s="46">
        <f t="shared" ca="1" si="51"/>
        <v>0</v>
      </c>
      <c r="R133" s="46">
        <f t="shared" ca="1" si="51"/>
        <v>0</v>
      </c>
      <c r="S133" s="46">
        <f t="shared" ca="1" si="51"/>
        <v>0</v>
      </c>
      <c r="T133" s="46">
        <f t="shared" ca="1" si="51"/>
        <v>0</v>
      </c>
      <c r="U133" s="46">
        <f t="shared" ca="1" si="51"/>
        <v>0</v>
      </c>
      <c r="V133" s="46">
        <f t="shared" ca="1" si="51"/>
        <v>0</v>
      </c>
      <c r="W133" s="46">
        <f t="shared" ca="1" si="51"/>
        <v>0</v>
      </c>
      <c r="X133" s="46">
        <f t="shared" ca="1" si="51"/>
        <v>0</v>
      </c>
      <c r="Y133" s="46">
        <f t="shared" ca="1" si="51"/>
        <v>0</v>
      </c>
      <c r="Z133" s="46">
        <f t="shared" ca="1" si="51"/>
        <v>0</v>
      </c>
      <c r="AA133" s="46">
        <f t="shared" ca="1" si="51"/>
        <v>0</v>
      </c>
      <c r="AB133" s="46">
        <f t="shared" ca="1" si="51"/>
        <v>0</v>
      </c>
      <c r="AC133" s="46">
        <f t="shared" ca="1" si="51"/>
        <v>0</v>
      </c>
      <c r="AD133" s="46">
        <f t="shared" ca="1" si="51"/>
        <v>0</v>
      </c>
      <c r="AE133" s="46">
        <f t="shared" ca="1" si="51"/>
        <v>0</v>
      </c>
      <c r="AF133" s="46">
        <f t="shared" ca="1" si="51"/>
        <v>0</v>
      </c>
      <c r="AG133" s="46">
        <f t="shared" ca="1" si="51"/>
        <v>0</v>
      </c>
      <c r="AH133" s="46">
        <f t="shared" ca="1" si="51"/>
        <v>0</v>
      </c>
      <c r="AI133" s="46">
        <f t="shared" ca="1" si="51"/>
        <v>0</v>
      </c>
      <c r="AJ133" s="46">
        <f t="shared" ca="1" si="51"/>
        <v>0</v>
      </c>
      <c r="AK133" s="46">
        <f t="shared" ca="1" si="51"/>
        <v>0</v>
      </c>
      <c r="AL133" s="46">
        <f t="shared" ca="1" si="51"/>
        <v>0</v>
      </c>
      <c r="AM133" s="46">
        <f t="shared" ca="1" si="51"/>
        <v>0</v>
      </c>
      <c r="AN133" s="46">
        <f t="shared" ca="1" si="51"/>
        <v>0</v>
      </c>
      <c r="AO133" s="46">
        <f t="shared" ca="1" si="51"/>
        <v>0</v>
      </c>
      <c r="AP133" s="46">
        <f t="shared" ca="1" si="51"/>
        <v>0</v>
      </c>
      <c r="AQ133" s="46">
        <f t="shared" ca="1" si="51"/>
        <v>0</v>
      </c>
      <c r="AR133" s="46">
        <f t="shared" ca="1" si="51"/>
        <v>0</v>
      </c>
      <c r="AS133" s="46">
        <f t="shared" ca="1" si="51"/>
        <v>0</v>
      </c>
      <c r="AT133" s="46">
        <f t="shared" ca="1" si="51"/>
        <v>0</v>
      </c>
      <c r="AU133" s="46">
        <f t="shared" ca="1" si="51"/>
        <v>0</v>
      </c>
      <c r="AV133" s="46">
        <f t="shared" ca="1" si="51"/>
        <v>0</v>
      </c>
      <c r="AW133" s="46">
        <f t="shared" ca="1" si="51"/>
        <v>0</v>
      </c>
      <c r="AX133" s="46">
        <f t="shared" ca="1" si="51"/>
        <v>0</v>
      </c>
      <c r="AY133" s="46">
        <f t="shared" ca="1" si="51"/>
        <v>0</v>
      </c>
      <c r="AZ133" s="46">
        <f t="shared" ca="1" si="51"/>
        <v>0</v>
      </c>
      <c r="BA133" s="46">
        <f t="shared" ca="1" si="51"/>
        <v>0</v>
      </c>
      <c r="BB133" s="46">
        <f t="shared" ca="1" si="51"/>
        <v>0</v>
      </c>
      <c r="BC133" s="46">
        <f t="shared" ca="1" si="51"/>
        <v>0</v>
      </c>
      <c r="BD133" s="46">
        <f t="shared" ca="1" si="51"/>
        <v>0</v>
      </c>
      <c r="BE133" s="46">
        <f t="shared" ca="1" si="51"/>
        <v>0</v>
      </c>
      <c r="BF133" s="46">
        <f t="shared" ca="1" si="51"/>
        <v>0</v>
      </c>
      <c r="BG133" s="46">
        <f t="shared" ca="1" si="51"/>
        <v>0</v>
      </c>
      <c r="BH133" s="46">
        <f t="shared" ca="1" si="51"/>
        <v>0</v>
      </c>
      <c r="BI133" s="46">
        <f t="shared" ca="1" si="51"/>
        <v>0</v>
      </c>
      <c r="BJ133" s="46">
        <f t="shared" ca="1" si="51"/>
        <v>0</v>
      </c>
      <c r="BK133" s="46">
        <f t="shared" ca="1" si="51"/>
        <v>0</v>
      </c>
      <c r="BL133" s="46">
        <f t="shared" ca="1" si="51"/>
        <v>0</v>
      </c>
    </row>
    <row r="134" spans="1:64" x14ac:dyDescent="0.35">
      <c r="A134" s="1"/>
      <c r="C134" s="10" t="s">
        <v>498</v>
      </c>
      <c r="D134" s="46"/>
      <c r="E134" s="46">
        <f ca="1">E131-E132</f>
        <v>0</v>
      </c>
      <c r="F134" s="46">
        <f t="shared" ref="F134:BL134" ca="1" si="52">F131-F132</f>
        <v>0</v>
      </c>
      <c r="G134" s="46">
        <f t="shared" ca="1" si="52"/>
        <v>0</v>
      </c>
      <c r="H134" s="46">
        <f t="shared" ca="1" si="52"/>
        <v>0</v>
      </c>
      <c r="I134" s="46">
        <f t="shared" ca="1" si="52"/>
        <v>0</v>
      </c>
      <c r="J134" s="46">
        <f t="shared" ca="1" si="52"/>
        <v>0</v>
      </c>
      <c r="K134" s="46">
        <f t="shared" ca="1" si="52"/>
        <v>0</v>
      </c>
      <c r="L134" s="46">
        <f t="shared" ca="1" si="52"/>
        <v>0</v>
      </c>
      <c r="M134" s="46">
        <f t="shared" ca="1" si="52"/>
        <v>0</v>
      </c>
      <c r="N134" s="46">
        <f t="shared" ca="1" si="52"/>
        <v>0</v>
      </c>
      <c r="O134" s="46">
        <f t="shared" ca="1" si="52"/>
        <v>0</v>
      </c>
      <c r="P134" s="46">
        <f t="shared" ca="1" si="52"/>
        <v>0</v>
      </c>
      <c r="Q134" s="46">
        <f t="shared" ca="1" si="52"/>
        <v>0</v>
      </c>
      <c r="R134" s="46">
        <f t="shared" ca="1" si="52"/>
        <v>0</v>
      </c>
      <c r="S134" s="46">
        <f t="shared" ca="1" si="52"/>
        <v>0</v>
      </c>
      <c r="T134" s="46">
        <f t="shared" ca="1" si="52"/>
        <v>0</v>
      </c>
      <c r="U134" s="46">
        <f t="shared" ca="1" si="52"/>
        <v>0</v>
      </c>
      <c r="V134" s="46">
        <f t="shared" ca="1" si="52"/>
        <v>0</v>
      </c>
      <c r="W134" s="46">
        <f t="shared" ca="1" si="52"/>
        <v>0</v>
      </c>
      <c r="X134" s="46">
        <f t="shared" ca="1" si="52"/>
        <v>0</v>
      </c>
      <c r="Y134" s="46">
        <f t="shared" ca="1" si="52"/>
        <v>0</v>
      </c>
      <c r="Z134" s="46">
        <f t="shared" ca="1" si="52"/>
        <v>0</v>
      </c>
      <c r="AA134" s="46">
        <f t="shared" ca="1" si="52"/>
        <v>0</v>
      </c>
      <c r="AB134" s="46">
        <f t="shared" ca="1" si="52"/>
        <v>0</v>
      </c>
      <c r="AC134" s="46">
        <f t="shared" ca="1" si="52"/>
        <v>0</v>
      </c>
      <c r="AD134" s="46">
        <f t="shared" ca="1" si="52"/>
        <v>0</v>
      </c>
      <c r="AE134" s="46">
        <f t="shared" ca="1" si="52"/>
        <v>0</v>
      </c>
      <c r="AF134" s="46">
        <f t="shared" ca="1" si="52"/>
        <v>0</v>
      </c>
      <c r="AG134" s="46">
        <f t="shared" ca="1" si="52"/>
        <v>0</v>
      </c>
      <c r="AH134" s="46">
        <f t="shared" ca="1" si="52"/>
        <v>0</v>
      </c>
      <c r="AI134" s="46">
        <f t="shared" ca="1" si="52"/>
        <v>0</v>
      </c>
      <c r="AJ134" s="46">
        <f t="shared" ca="1" si="52"/>
        <v>0</v>
      </c>
      <c r="AK134" s="46">
        <f t="shared" ca="1" si="52"/>
        <v>0</v>
      </c>
      <c r="AL134" s="46">
        <f t="shared" ca="1" si="52"/>
        <v>0</v>
      </c>
      <c r="AM134" s="46">
        <f t="shared" ca="1" si="52"/>
        <v>0</v>
      </c>
      <c r="AN134" s="46">
        <f t="shared" ca="1" si="52"/>
        <v>0</v>
      </c>
      <c r="AO134" s="46">
        <f t="shared" ca="1" si="52"/>
        <v>0</v>
      </c>
      <c r="AP134" s="46">
        <f t="shared" ca="1" si="52"/>
        <v>0</v>
      </c>
      <c r="AQ134" s="46">
        <f t="shared" ca="1" si="52"/>
        <v>0</v>
      </c>
      <c r="AR134" s="46">
        <f t="shared" ca="1" si="52"/>
        <v>0</v>
      </c>
      <c r="AS134" s="46">
        <f t="shared" ca="1" si="52"/>
        <v>0</v>
      </c>
      <c r="AT134" s="46">
        <f t="shared" ca="1" si="52"/>
        <v>0</v>
      </c>
      <c r="AU134" s="46">
        <f t="shared" ca="1" si="52"/>
        <v>0</v>
      </c>
      <c r="AV134" s="46">
        <f t="shared" ca="1" si="52"/>
        <v>0</v>
      </c>
      <c r="AW134" s="46">
        <f t="shared" ca="1" si="52"/>
        <v>0</v>
      </c>
      <c r="AX134" s="46">
        <f t="shared" ca="1" si="52"/>
        <v>0</v>
      </c>
      <c r="AY134" s="46">
        <f t="shared" ca="1" si="52"/>
        <v>0</v>
      </c>
      <c r="AZ134" s="46">
        <f t="shared" ca="1" si="52"/>
        <v>0</v>
      </c>
      <c r="BA134" s="46">
        <f t="shared" ca="1" si="52"/>
        <v>0</v>
      </c>
      <c r="BB134" s="46">
        <f t="shared" ca="1" si="52"/>
        <v>0</v>
      </c>
      <c r="BC134" s="46">
        <f t="shared" ca="1" si="52"/>
        <v>0</v>
      </c>
      <c r="BD134" s="46">
        <f t="shared" ca="1" si="52"/>
        <v>0</v>
      </c>
      <c r="BE134" s="46">
        <f t="shared" ca="1" si="52"/>
        <v>0</v>
      </c>
      <c r="BF134" s="46">
        <f t="shared" ca="1" si="52"/>
        <v>0</v>
      </c>
      <c r="BG134" s="46">
        <f t="shared" ca="1" si="52"/>
        <v>0</v>
      </c>
      <c r="BH134" s="46">
        <f t="shared" ca="1" si="52"/>
        <v>0</v>
      </c>
      <c r="BI134" s="46">
        <f t="shared" ca="1" si="52"/>
        <v>0</v>
      </c>
      <c r="BJ134" s="46">
        <f t="shared" ca="1" si="52"/>
        <v>0</v>
      </c>
      <c r="BK134" s="46">
        <f t="shared" ca="1" si="52"/>
        <v>0</v>
      </c>
      <c r="BL134" s="46">
        <f t="shared" ca="1" si="52"/>
        <v>0</v>
      </c>
    </row>
    <row r="135" spans="1:64" x14ac:dyDescent="0.35">
      <c r="A135" s="1"/>
      <c r="C135" s="10" t="s">
        <v>499</v>
      </c>
      <c r="D135" s="46"/>
      <c r="E135" s="46">
        <f ca="1">E129+E134</f>
        <v>23.123756121893834</v>
      </c>
      <c r="F135" s="46">
        <f t="shared" ref="F135:BL135" ca="1" si="53">F129+F134</f>
        <v>23.847587226837604</v>
      </c>
      <c r="G135" s="46">
        <f t="shared" ca="1" si="53"/>
        <v>24.595853296435891</v>
      </c>
      <c r="H135" s="46">
        <f t="shared" ca="1" si="53"/>
        <v>25.353550854655211</v>
      </c>
      <c r="I135" s="46">
        <f t="shared" ca="1" si="53"/>
        <v>26.116983222458387</v>
      </c>
      <c r="J135" s="46">
        <f t="shared" ca="1" si="53"/>
        <v>26.886254344431208</v>
      </c>
      <c r="K135" s="46">
        <f t="shared" ca="1" si="53"/>
        <v>29.515283264104525</v>
      </c>
      <c r="L135" s="46">
        <f t="shared" ca="1" si="53"/>
        <v>32.184035476300366</v>
      </c>
      <c r="M135" s="46">
        <f t="shared" ca="1" si="53"/>
        <v>34.891092443528279</v>
      </c>
      <c r="N135" s="46">
        <f t="shared" ca="1" si="53"/>
        <v>37.636990071874195</v>
      </c>
      <c r="O135" s="46">
        <f t="shared" ca="1" si="53"/>
        <v>41.386815608082557</v>
      </c>
      <c r="P135" s="46">
        <f t="shared" ca="1" si="53"/>
        <v>45.208565648545701</v>
      </c>
      <c r="Q135" s="46">
        <f t="shared" ca="1" si="53"/>
        <v>49.103516689396216</v>
      </c>
      <c r="R135" s="46">
        <f t="shared" ca="1" si="53"/>
        <v>53.072967286769355</v>
      </c>
      <c r="S135" s="46">
        <f t="shared" ca="1" si="53"/>
        <v>57.118237167662684</v>
      </c>
      <c r="T135" s="46">
        <f t="shared" ca="1" si="53"/>
        <v>61.240669383667225</v>
      </c>
      <c r="U135" s="46">
        <f t="shared" ca="1" si="53"/>
        <v>65.441629030619694</v>
      </c>
      <c r="V135" s="46">
        <f t="shared" ca="1" si="53"/>
        <v>69.722504692815264</v>
      </c>
      <c r="W135" s="46">
        <f t="shared" ca="1" si="53"/>
        <v>74.084708097831324</v>
      </c>
      <c r="X135" s="46">
        <f t="shared" ca="1" si="53"/>
        <v>78.529675105768789</v>
      </c>
      <c r="Y135" s="46">
        <f t="shared" ca="1" si="53"/>
        <v>83.058865838781841</v>
      </c>
      <c r="Z135" s="46">
        <f t="shared" ca="1" si="53"/>
        <v>87.67376476325019</v>
      </c>
      <c r="AA135" s="46">
        <f t="shared" ca="1" si="53"/>
        <v>92.375881907051379</v>
      </c>
      <c r="AB135" s="46">
        <f t="shared" ca="1" si="53"/>
        <v>97.166752312081556</v>
      </c>
      <c r="AC135" s="46">
        <f t="shared" ca="1" si="53"/>
        <v>102.04793312634906</v>
      </c>
      <c r="AD135" s="46">
        <f t="shared" ca="1" si="53"/>
        <v>107.02100702205503</v>
      </c>
      <c r="AE135" s="46">
        <f t="shared" ca="1" si="53"/>
        <v>112.08239770390732</v>
      </c>
      <c r="AF135" s="46">
        <f t="shared" ca="1" si="53"/>
        <v>117.23356741766982</v>
      </c>
      <c r="AG135" s="46">
        <f t="shared" ca="1" si="53"/>
        <v>124.99797607253167</v>
      </c>
      <c r="AH135" s="46">
        <f t="shared" ca="1" si="53"/>
        <v>132.97662981855996</v>
      </c>
      <c r="AI135" s="46">
        <f t="shared" ca="1" si="53"/>
        <v>141.17513886034504</v>
      </c>
      <c r="AJ135" s="46">
        <f t="shared" ca="1" si="53"/>
        <v>149.59925629470808</v>
      </c>
      <c r="AK135" s="46">
        <f t="shared" ca="1" si="53"/>
        <v>158.2548830841173</v>
      </c>
      <c r="AL135" s="46">
        <f t="shared" ca="1" si="53"/>
        <v>167.14807072667998</v>
      </c>
      <c r="AM135" s="46">
        <f t="shared" ca="1" si="53"/>
        <v>176.28502526244779</v>
      </c>
      <c r="AN135" s="46">
        <f t="shared" ca="1" si="53"/>
        <v>185.67211238301888</v>
      </c>
      <c r="AO135" s="46">
        <f t="shared" ca="1" si="53"/>
        <v>195.31650261654244</v>
      </c>
      <c r="AP135" s="46">
        <f t="shared" ca="1" si="53"/>
        <v>205.22490795665783</v>
      </c>
      <c r="AQ135" s="46">
        <f t="shared" ca="1" si="53"/>
        <v>216.2062691947724</v>
      </c>
      <c r="AR135" s="46">
        <f t="shared" ca="1" si="53"/>
        <v>227.47831491052887</v>
      </c>
      <c r="AS135" s="46">
        <f t="shared" ca="1" si="53"/>
        <v>238.24583460496649</v>
      </c>
      <c r="AT135" s="46">
        <f t="shared" ca="1" si="53"/>
        <v>246.91937175121853</v>
      </c>
      <c r="AU135" s="46">
        <f t="shared" ca="1" si="53"/>
        <v>255.80974732612691</v>
      </c>
      <c r="AV135" s="46">
        <f t="shared" ca="1" si="53"/>
        <v>264.92238229040794</v>
      </c>
      <c r="AW135" s="46">
        <f t="shared" ca="1" si="53"/>
        <v>274.26283312879605</v>
      </c>
      <c r="AX135" s="46">
        <f t="shared" ca="1" si="53"/>
        <v>283.83679523814385</v>
      </c>
      <c r="AY135" s="46">
        <f t="shared" ca="1" si="53"/>
        <v>293.65010640022535</v>
      </c>
      <c r="AZ135" s="46">
        <f t="shared" ca="1" si="53"/>
        <v>303.70875034135889</v>
      </c>
      <c r="BA135" s="46">
        <f t="shared" ca="1" si="53"/>
        <v>314.01886038102077</v>
      </c>
      <c r="BB135" s="46">
        <f t="shared" ca="1" si="53"/>
        <v>324.58672317167418</v>
      </c>
      <c r="BC135" s="46">
        <f t="shared" ca="1" si="53"/>
        <v>335.41878253209393</v>
      </c>
      <c r="BD135" s="46">
        <f t="shared" ca="1" si="53"/>
        <v>346.5216433765242</v>
      </c>
      <c r="BE135" s="46">
        <f t="shared" ca="1" si="53"/>
        <v>357.90207574206522</v>
      </c>
      <c r="BF135" s="46">
        <f t="shared" ca="1" si="53"/>
        <v>369.56701891674476</v>
      </c>
      <c r="BG135" s="46">
        <f t="shared" ca="1" si="53"/>
        <v>381.52358567079125</v>
      </c>
      <c r="BH135" s="46">
        <f t="shared" ca="1" si="53"/>
        <v>393.77906659368892</v>
      </c>
      <c r="BI135" s="46">
        <f t="shared" ca="1" si="53"/>
        <v>406.34093453965903</v>
      </c>
      <c r="BJ135" s="46">
        <f t="shared" ca="1" si="53"/>
        <v>419.21684918427837</v>
      </c>
      <c r="BK135" s="46">
        <f t="shared" ca="1" si="53"/>
        <v>432.41466169501319</v>
      </c>
      <c r="BL135" s="46">
        <f t="shared" ca="1" si="53"/>
        <v>445.94241951851637</v>
      </c>
    </row>
    <row r="136" spans="1:64" x14ac:dyDescent="0.35">
      <c r="A136" s="1"/>
      <c r="C136" s="2" t="s">
        <v>413</v>
      </c>
      <c r="D136" s="12">
        <f>D36</f>
        <v>0.28000000000000003</v>
      </c>
      <c r="E136" s="4">
        <f ca="1">$D$136*E135</f>
        <v>6.4746517141302737</v>
      </c>
      <c r="F136" s="4">
        <f t="shared" ref="F136:BL136" ca="1" si="54">$D$136*F135</f>
        <v>6.6773244235145297</v>
      </c>
      <c r="G136" s="4">
        <f t="shared" ca="1" si="54"/>
        <v>6.8868389230020499</v>
      </c>
      <c r="H136" s="4">
        <f t="shared" ca="1" si="54"/>
        <v>7.09899423930346</v>
      </c>
      <c r="I136" s="4">
        <f t="shared" ca="1" si="54"/>
        <v>7.3127553022883491</v>
      </c>
      <c r="J136" s="4">
        <f t="shared" ca="1" si="54"/>
        <v>7.5281512164407394</v>
      </c>
      <c r="K136" s="4">
        <f t="shared" ca="1" si="54"/>
        <v>8.2642793139492685</v>
      </c>
      <c r="L136" s="4">
        <f t="shared" ca="1" si="54"/>
        <v>9.0115299333641037</v>
      </c>
      <c r="M136" s="4">
        <f t="shared" ca="1" si="54"/>
        <v>9.7695058841879199</v>
      </c>
      <c r="N136" s="4">
        <f t="shared" ca="1" si="54"/>
        <v>10.538357220124775</v>
      </c>
      <c r="O136" s="4">
        <f t="shared" ca="1" si="54"/>
        <v>11.588308370263118</v>
      </c>
      <c r="P136" s="4">
        <f t="shared" ca="1" si="54"/>
        <v>12.658398381592798</v>
      </c>
      <c r="Q136" s="4">
        <f t="shared" ca="1" si="54"/>
        <v>13.748984673030941</v>
      </c>
      <c r="R136" s="4">
        <f t="shared" ca="1" si="54"/>
        <v>14.860430840295422</v>
      </c>
      <c r="S136" s="4">
        <f t="shared" ca="1" si="54"/>
        <v>15.993106406945554</v>
      </c>
      <c r="T136" s="4">
        <f t="shared" ca="1" si="54"/>
        <v>17.147387427426825</v>
      </c>
      <c r="U136" s="4">
        <f t="shared" ca="1" si="54"/>
        <v>18.323656128573518</v>
      </c>
      <c r="V136" s="4">
        <f t="shared" ca="1" si="54"/>
        <v>19.522301313988276</v>
      </c>
      <c r="W136" s="4">
        <f t="shared" ca="1" si="54"/>
        <v>20.743718267392772</v>
      </c>
      <c r="X136" s="4">
        <f t="shared" ca="1" si="54"/>
        <v>21.988309029615262</v>
      </c>
      <c r="Y136" s="4">
        <f t="shared" ca="1" si="54"/>
        <v>23.256482434858917</v>
      </c>
      <c r="Z136" s="4">
        <f t="shared" ca="1" si="54"/>
        <v>24.548654133710055</v>
      </c>
      <c r="AA136" s="4">
        <f t="shared" ca="1" si="54"/>
        <v>25.86524693397439</v>
      </c>
      <c r="AB136" s="4">
        <f t="shared" ca="1" si="54"/>
        <v>27.206690647382839</v>
      </c>
      <c r="AC136" s="4">
        <f t="shared" ca="1" si="54"/>
        <v>28.57342127537774</v>
      </c>
      <c r="AD136" s="4">
        <f t="shared" ca="1" si="54"/>
        <v>29.965881966175413</v>
      </c>
      <c r="AE136" s="4">
        <f t="shared" ca="1" si="54"/>
        <v>31.383071357094053</v>
      </c>
      <c r="AF136" s="4">
        <f t="shared" ca="1" si="54"/>
        <v>32.825398876947553</v>
      </c>
      <c r="AG136" s="4">
        <f t="shared" ca="1" si="54"/>
        <v>34.999433300308873</v>
      </c>
      <c r="AH136" s="4">
        <f t="shared" ca="1" si="54"/>
        <v>37.233456349196793</v>
      </c>
      <c r="AI136" s="4">
        <f t="shared" ca="1" si="54"/>
        <v>39.529038880896614</v>
      </c>
      <c r="AJ136" s="4">
        <f t="shared" ca="1" si="54"/>
        <v>41.887791762518269</v>
      </c>
      <c r="AK136" s="4">
        <f t="shared" ca="1" si="54"/>
        <v>44.311367263552846</v>
      </c>
      <c r="AL136" s="4">
        <f t="shared" ca="1" si="54"/>
        <v>46.801459803470401</v>
      </c>
      <c r="AM136" s="4">
        <f t="shared" ca="1" si="54"/>
        <v>49.359807073485385</v>
      </c>
      <c r="AN136" s="4">
        <f t="shared" ca="1" si="54"/>
        <v>51.988191467245294</v>
      </c>
      <c r="AO136" s="4">
        <f t="shared" ca="1" si="54"/>
        <v>54.68862073263189</v>
      </c>
      <c r="AP136" s="4">
        <f t="shared" ca="1" si="54"/>
        <v>57.462974227864201</v>
      </c>
      <c r="AQ136" s="4">
        <f t="shared" ca="1" si="54"/>
        <v>60.537755374536282</v>
      </c>
      <c r="AR136" s="4">
        <f t="shared" ca="1" si="54"/>
        <v>63.693928174948091</v>
      </c>
      <c r="AS136" s="4">
        <f t="shared" ca="1" si="54"/>
        <v>66.70883368939063</v>
      </c>
      <c r="AT136" s="4">
        <f t="shared" ca="1" si="54"/>
        <v>69.137424090341199</v>
      </c>
      <c r="AU136" s="4">
        <f t="shared" ca="1" si="54"/>
        <v>71.626729251315538</v>
      </c>
      <c r="AV136" s="4">
        <f t="shared" ca="1" si="54"/>
        <v>74.178267041314228</v>
      </c>
      <c r="AW136" s="4">
        <f t="shared" ca="1" si="54"/>
        <v>76.793593276062907</v>
      </c>
      <c r="AX136" s="4">
        <f t="shared" ca="1" si="54"/>
        <v>79.474302666680288</v>
      </c>
      <c r="AY136" s="4">
        <f t="shared" ca="1" si="54"/>
        <v>82.222029792063111</v>
      </c>
      <c r="AZ136" s="4">
        <f t="shared" ca="1" si="54"/>
        <v>85.038450095580501</v>
      </c>
      <c r="BA136" s="4">
        <f t="shared" ca="1" si="54"/>
        <v>87.925280906685828</v>
      </c>
      <c r="BB136" s="4">
        <f t="shared" ca="1" si="54"/>
        <v>90.884282488068777</v>
      </c>
      <c r="BC136" s="4">
        <f t="shared" ca="1" si="54"/>
        <v>93.917259108986315</v>
      </c>
      <c r="BD136" s="4">
        <f t="shared" ca="1" si="54"/>
        <v>97.026060145426783</v>
      </c>
      <c r="BE136" s="4">
        <f t="shared" ca="1" si="54"/>
        <v>100.21258120777827</v>
      </c>
      <c r="BF136" s="4">
        <f t="shared" ca="1" si="54"/>
        <v>103.47876529668854</v>
      </c>
      <c r="BG136" s="4">
        <f t="shared" ca="1" si="54"/>
        <v>106.82660398782156</v>
      </c>
      <c r="BH136" s="4">
        <f t="shared" ca="1" si="54"/>
        <v>110.25813864623291</v>
      </c>
      <c r="BI136" s="4">
        <f t="shared" ca="1" si="54"/>
        <v>113.77546167110454</v>
      </c>
      <c r="BJ136" s="4">
        <f t="shared" ca="1" si="54"/>
        <v>117.38071777159796</v>
      </c>
      <c r="BK136" s="4">
        <f t="shared" ca="1" si="54"/>
        <v>121.07610527460371</v>
      </c>
      <c r="BL136" s="4">
        <f t="shared" ca="1" si="54"/>
        <v>124.8638774651846</v>
      </c>
    </row>
    <row r="137" spans="1:64" x14ac:dyDescent="0.35">
      <c r="A137" s="1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4"/>
      <c r="AM137" s="4"/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</row>
    <row r="138" spans="1:64" s="40" customFormat="1" x14ac:dyDescent="0.35">
      <c r="A138" s="40" t="s">
        <v>533</v>
      </c>
      <c r="D138" s="175"/>
      <c r="E138" s="175"/>
      <c r="F138" s="175"/>
      <c r="G138" s="175"/>
      <c r="H138" s="175"/>
      <c r="I138" s="175"/>
      <c r="J138" s="175"/>
      <c r="K138" s="175"/>
      <c r="L138" s="175"/>
      <c r="M138" s="175"/>
      <c r="N138" s="175"/>
      <c r="O138" s="175"/>
      <c r="P138" s="175"/>
      <c r="Q138" s="175"/>
      <c r="R138" s="175"/>
      <c r="S138" s="175"/>
      <c r="T138" s="175"/>
      <c r="U138" s="175"/>
      <c r="V138" s="175"/>
      <c r="W138" s="175"/>
      <c r="X138" s="175"/>
      <c r="Y138" s="175"/>
      <c r="Z138" s="175"/>
      <c r="AA138" s="175"/>
      <c r="AB138" s="175"/>
      <c r="AC138" s="175"/>
      <c r="AD138" s="175"/>
      <c r="AE138" s="175"/>
      <c r="AF138" s="175"/>
      <c r="AG138" s="175"/>
      <c r="AH138" s="175"/>
      <c r="AI138" s="175"/>
      <c r="AJ138" s="175"/>
      <c r="AK138" s="175"/>
      <c r="AL138" s="175"/>
      <c r="AM138" s="175"/>
      <c r="AN138" s="175"/>
      <c r="AO138" s="175"/>
      <c r="AP138" s="175"/>
      <c r="AQ138" s="175"/>
      <c r="AR138" s="175"/>
      <c r="AS138" s="175"/>
      <c r="AT138" s="175"/>
      <c r="AU138" s="175"/>
      <c r="AV138" s="175"/>
      <c r="AW138" s="175"/>
      <c r="AX138" s="175"/>
      <c r="AY138" s="175"/>
      <c r="AZ138" s="175"/>
      <c r="BA138" s="175"/>
      <c r="BB138" s="175"/>
      <c r="BC138" s="175"/>
      <c r="BD138" s="175"/>
      <c r="BE138" s="175"/>
      <c r="BF138" s="175"/>
      <c r="BG138" s="175"/>
      <c r="BH138" s="175"/>
      <c r="BI138" s="175"/>
      <c r="BJ138" s="175"/>
      <c r="BK138" s="175"/>
      <c r="BL138" s="175"/>
    </row>
    <row r="139" spans="1:64" x14ac:dyDescent="0.35">
      <c r="A139" s="1"/>
      <c r="B139" s="2" t="s">
        <v>209</v>
      </c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  <c r="AA139" s="4"/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</row>
    <row r="140" spans="1:64" x14ac:dyDescent="0.35">
      <c r="A140" s="1"/>
      <c r="C140" s="2" t="s">
        <v>83</v>
      </c>
      <c r="E140" s="4">
        <f t="array" ref="E140:BL153">DSRA_move_function(41:41,45:45,D16,D8,D28,53:53,D33,116:116,D12,D18,D36,D25,D26,D11)</f>
        <v>0</v>
      </c>
      <c r="F140" s="4">
        <v>0</v>
      </c>
      <c r="G140" s="4">
        <v>0</v>
      </c>
      <c r="H140" s="4">
        <v>0</v>
      </c>
      <c r="I140" s="4">
        <v>0</v>
      </c>
      <c r="J140" s="4">
        <v>0</v>
      </c>
      <c r="K140" s="4">
        <v>0</v>
      </c>
      <c r="L140" s="4">
        <v>0</v>
      </c>
      <c r="M140" s="4">
        <v>0</v>
      </c>
      <c r="N140" s="4">
        <v>0</v>
      </c>
      <c r="O140" s="4">
        <v>0</v>
      </c>
      <c r="P140" s="4">
        <v>0</v>
      </c>
      <c r="Q140" s="4">
        <v>0</v>
      </c>
      <c r="R140" s="4">
        <v>0</v>
      </c>
      <c r="S140" s="4">
        <v>0</v>
      </c>
      <c r="T140" s="4">
        <v>0</v>
      </c>
      <c r="U140" s="4">
        <v>0</v>
      </c>
      <c r="V140" s="4">
        <v>0</v>
      </c>
      <c r="W140" s="4">
        <v>0</v>
      </c>
      <c r="X140" s="4">
        <v>0</v>
      </c>
      <c r="Y140" s="4">
        <v>0</v>
      </c>
      <c r="Z140" s="4">
        <v>0</v>
      </c>
      <c r="AA140" s="4">
        <v>0</v>
      </c>
      <c r="AB140" s="4">
        <v>0</v>
      </c>
      <c r="AC140" s="4">
        <v>0</v>
      </c>
      <c r="AD140" s="4">
        <v>0</v>
      </c>
      <c r="AE140" s="4">
        <v>0</v>
      </c>
      <c r="AF140" s="4">
        <v>0</v>
      </c>
      <c r="AG140" s="4">
        <v>0</v>
      </c>
      <c r="AH140" s="4">
        <v>0</v>
      </c>
      <c r="AI140" s="4">
        <v>0</v>
      </c>
      <c r="AJ140" s="4">
        <v>0</v>
      </c>
      <c r="AK140" s="4">
        <v>0</v>
      </c>
      <c r="AL140" s="4">
        <v>0</v>
      </c>
      <c r="AM140" s="4">
        <v>0</v>
      </c>
      <c r="AN140" s="4">
        <v>0</v>
      </c>
      <c r="AO140" s="4">
        <v>0</v>
      </c>
      <c r="AP140" s="4">
        <v>0</v>
      </c>
      <c r="AQ140" s="4">
        <v>0</v>
      </c>
      <c r="AR140" s="4">
        <v>0</v>
      </c>
      <c r="AS140" s="4">
        <v>0</v>
      </c>
      <c r="AT140" s="4">
        <v>0</v>
      </c>
      <c r="AU140" s="4">
        <v>0</v>
      </c>
      <c r="AV140" s="4">
        <v>0</v>
      </c>
      <c r="AW140" s="4">
        <v>0</v>
      </c>
      <c r="AX140" s="4">
        <v>0</v>
      </c>
      <c r="AY140" s="4">
        <v>0</v>
      </c>
      <c r="AZ140" s="4">
        <v>0</v>
      </c>
      <c r="BA140" s="4">
        <v>0</v>
      </c>
      <c r="BB140" s="4">
        <v>0</v>
      </c>
      <c r="BC140" s="4">
        <v>0</v>
      </c>
      <c r="BD140" s="4">
        <v>0</v>
      </c>
      <c r="BE140" s="4">
        <v>0</v>
      </c>
      <c r="BF140" s="4">
        <v>0</v>
      </c>
      <c r="BG140" s="4">
        <v>0</v>
      </c>
      <c r="BH140" s="4">
        <v>0</v>
      </c>
      <c r="BI140" s="4">
        <v>0</v>
      </c>
      <c r="BJ140" s="4">
        <v>0</v>
      </c>
      <c r="BK140" s="4">
        <v>0</v>
      </c>
      <c r="BL140" s="4">
        <v>0</v>
      </c>
    </row>
    <row r="141" spans="1:64" x14ac:dyDescent="0.35">
      <c r="A141" s="1"/>
      <c r="C141" s="2" t="s">
        <v>148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  <c r="J141" s="4">
        <v>0</v>
      </c>
      <c r="K141" s="4">
        <v>0</v>
      </c>
      <c r="L141" s="4">
        <v>0</v>
      </c>
      <c r="M141" s="4">
        <v>0</v>
      </c>
      <c r="N141" s="4">
        <v>0</v>
      </c>
      <c r="O141" s="4">
        <v>0</v>
      </c>
      <c r="P141" s="4">
        <v>0</v>
      </c>
      <c r="Q141" s="4">
        <v>0</v>
      </c>
      <c r="R141" s="4">
        <v>0</v>
      </c>
      <c r="S141" s="4">
        <v>0</v>
      </c>
      <c r="T141" s="4">
        <v>0</v>
      </c>
      <c r="U141" s="4">
        <v>0</v>
      </c>
      <c r="V141" s="4">
        <v>0</v>
      </c>
      <c r="W141" s="4">
        <v>0</v>
      </c>
      <c r="X141" s="4">
        <v>0</v>
      </c>
      <c r="Y141" s="4">
        <v>0</v>
      </c>
      <c r="Z141" s="4">
        <v>0</v>
      </c>
      <c r="AA141" s="4">
        <v>0</v>
      </c>
      <c r="AB141" s="4">
        <v>0</v>
      </c>
      <c r="AC141" s="4">
        <v>0</v>
      </c>
      <c r="AD141" s="4">
        <v>0</v>
      </c>
      <c r="AE141" s="4">
        <v>0</v>
      </c>
      <c r="AF141" s="4">
        <v>0</v>
      </c>
      <c r="AG141" s="4">
        <v>0</v>
      </c>
      <c r="AH141" s="4">
        <v>0</v>
      </c>
      <c r="AI141" s="4">
        <v>0</v>
      </c>
      <c r="AJ141" s="4">
        <v>0</v>
      </c>
      <c r="AK141" s="4">
        <v>0</v>
      </c>
      <c r="AL141" s="4">
        <v>0</v>
      </c>
      <c r="AM141" s="4">
        <v>0</v>
      </c>
      <c r="AN141" s="4">
        <v>0</v>
      </c>
      <c r="AO141" s="4">
        <v>0</v>
      </c>
      <c r="AP141" s="4">
        <v>0</v>
      </c>
      <c r="AQ141" s="4">
        <v>0</v>
      </c>
      <c r="AR141" s="4">
        <v>0</v>
      </c>
      <c r="AS141" s="4">
        <v>0</v>
      </c>
      <c r="AT141" s="4">
        <v>0</v>
      </c>
      <c r="AU141" s="4">
        <v>0</v>
      </c>
      <c r="AV141" s="4">
        <v>0</v>
      </c>
      <c r="AW141" s="4">
        <v>0</v>
      </c>
      <c r="AX141" s="4">
        <v>0</v>
      </c>
      <c r="AY141" s="4">
        <v>0</v>
      </c>
      <c r="AZ141" s="4">
        <v>0</v>
      </c>
      <c r="BA141" s="4">
        <v>0</v>
      </c>
      <c r="BB141" s="4">
        <v>0</v>
      </c>
      <c r="BC141" s="4">
        <v>0</v>
      </c>
      <c r="BD141" s="4">
        <v>0</v>
      </c>
      <c r="BE141" s="4">
        <v>0</v>
      </c>
      <c r="BF141" s="4">
        <v>0</v>
      </c>
      <c r="BG141" s="4">
        <v>0</v>
      </c>
      <c r="BH141" s="4">
        <v>0</v>
      </c>
      <c r="BI141" s="4">
        <v>0</v>
      </c>
      <c r="BJ141" s="4">
        <v>0</v>
      </c>
      <c r="BK141" s="4">
        <v>0</v>
      </c>
      <c r="BL141" s="4">
        <v>0</v>
      </c>
    </row>
    <row r="142" spans="1:64" x14ac:dyDescent="0.35">
      <c r="C142" s="2" t="s">
        <v>3</v>
      </c>
      <c r="E142" s="4">
        <v>102.35842132568359</v>
      </c>
      <c r="F142" s="4">
        <v>102.23984527587891</v>
      </c>
      <c r="G142" s="4">
        <v>102.11976623535156</v>
      </c>
      <c r="H142" s="4">
        <v>101.99818420410156</v>
      </c>
      <c r="I142" s="4">
        <v>101.87567138671875</v>
      </c>
      <c r="J142" s="4">
        <v>101.75223541259766</v>
      </c>
      <c r="K142" s="4">
        <v>102.39094543457031</v>
      </c>
      <c r="L142" s="4">
        <v>103.03388977050781</v>
      </c>
      <c r="M142" s="4">
        <v>103.68138885498047</v>
      </c>
      <c r="N142" s="4">
        <v>104.33348846435547</v>
      </c>
      <c r="O142" s="4">
        <v>105.38722991943359</v>
      </c>
      <c r="P142" s="4">
        <v>106.45426940917969</v>
      </c>
      <c r="Q142" s="4">
        <v>107.53475952148438</v>
      </c>
      <c r="R142" s="4">
        <v>108.62888336181641</v>
      </c>
      <c r="S142" s="4">
        <v>109.73680114746094</v>
      </c>
      <c r="T142" s="4">
        <v>110.85869598388672</v>
      </c>
      <c r="U142" s="4">
        <v>111.99474334716797</v>
      </c>
      <c r="V142" s="4">
        <v>113.14511108398438</v>
      </c>
      <c r="W142" s="4">
        <v>114.30999755859375</v>
      </c>
      <c r="X142" s="4">
        <v>115.48957061767578</v>
      </c>
      <c r="Y142" s="4">
        <v>116.68402099609375</v>
      </c>
      <c r="Z142" s="4">
        <v>117.89353942871094</v>
      </c>
      <c r="AA142" s="4">
        <v>119.11830902099609</v>
      </c>
      <c r="AB142" s="4">
        <v>120.35852813720703</v>
      </c>
      <c r="AC142" s="4">
        <v>121.61439514160156</v>
      </c>
      <c r="AD142" s="4">
        <v>122.88609313964844</v>
      </c>
      <c r="AE142" s="4">
        <v>124.17467498779297</v>
      </c>
      <c r="AF142" s="4">
        <v>125.48036956787109</v>
      </c>
      <c r="AG142" s="4">
        <v>127.84153747558594</v>
      </c>
      <c r="AH142" s="4">
        <v>130.25851440429688</v>
      </c>
      <c r="AI142" s="4">
        <v>132.73263549804688</v>
      </c>
      <c r="AJ142" s="4">
        <v>135.26528930664063</v>
      </c>
      <c r="AK142" s="4">
        <v>137.85791015625</v>
      </c>
      <c r="AL142" s="4">
        <v>140.511962890625</v>
      </c>
      <c r="AM142" s="4">
        <v>143.22891235351563</v>
      </c>
      <c r="AN142" s="4">
        <v>146.01029968261719</v>
      </c>
      <c r="AO142" s="4">
        <v>148.85760498046875</v>
      </c>
      <c r="AP142" s="4">
        <v>151.77239990234375</v>
      </c>
      <c r="AQ142" s="4">
        <v>154.62759399414063</v>
      </c>
      <c r="AR142" s="4">
        <v>157.54963684082031</v>
      </c>
      <c r="AS142" s="4">
        <v>0</v>
      </c>
      <c r="AT142" s="4">
        <v>0</v>
      </c>
      <c r="AU142" s="4">
        <v>0</v>
      </c>
      <c r="AV142" s="4">
        <v>0</v>
      </c>
      <c r="AW142" s="4">
        <v>0</v>
      </c>
      <c r="AX142" s="4">
        <v>0</v>
      </c>
      <c r="AY142" s="4">
        <v>0</v>
      </c>
      <c r="AZ142" s="4">
        <v>0</v>
      </c>
      <c r="BA142" s="4">
        <v>0</v>
      </c>
      <c r="BB142" s="4">
        <v>0</v>
      </c>
      <c r="BC142" s="4">
        <v>0</v>
      </c>
      <c r="BD142" s="4">
        <v>0</v>
      </c>
      <c r="BE142" s="4">
        <v>0</v>
      </c>
      <c r="BF142" s="4">
        <v>0</v>
      </c>
      <c r="BG142" s="4">
        <v>0</v>
      </c>
      <c r="BH142" s="4">
        <v>0</v>
      </c>
      <c r="BI142" s="4">
        <v>0</v>
      </c>
      <c r="BJ142" s="4">
        <v>0</v>
      </c>
      <c r="BK142" s="4">
        <v>0</v>
      </c>
      <c r="BL142" s="4">
        <v>0</v>
      </c>
    </row>
    <row r="143" spans="1:64" x14ac:dyDescent="0.35">
      <c r="C143" s="2" t="s">
        <v>171</v>
      </c>
      <c r="D143" s="4"/>
      <c r="E143" s="4">
        <v>1.0217981338500977</v>
      </c>
      <c r="F143" s="4">
        <v>1.0205897092819214</v>
      </c>
      <c r="G143" s="4">
        <v>1.0193692445755005</v>
      </c>
      <c r="H143" s="4">
        <v>1.0181394815444946</v>
      </c>
      <c r="I143" s="4">
        <v>1.0207159519195557</v>
      </c>
      <c r="J143" s="4">
        <v>1.0271241664886475</v>
      </c>
      <c r="K143" s="4">
        <v>1.0335763692855835</v>
      </c>
      <c r="L143" s="4">
        <v>1.040074348449707</v>
      </c>
      <c r="M143" s="4">
        <v>1.0486035346984863</v>
      </c>
      <c r="N143" s="4">
        <v>1.0592074394226074</v>
      </c>
      <c r="O143" s="4">
        <v>1.0699450969696045</v>
      </c>
      <c r="P143" s="4">
        <v>1.0808181762695313</v>
      </c>
      <c r="Q143" s="4">
        <v>1.091828465461731</v>
      </c>
      <c r="R143" s="4">
        <v>1.1029773950576782</v>
      </c>
      <c r="S143" s="4">
        <v>1.1142672300338745</v>
      </c>
      <c r="T143" s="4">
        <v>1.1256992816925049</v>
      </c>
      <c r="U143" s="4">
        <v>1.1372755765914917</v>
      </c>
      <c r="V143" s="4">
        <v>1.1489977836608887</v>
      </c>
      <c r="W143" s="4">
        <v>1.1608679294586182</v>
      </c>
      <c r="X143" s="4">
        <v>1.1728878021240234</v>
      </c>
      <c r="Y143" s="4">
        <v>1.1850591897964478</v>
      </c>
      <c r="Z143" s="4">
        <v>1.197384238243103</v>
      </c>
      <c r="AA143" s="4">
        <v>1.209864616394043</v>
      </c>
      <c r="AB143" s="4">
        <v>1.2225024700164795</v>
      </c>
      <c r="AC143" s="4">
        <v>1.2353037595748901</v>
      </c>
      <c r="AD143" s="4">
        <v>1.2482752799987793</v>
      </c>
      <c r="AE143" s="4">
        <v>1.2666095495223999</v>
      </c>
      <c r="AF143" s="4">
        <v>1.2905001640319824</v>
      </c>
      <c r="AG143" s="4">
        <v>1.3149557113647461</v>
      </c>
      <c r="AH143" s="4">
        <v>1.3399896621704102</v>
      </c>
      <c r="AI143" s="4">
        <v>1.3656159639358521</v>
      </c>
      <c r="AJ143" s="4">
        <v>1.3918493986129761</v>
      </c>
      <c r="AK143" s="4">
        <v>1.4187043905258179</v>
      </c>
      <c r="AL143" s="4">
        <v>1.4461959600448608</v>
      </c>
      <c r="AM143" s="4">
        <v>1.4743396043777466</v>
      </c>
      <c r="AN143" s="4">
        <v>1.5031499862670898</v>
      </c>
      <c r="AO143" s="4">
        <v>1.531999945640564</v>
      </c>
      <c r="AP143" s="4">
        <v>1.5608862638473511</v>
      </c>
      <c r="AQ143" s="4">
        <v>0.78774815797805786</v>
      </c>
      <c r="AR143" s="4">
        <v>0</v>
      </c>
      <c r="AS143" s="4">
        <v>0</v>
      </c>
      <c r="AT143" s="4">
        <v>0</v>
      </c>
      <c r="AU143" s="4">
        <v>0</v>
      </c>
      <c r="AV143" s="4">
        <v>0</v>
      </c>
      <c r="AW143" s="4">
        <v>0</v>
      </c>
      <c r="AX143" s="4">
        <v>0</v>
      </c>
      <c r="AY143" s="4">
        <v>0</v>
      </c>
      <c r="AZ143" s="4">
        <v>0</v>
      </c>
      <c r="BA143" s="4">
        <v>0</v>
      </c>
      <c r="BB143" s="4">
        <v>0</v>
      </c>
      <c r="BC143" s="4">
        <v>0</v>
      </c>
      <c r="BD143" s="4">
        <v>0</v>
      </c>
      <c r="BE143" s="4">
        <v>0</v>
      </c>
      <c r="BF143" s="4">
        <v>0</v>
      </c>
      <c r="BG143" s="4">
        <v>0</v>
      </c>
      <c r="BH143" s="4">
        <v>0</v>
      </c>
      <c r="BI143" s="4">
        <v>0</v>
      </c>
      <c r="BJ143" s="4">
        <v>0</v>
      </c>
      <c r="BK143" s="4">
        <v>0</v>
      </c>
      <c r="BL143" s="4">
        <v>0</v>
      </c>
    </row>
    <row r="144" spans="1:64" x14ac:dyDescent="0.35">
      <c r="C144" s="2" t="s">
        <v>350</v>
      </c>
      <c r="D144" s="4"/>
      <c r="E144" s="4">
        <v>34.378219604492188</v>
      </c>
      <c r="F144" s="4">
        <v>34.378219604492188</v>
      </c>
      <c r="G144" s="4">
        <v>34.378219604492188</v>
      </c>
      <c r="H144" s="4">
        <v>34.378219604492188</v>
      </c>
      <c r="I144" s="4">
        <v>34.378219604492188</v>
      </c>
      <c r="J144" s="4">
        <v>34.378219604492188</v>
      </c>
      <c r="K144" s="4">
        <v>34.378219604492188</v>
      </c>
      <c r="L144" s="4">
        <v>34.378219604492188</v>
      </c>
      <c r="M144" s="4">
        <v>34.378219604492188</v>
      </c>
      <c r="N144" s="4">
        <v>34.378219604492188</v>
      </c>
      <c r="O144" s="4">
        <v>34.378219604492188</v>
      </c>
      <c r="P144" s="4">
        <v>34.378219604492188</v>
      </c>
      <c r="Q144" s="4">
        <v>34.378219604492188</v>
      </c>
      <c r="R144" s="4">
        <v>34.378219604492188</v>
      </c>
      <c r="S144" s="4">
        <v>34.378219604492188</v>
      </c>
      <c r="T144" s="4">
        <v>34.378219604492188</v>
      </c>
      <c r="U144" s="4">
        <v>34.378219604492188</v>
      </c>
      <c r="V144" s="4">
        <v>34.378219604492188</v>
      </c>
      <c r="W144" s="4">
        <v>34.378219604492188</v>
      </c>
      <c r="X144" s="4">
        <v>34.378219604492188</v>
      </c>
      <c r="Y144" s="4">
        <v>34.378219604492188</v>
      </c>
      <c r="Z144" s="4">
        <v>34.378219604492188</v>
      </c>
      <c r="AA144" s="4">
        <v>34.378219604492188</v>
      </c>
      <c r="AB144" s="4">
        <v>34.378219604492188</v>
      </c>
      <c r="AC144" s="4">
        <v>34.378219604492188</v>
      </c>
      <c r="AD144" s="4">
        <v>34.378219604492188</v>
      </c>
      <c r="AE144" s="4">
        <v>34.378219604492188</v>
      </c>
      <c r="AF144" s="4">
        <v>34.378219604492188</v>
      </c>
      <c r="AG144" s="4">
        <v>34.378219604492188</v>
      </c>
      <c r="AH144" s="4">
        <v>34.378219604492188</v>
      </c>
      <c r="AI144" s="4">
        <v>34.378219604492188</v>
      </c>
      <c r="AJ144" s="4">
        <v>34.378219604492188</v>
      </c>
      <c r="AK144" s="4">
        <v>34.378219604492188</v>
      </c>
      <c r="AL144" s="4">
        <v>34.378219604492188</v>
      </c>
      <c r="AM144" s="4">
        <v>34.378219604492188</v>
      </c>
      <c r="AN144" s="4">
        <v>34.378219604492188</v>
      </c>
      <c r="AO144" s="4">
        <v>34.378219604492188</v>
      </c>
      <c r="AP144" s="4">
        <v>34.378219604492188</v>
      </c>
      <c r="AQ144" s="4">
        <v>34.378219604492188</v>
      </c>
      <c r="AR144" s="4">
        <v>34.378219604492188</v>
      </c>
      <c r="AS144" s="4">
        <v>0</v>
      </c>
      <c r="AT144" s="4">
        <v>0</v>
      </c>
      <c r="AU144" s="4">
        <v>0</v>
      </c>
      <c r="AV144" s="4">
        <v>0</v>
      </c>
      <c r="AW144" s="4">
        <v>0</v>
      </c>
      <c r="AX144" s="4">
        <v>0</v>
      </c>
      <c r="AY144" s="4">
        <v>0</v>
      </c>
      <c r="AZ144" s="4">
        <v>0</v>
      </c>
      <c r="BA144" s="4">
        <v>0</v>
      </c>
      <c r="BB144" s="4">
        <v>0</v>
      </c>
      <c r="BC144" s="4">
        <v>0</v>
      </c>
      <c r="BD144" s="4">
        <v>0</v>
      </c>
      <c r="BE144" s="4">
        <v>0</v>
      </c>
      <c r="BF144" s="4">
        <v>0</v>
      </c>
      <c r="BG144" s="4">
        <v>0</v>
      </c>
      <c r="BH144" s="4">
        <v>0</v>
      </c>
      <c r="BI144" s="4">
        <v>0</v>
      </c>
      <c r="BJ144" s="4">
        <v>0</v>
      </c>
      <c r="BK144" s="4">
        <v>0</v>
      </c>
      <c r="BL144" s="4">
        <v>0</v>
      </c>
    </row>
    <row r="145" spans="1:64" x14ac:dyDescent="0.35">
      <c r="C145" s="2" t="s">
        <v>450</v>
      </c>
      <c r="D145" s="4"/>
      <c r="E145" s="4">
        <v>52.173908233642578</v>
      </c>
      <c r="F145" s="4">
        <v>51.436466217041016</v>
      </c>
      <c r="G145" s="4">
        <v>50.689723968505859</v>
      </c>
      <c r="H145" s="4">
        <v>49.933563232421875</v>
      </c>
      <c r="I145" s="4">
        <v>49.167865753173828</v>
      </c>
      <c r="J145" s="4">
        <v>48.392562866210938</v>
      </c>
      <c r="K145" s="4">
        <v>47.607574462890625</v>
      </c>
      <c r="L145" s="4">
        <v>46.801326751708984</v>
      </c>
      <c r="M145" s="4">
        <v>45.973438262939453</v>
      </c>
      <c r="N145" s="4">
        <v>45.123550415039063</v>
      </c>
      <c r="O145" s="4">
        <v>44.251289367675781</v>
      </c>
      <c r="P145" s="4">
        <v>43.350296020507813</v>
      </c>
      <c r="Q145" s="4">
        <v>42.419948577880859</v>
      </c>
      <c r="R145" s="4">
        <v>41.459606170654297</v>
      </c>
      <c r="S145" s="4">
        <v>40.468612670898438</v>
      </c>
      <c r="T145" s="4">
        <v>39.446300506591797</v>
      </c>
      <c r="U145" s="4">
        <v>38.392002105712891</v>
      </c>
      <c r="V145" s="4">
        <v>37.305019378662109</v>
      </c>
      <c r="W145" s="4">
        <v>36.184654235839844</v>
      </c>
      <c r="X145" s="4">
        <v>35.030185699462891</v>
      </c>
      <c r="Y145" s="4">
        <v>33.840888977050781</v>
      </c>
      <c r="Z145" s="4">
        <v>32.616016387939453</v>
      </c>
      <c r="AA145" s="4">
        <v>31.354816436767578</v>
      </c>
      <c r="AB145" s="4">
        <v>30.056510925292969</v>
      </c>
      <c r="AC145" s="4">
        <v>28.720317840576172</v>
      </c>
      <c r="AD145" s="4">
        <v>27.345436096191406</v>
      </c>
      <c r="AE145" s="4">
        <v>25.931051254272461</v>
      </c>
      <c r="AF145" s="4">
        <v>24.476396560668945</v>
      </c>
      <c r="AG145" s="4">
        <v>22.980693817138672</v>
      </c>
      <c r="AH145" s="4">
        <v>21.427505493164063</v>
      </c>
      <c r="AI145" s="4">
        <v>19.815139770507813</v>
      </c>
      <c r="AJ145" s="4">
        <v>18.141862869262695</v>
      </c>
      <c r="AK145" s="4">
        <v>16.405887603759766</v>
      </c>
      <c r="AL145" s="4">
        <v>14.605388641357422</v>
      </c>
      <c r="AM145" s="4">
        <v>12.738482475280762</v>
      </c>
      <c r="AN145" s="4">
        <v>10.803241729736328</v>
      </c>
      <c r="AO145" s="4">
        <v>8.7976827621459961</v>
      </c>
      <c r="AP145" s="4">
        <v>6.719764232635498</v>
      </c>
      <c r="AQ145" s="4">
        <v>4.5673880577087402</v>
      </c>
      <c r="AR145" s="4">
        <v>2.3283011913299561</v>
      </c>
      <c r="AS145" s="4">
        <v>0</v>
      </c>
      <c r="AT145" s="4">
        <v>0</v>
      </c>
      <c r="AU145" s="4">
        <v>0</v>
      </c>
      <c r="AV145" s="4">
        <v>0</v>
      </c>
      <c r="AW145" s="4">
        <v>0</v>
      </c>
      <c r="AX145" s="4">
        <v>0</v>
      </c>
      <c r="AY145" s="4">
        <v>0</v>
      </c>
      <c r="AZ145" s="4">
        <v>0</v>
      </c>
      <c r="BA145" s="4">
        <v>0</v>
      </c>
      <c r="BB145" s="4">
        <v>0</v>
      </c>
      <c r="BC145" s="4">
        <v>0</v>
      </c>
      <c r="BD145" s="4">
        <v>0</v>
      </c>
      <c r="BE145" s="4">
        <v>0</v>
      </c>
      <c r="BF145" s="4">
        <v>0</v>
      </c>
      <c r="BG145" s="4">
        <v>0</v>
      </c>
      <c r="BH145" s="4">
        <v>0</v>
      </c>
      <c r="BI145" s="4">
        <v>0</v>
      </c>
      <c r="BJ145" s="4">
        <v>0</v>
      </c>
      <c r="BK145" s="4">
        <v>0</v>
      </c>
      <c r="BL145" s="4">
        <v>0</v>
      </c>
    </row>
    <row r="146" spans="1:64" x14ac:dyDescent="0.35">
      <c r="C146" s="2" t="s">
        <v>201</v>
      </c>
      <c r="D146" s="4"/>
      <c r="E146" s="4">
        <v>6.4704198837280273</v>
      </c>
      <c r="F146" s="4">
        <v>6.6772418022155762</v>
      </c>
      <c r="G146" s="4">
        <v>6.8866715431213379</v>
      </c>
      <c r="H146" s="4">
        <v>7.0987410545349121</v>
      </c>
      <c r="I146" s="4">
        <v>7.3124146461486816</v>
      </c>
      <c r="J146" s="4">
        <v>7.527705192565918</v>
      </c>
      <c r="K146" s="4">
        <v>8.2636957168579102</v>
      </c>
      <c r="L146" s="4">
        <v>9.0108051300048828</v>
      </c>
      <c r="M146" s="4">
        <v>9.7686376571655273</v>
      </c>
      <c r="N146" s="4">
        <v>10.537333488464355</v>
      </c>
      <c r="O146" s="4">
        <v>11.587108612060547</v>
      </c>
      <c r="P146" s="4">
        <v>12.657020568847656</v>
      </c>
      <c r="Q146" s="4">
        <v>13.747422218322754</v>
      </c>
      <c r="R146" s="4">
        <v>14.858678817749023</v>
      </c>
      <c r="S146" s="4">
        <v>15.991161346435547</v>
      </c>
      <c r="T146" s="4">
        <v>17.145244598388672</v>
      </c>
      <c r="U146" s="4">
        <v>18.321310043334961</v>
      </c>
      <c r="V146" s="4">
        <v>19.519746780395508</v>
      </c>
      <c r="W146" s="4">
        <v>20.740949630737305</v>
      </c>
      <c r="X146" s="4">
        <v>21.985322952270508</v>
      </c>
      <c r="Y146" s="4">
        <v>23.253273010253906</v>
      </c>
      <c r="Z146" s="4">
        <v>24.545215606689453</v>
      </c>
      <c r="AA146" s="4">
        <v>25.861574172973633</v>
      </c>
      <c r="AB146" s="4">
        <v>27.202777862548828</v>
      </c>
      <c r="AC146" s="4">
        <v>28.56926155090332</v>
      </c>
      <c r="AD146" s="4">
        <v>29.961471557617188</v>
      </c>
      <c r="AE146" s="4">
        <v>31.378402709960938</v>
      </c>
      <c r="AF146" s="4">
        <v>32.820446014404297</v>
      </c>
      <c r="AG146" s="4">
        <v>34.994144439697266</v>
      </c>
      <c r="AH146" s="4">
        <v>37.227817535400391</v>
      </c>
      <c r="AI146" s="4">
        <v>39.523044586181641</v>
      </c>
      <c r="AJ146" s="4">
        <v>41.881427764892578</v>
      </c>
      <c r="AK146" s="4">
        <v>44.304622650146484</v>
      </c>
      <c r="AL146" s="4">
        <v>46.794319152832031</v>
      </c>
      <c r="AM146" s="4">
        <v>49.352264404296875</v>
      </c>
      <c r="AN146" s="4">
        <v>51.980228424072266</v>
      </c>
      <c r="AO146" s="4">
        <v>54.680229187011719</v>
      </c>
      <c r="AP146" s="4">
        <v>57.454139709472656</v>
      </c>
      <c r="AQ146" s="4">
        <v>60.528472900390625</v>
      </c>
      <c r="AR146" s="4">
        <v>63.687553405761719</v>
      </c>
      <c r="AS146" s="4">
        <v>0</v>
      </c>
      <c r="AT146" s="4">
        <v>0</v>
      </c>
      <c r="AU146" s="4">
        <v>0</v>
      </c>
      <c r="AV146" s="4">
        <v>0</v>
      </c>
      <c r="AW146" s="4">
        <v>0</v>
      </c>
      <c r="AX146" s="4">
        <v>0</v>
      </c>
      <c r="AY146" s="4">
        <v>0</v>
      </c>
      <c r="AZ146" s="4">
        <v>0</v>
      </c>
      <c r="BA146" s="4">
        <v>0</v>
      </c>
      <c r="BB146" s="4">
        <v>0</v>
      </c>
      <c r="BC146" s="4">
        <v>0</v>
      </c>
      <c r="BD146" s="4">
        <v>0</v>
      </c>
      <c r="BE146" s="4">
        <v>0</v>
      </c>
      <c r="BF146" s="4">
        <v>0</v>
      </c>
      <c r="BG146" s="4">
        <v>0</v>
      </c>
      <c r="BH146" s="4">
        <v>0</v>
      </c>
      <c r="BI146" s="4">
        <v>0</v>
      </c>
      <c r="BJ146" s="4">
        <v>0</v>
      </c>
      <c r="BK146" s="4">
        <v>0</v>
      </c>
      <c r="BL146" s="2">
        <v>0</v>
      </c>
    </row>
    <row r="147" spans="1:64" x14ac:dyDescent="0.35">
      <c r="A147" s="1"/>
      <c r="C147" s="2" t="s">
        <v>451</v>
      </c>
      <c r="E147" s="4">
        <v>3478.260498046875</v>
      </c>
      <c r="F147" s="4">
        <v>3478.260498046875</v>
      </c>
      <c r="G147" s="4">
        <v>3478.260498046875</v>
      </c>
      <c r="H147" s="4">
        <v>3478.260498046875</v>
      </c>
      <c r="I147" s="4">
        <v>3478.260498046875</v>
      </c>
      <c r="J147" s="4">
        <v>3478.260498046875</v>
      </c>
      <c r="K147" s="4">
        <v>3478.260498046875</v>
      </c>
      <c r="L147" s="4">
        <v>3478.260498046875</v>
      </c>
      <c r="M147" s="4">
        <v>3478.260498046875</v>
      </c>
      <c r="N147" s="4">
        <v>3478.260498046875</v>
      </c>
      <c r="O147" s="4">
        <v>3478.260498046875</v>
      </c>
      <c r="P147" s="4">
        <v>3478.260498046875</v>
      </c>
      <c r="Q147" s="4">
        <v>3478.260498046875</v>
      </c>
      <c r="R147" s="4">
        <v>3478.260498046875</v>
      </c>
      <c r="S147" s="4">
        <v>3478.260498046875</v>
      </c>
      <c r="T147" s="4">
        <v>3478.260498046875</v>
      </c>
      <c r="U147" s="4">
        <v>3478.260498046875</v>
      </c>
      <c r="V147" s="4">
        <v>3478.260498046875</v>
      </c>
      <c r="W147" s="4">
        <v>3478.260498046875</v>
      </c>
      <c r="X147" s="4">
        <v>3478.260498046875</v>
      </c>
      <c r="Y147" s="4">
        <v>3478.260498046875</v>
      </c>
      <c r="Z147" s="4">
        <v>3478.260498046875</v>
      </c>
      <c r="AA147" s="4">
        <v>3478.260498046875</v>
      </c>
      <c r="AB147" s="4">
        <v>3478.260498046875</v>
      </c>
      <c r="AC147" s="4">
        <v>3478.260498046875</v>
      </c>
      <c r="AD147" s="4">
        <v>3478.260498046875</v>
      </c>
      <c r="AE147" s="4">
        <v>3478.260498046875</v>
      </c>
      <c r="AF147" s="4">
        <v>3478.260498046875</v>
      </c>
      <c r="AG147" s="4">
        <v>3478.260498046875</v>
      </c>
      <c r="AH147" s="4">
        <v>3478.260498046875</v>
      </c>
      <c r="AI147" s="4">
        <v>3478.260498046875</v>
      </c>
      <c r="AJ147" s="4">
        <v>3478.260498046875</v>
      </c>
      <c r="AK147" s="4">
        <v>3478.260498046875</v>
      </c>
      <c r="AL147" s="4">
        <v>3478.260498046875</v>
      </c>
      <c r="AM147" s="4">
        <v>3478.260498046875</v>
      </c>
      <c r="AN147" s="4">
        <v>3478.260498046875</v>
      </c>
      <c r="AO147" s="4">
        <v>3478.260498046875</v>
      </c>
      <c r="AP147" s="4">
        <v>3478.260498046875</v>
      </c>
      <c r="AQ147" s="4">
        <v>3478.260498046875</v>
      </c>
      <c r="AR147" s="4">
        <v>3478.260498046875</v>
      </c>
      <c r="AS147" s="4">
        <v>0</v>
      </c>
      <c r="AT147" s="4">
        <v>0</v>
      </c>
      <c r="AU147" s="4">
        <v>0</v>
      </c>
      <c r="AV147" s="4">
        <v>0</v>
      </c>
      <c r="AW147" s="4">
        <v>0</v>
      </c>
      <c r="AX147" s="4">
        <v>0</v>
      </c>
      <c r="AY147" s="4">
        <v>0</v>
      </c>
      <c r="AZ147" s="4">
        <v>0</v>
      </c>
      <c r="BA147" s="4">
        <v>0</v>
      </c>
      <c r="BB147" s="4">
        <v>0</v>
      </c>
      <c r="BC147" s="4">
        <v>0</v>
      </c>
      <c r="BD147" s="4">
        <v>0</v>
      </c>
      <c r="BE147" s="4">
        <v>0</v>
      </c>
      <c r="BF147" s="4">
        <v>0</v>
      </c>
      <c r="BG147" s="4">
        <v>0</v>
      </c>
      <c r="BH147" s="4">
        <v>0</v>
      </c>
      <c r="BI147" s="4">
        <v>0</v>
      </c>
      <c r="BJ147" s="4">
        <v>0</v>
      </c>
      <c r="BK147" s="4">
        <v>0</v>
      </c>
      <c r="BL147" s="4">
        <v>0</v>
      </c>
    </row>
    <row r="148" spans="1:64" x14ac:dyDescent="0.35">
      <c r="A148" s="1"/>
      <c r="C148" s="2" t="s">
        <v>561</v>
      </c>
      <c r="E148" s="4">
        <v>1.7441610843303521</v>
      </c>
      <c r="F148" s="4">
        <v>1.7441610843303521</v>
      </c>
      <c r="G148" s="4">
        <v>1.7441610843303521</v>
      </c>
      <c r="H148" s="4">
        <v>1.7441610843303521</v>
      </c>
      <c r="I148" s="4">
        <v>1.7441610843303521</v>
      </c>
      <c r="J148" s="4">
        <v>1.7441610843303521</v>
      </c>
      <c r="K148" s="4">
        <v>1.7441610843303521</v>
      </c>
      <c r="L148" s="4">
        <v>1.7441610843303521</v>
      </c>
      <c r="M148" s="4">
        <v>1.7441610843303521</v>
      </c>
      <c r="N148" s="4">
        <v>1.7441610843303521</v>
      </c>
      <c r="O148" s="4">
        <v>1.7441610843303521</v>
      </c>
      <c r="P148" s="4">
        <v>1.7441610843303521</v>
      </c>
      <c r="Q148" s="4">
        <v>1.7441610843303521</v>
      </c>
      <c r="R148" s="4">
        <v>1.7441610843303521</v>
      </c>
      <c r="S148" s="4">
        <v>1.7441610843303521</v>
      </c>
      <c r="T148" s="4">
        <v>1.7441610843303521</v>
      </c>
      <c r="U148" s="4">
        <v>1.7441610843303521</v>
      </c>
      <c r="V148" s="4">
        <v>1.7441610843303521</v>
      </c>
      <c r="W148" s="4">
        <v>1.7441610843303521</v>
      </c>
      <c r="X148" s="4">
        <v>1.7441610843303521</v>
      </c>
      <c r="Y148" s="4">
        <v>1.7441610843303521</v>
      </c>
      <c r="Z148" s="4">
        <v>1.7441610843303521</v>
      </c>
      <c r="AA148" s="4">
        <v>1.7441610843303521</v>
      </c>
      <c r="AB148" s="4">
        <v>1.7441610843303521</v>
      </c>
      <c r="AC148" s="4">
        <v>1.7441610843303521</v>
      </c>
      <c r="AD148" s="4">
        <v>1.7441610843303521</v>
      </c>
      <c r="AE148" s="4">
        <v>1.7441610843303521</v>
      </c>
      <c r="AF148" s="4">
        <v>1.7441610843303521</v>
      </c>
      <c r="AG148" s="4">
        <v>1.7441610843303521</v>
      </c>
      <c r="AH148" s="4">
        <v>1.7441610843303521</v>
      </c>
      <c r="AI148" s="4">
        <v>1.7441610843303521</v>
      </c>
      <c r="AJ148" s="4">
        <v>1.7441610843303521</v>
      </c>
      <c r="AK148" s="4">
        <v>1.7441610843303521</v>
      </c>
      <c r="AL148" s="4">
        <v>1.7441610843303521</v>
      </c>
      <c r="AM148" s="4">
        <v>1.7441610843303521</v>
      </c>
      <c r="AN148" s="4">
        <v>1.7441610843303521</v>
      </c>
      <c r="AO148" s="4">
        <v>1.7441610843303521</v>
      </c>
      <c r="AP148" s="4">
        <v>1.7441610843303521</v>
      </c>
      <c r="AQ148" s="4">
        <v>1.7441610843303521</v>
      </c>
      <c r="AR148" s="4">
        <v>1.7441610843303521</v>
      </c>
      <c r="AS148" s="4">
        <v>0</v>
      </c>
      <c r="AT148" s="4">
        <v>0</v>
      </c>
      <c r="AU148" s="4">
        <v>0</v>
      </c>
      <c r="AV148" s="4">
        <v>0</v>
      </c>
      <c r="AW148" s="4">
        <v>0</v>
      </c>
      <c r="AX148" s="4">
        <v>0</v>
      </c>
      <c r="AY148" s="4">
        <v>0</v>
      </c>
      <c r="AZ148" s="4">
        <v>0</v>
      </c>
      <c r="BA148" s="4">
        <v>0</v>
      </c>
      <c r="BB148" s="4">
        <v>0</v>
      </c>
      <c r="BC148" s="4">
        <v>0</v>
      </c>
      <c r="BD148" s="4">
        <v>0</v>
      </c>
      <c r="BE148" s="4">
        <v>0</v>
      </c>
      <c r="BF148" s="4">
        <v>0</v>
      </c>
      <c r="BG148" s="4">
        <v>0</v>
      </c>
      <c r="BH148" s="4">
        <v>0</v>
      </c>
      <c r="BI148" s="4">
        <v>0</v>
      </c>
      <c r="BJ148" s="4">
        <v>0</v>
      </c>
      <c r="BK148" s="4">
        <v>0</v>
      </c>
      <c r="BL148" s="4">
        <v>0</v>
      </c>
    </row>
    <row r="149" spans="1:64" x14ac:dyDescent="0.35">
      <c r="A149" s="1"/>
      <c r="C149" s="2" t="s">
        <v>502</v>
      </c>
      <c r="E149" s="4">
        <v>347.8260498046875</v>
      </c>
      <c r="F149" s="4">
        <v>347.8260498046875</v>
      </c>
      <c r="G149" s="4">
        <v>347.8260498046875</v>
      </c>
      <c r="H149" s="4">
        <v>347.8260498046875</v>
      </c>
      <c r="I149" s="4">
        <v>347.8260498046875</v>
      </c>
      <c r="J149" s="4">
        <v>347.8260498046875</v>
      </c>
      <c r="K149" s="4">
        <v>347.8260498046875</v>
      </c>
      <c r="L149" s="4">
        <v>347.8260498046875</v>
      </c>
      <c r="M149" s="4">
        <v>347.8260498046875</v>
      </c>
      <c r="N149" s="4">
        <v>347.8260498046875</v>
      </c>
      <c r="O149" s="4">
        <v>347.8260498046875</v>
      </c>
      <c r="P149" s="4">
        <v>347.8260498046875</v>
      </c>
      <c r="Q149" s="4">
        <v>347.8260498046875</v>
      </c>
      <c r="R149" s="4">
        <v>347.8260498046875</v>
      </c>
      <c r="S149" s="4">
        <v>347.8260498046875</v>
      </c>
      <c r="T149" s="4">
        <v>347.8260498046875</v>
      </c>
      <c r="U149" s="4">
        <v>347.8260498046875</v>
      </c>
      <c r="V149" s="4">
        <v>347.8260498046875</v>
      </c>
      <c r="W149" s="4">
        <v>347.8260498046875</v>
      </c>
      <c r="X149" s="4">
        <v>347.8260498046875</v>
      </c>
      <c r="Y149" s="4">
        <v>347.8260498046875</v>
      </c>
      <c r="Z149" s="4">
        <v>347.8260498046875</v>
      </c>
      <c r="AA149" s="4">
        <v>347.8260498046875</v>
      </c>
      <c r="AB149" s="4">
        <v>347.8260498046875</v>
      </c>
      <c r="AC149" s="4">
        <v>347.8260498046875</v>
      </c>
      <c r="AD149" s="4">
        <v>347.8260498046875</v>
      </c>
      <c r="AE149" s="4">
        <v>347.8260498046875</v>
      </c>
      <c r="AF149" s="4">
        <v>347.8260498046875</v>
      </c>
      <c r="AG149" s="4">
        <v>347.8260498046875</v>
      </c>
      <c r="AH149" s="4">
        <v>347.8260498046875</v>
      </c>
      <c r="AI149" s="4">
        <v>347.8260498046875</v>
      </c>
      <c r="AJ149" s="4">
        <v>347.8260498046875</v>
      </c>
      <c r="AK149" s="4">
        <v>347.8260498046875</v>
      </c>
      <c r="AL149" s="4">
        <v>347.8260498046875</v>
      </c>
      <c r="AM149" s="4">
        <v>347.8260498046875</v>
      </c>
      <c r="AN149" s="4">
        <v>347.8260498046875</v>
      </c>
      <c r="AO149" s="4">
        <v>347.8260498046875</v>
      </c>
      <c r="AP149" s="4">
        <v>347.8260498046875</v>
      </c>
      <c r="AQ149" s="4">
        <v>347.8260498046875</v>
      </c>
      <c r="AR149" s="4">
        <v>347.8260498046875</v>
      </c>
      <c r="AS149" s="4">
        <v>0</v>
      </c>
      <c r="AT149" s="4">
        <v>0</v>
      </c>
      <c r="AU149" s="4">
        <v>0</v>
      </c>
      <c r="AV149" s="4">
        <v>0</v>
      </c>
      <c r="AW149" s="4">
        <v>0</v>
      </c>
      <c r="AX149" s="4">
        <v>0</v>
      </c>
      <c r="AY149" s="4">
        <v>0</v>
      </c>
      <c r="AZ149" s="4">
        <v>0</v>
      </c>
      <c r="BA149" s="4">
        <v>0</v>
      </c>
      <c r="BB149" s="4">
        <v>0</v>
      </c>
      <c r="BC149" s="4">
        <v>0</v>
      </c>
      <c r="BD149" s="4">
        <v>0</v>
      </c>
      <c r="BE149" s="4">
        <v>0</v>
      </c>
      <c r="BF149" s="4">
        <v>0</v>
      </c>
      <c r="BG149" s="4">
        <v>0</v>
      </c>
      <c r="BH149" s="4">
        <v>0</v>
      </c>
      <c r="BI149" s="4">
        <v>0</v>
      </c>
      <c r="BJ149" s="4">
        <v>0</v>
      </c>
      <c r="BK149" s="4">
        <v>0</v>
      </c>
      <c r="BL149" s="4">
        <v>0</v>
      </c>
    </row>
    <row r="150" spans="1:64" x14ac:dyDescent="0.35">
      <c r="A150" s="1"/>
      <c r="C150" s="2" t="s">
        <v>525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  <c r="J150" s="4">
        <v>0</v>
      </c>
      <c r="K150" s="4">
        <v>0</v>
      </c>
      <c r="L150" s="4">
        <v>0</v>
      </c>
      <c r="M150" s="4">
        <v>0</v>
      </c>
      <c r="N150" s="4">
        <v>0</v>
      </c>
      <c r="O150" s="4">
        <v>0</v>
      </c>
      <c r="P150" s="4">
        <v>0</v>
      </c>
      <c r="Q150" s="4">
        <v>0</v>
      </c>
      <c r="R150" s="4">
        <v>0</v>
      </c>
      <c r="S150" s="4">
        <v>0</v>
      </c>
      <c r="T150" s="4">
        <v>0</v>
      </c>
      <c r="U150" s="4">
        <v>0</v>
      </c>
      <c r="V150" s="4">
        <v>0</v>
      </c>
      <c r="W150" s="4">
        <v>0</v>
      </c>
      <c r="X150" s="4">
        <v>0</v>
      </c>
      <c r="Y150" s="4">
        <v>0</v>
      </c>
      <c r="Z150" s="4">
        <v>0</v>
      </c>
      <c r="AA150" s="4">
        <v>0</v>
      </c>
      <c r="AB150" s="4">
        <v>0</v>
      </c>
      <c r="AC150" s="4">
        <v>0</v>
      </c>
      <c r="AD150" s="4">
        <v>0</v>
      </c>
      <c r="AE150" s="4">
        <v>0</v>
      </c>
      <c r="AF150" s="4">
        <v>0</v>
      </c>
      <c r="AG150" s="4">
        <v>0</v>
      </c>
      <c r="AH150" s="4">
        <v>0</v>
      </c>
      <c r="AI150" s="4">
        <v>0</v>
      </c>
      <c r="AJ150" s="4">
        <v>0</v>
      </c>
      <c r="AK150" s="4">
        <v>0</v>
      </c>
      <c r="AL150" s="4">
        <v>0</v>
      </c>
      <c r="AM150" s="4">
        <v>0</v>
      </c>
      <c r="AN150" s="4">
        <v>0</v>
      </c>
      <c r="AO150" s="4">
        <v>0</v>
      </c>
      <c r="AP150" s="4">
        <v>0</v>
      </c>
      <c r="AQ150" s="4">
        <v>0</v>
      </c>
      <c r="AR150" s="4">
        <v>0</v>
      </c>
      <c r="AS150" s="4">
        <v>0</v>
      </c>
      <c r="AT150" s="4">
        <v>0</v>
      </c>
      <c r="AU150" s="4">
        <v>0</v>
      </c>
      <c r="AV150" s="4">
        <v>0</v>
      </c>
      <c r="AW150" s="4">
        <v>0</v>
      </c>
      <c r="AX150" s="4">
        <v>0</v>
      </c>
      <c r="AY150" s="4">
        <v>0</v>
      </c>
      <c r="AZ150" s="4">
        <v>0</v>
      </c>
      <c r="BA150" s="4">
        <v>0</v>
      </c>
      <c r="BB150" s="4">
        <v>0</v>
      </c>
      <c r="BC150" s="4">
        <v>0</v>
      </c>
      <c r="BD150" s="4">
        <v>0</v>
      </c>
      <c r="BE150" s="4">
        <v>0</v>
      </c>
      <c r="BF150" s="4">
        <v>0</v>
      </c>
      <c r="BG150" s="4">
        <v>0</v>
      </c>
      <c r="BH150" s="4">
        <v>0</v>
      </c>
      <c r="BI150" s="4">
        <v>0</v>
      </c>
      <c r="BJ150" s="4">
        <v>0</v>
      </c>
      <c r="BK150" s="4">
        <v>0</v>
      </c>
      <c r="BL150" s="4">
        <v>0</v>
      </c>
    </row>
    <row r="151" spans="1:64" x14ac:dyDescent="0.35">
      <c r="A151" s="1"/>
      <c r="C151" s="2" t="s">
        <v>529</v>
      </c>
      <c r="E151" s="4">
        <v>0</v>
      </c>
      <c r="F151" s="4">
        <v>0</v>
      </c>
      <c r="G151" s="4">
        <v>0</v>
      </c>
      <c r="H151" s="4">
        <v>0</v>
      </c>
      <c r="I151" s="4">
        <v>0</v>
      </c>
      <c r="J151" s="4">
        <v>0</v>
      </c>
      <c r="K151" s="4">
        <v>0</v>
      </c>
      <c r="L151" s="4">
        <v>0</v>
      </c>
      <c r="M151" s="4">
        <v>0</v>
      </c>
      <c r="N151" s="4">
        <v>0</v>
      </c>
      <c r="O151" s="4">
        <v>0</v>
      </c>
      <c r="P151" s="4">
        <v>0</v>
      </c>
      <c r="Q151" s="4">
        <v>0</v>
      </c>
      <c r="R151" s="4">
        <v>0</v>
      </c>
      <c r="S151" s="4">
        <v>0</v>
      </c>
      <c r="T151" s="4">
        <v>0</v>
      </c>
      <c r="U151" s="4">
        <v>0</v>
      </c>
      <c r="V151" s="4">
        <v>0</v>
      </c>
      <c r="W151" s="4">
        <v>0</v>
      </c>
      <c r="X151" s="4">
        <v>0</v>
      </c>
      <c r="Y151" s="4">
        <v>0</v>
      </c>
      <c r="Z151" s="4">
        <v>0</v>
      </c>
      <c r="AA151" s="4">
        <v>0</v>
      </c>
      <c r="AB151" s="4">
        <v>0</v>
      </c>
      <c r="AC151" s="4">
        <v>0</v>
      </c>
      <c r="AD151" s="4">
        <v>0</v>
      </c>
      <c r="AE151" s="4">
        <v>0</v>
      </c>
      <c r="AF151" s="4">
        <v>0</v>
      </c>
      <c r="AG151" s="4">
        <v>0</v>
      </c>
      <c r="AH151" s="4">
        <v>0</v>
      </c>
      <c r="AI151" s="4">
        <v>0</v>
      </c>
      <c r="AJ151" s="4">
        <v>0</v>
      </c>
      <c r="AK151" s="4">
        <v>0</v>
      </c>
      <c r="AL151" s="4">
        <v>0</v>
      </c>
      <c r="AM151" s="4">
        <v>0</v>
      </c>
      <c r="AN151" s="4">
        <v>0</v>
      </c>
      <c r="AO151" s="4">
        <v>0</v>
      </c>
      <c r="AP151" s="4">
        <v>0</v>
      </c>
      <c r="AQ151" s="4">
        <v>0</v>
      </c>
      <c r="AR151" s="4">
        <v>0</v>
      </c>
      <c r="AS151" s="4">
        <v>0</v>
      </c>
      <c r="AT151" s="4">
        <v>0</v>
      </c>
      <c r="AU151" s="4">
        <v>0</v>
      </c>
      <c r="AV151" s="4">
        <v>0</v>
      </c>
      <c r="AW151" s="4">
        <v>0</v>
      </c>
      <c r="AX151" s="4">
        <v>0</v>
      </c>
      <c r="AY151" s="4">
        <v>0</v>
      </c>
      <c r="AZ151" s="4">
        <v>0</v>
      </c>
      <c r="BA151" s="4">
        <v>0</v>
      </c>
      <c r="BB151" s="4">
        <v>0</v>
      </c>
      <c r="BC151" s="4">
        <v>0</v>
      </c>
      <c r="BD151" s="4">
        <v>0</v>
      </c>
      <c r="BE151" s="4">
        <v>0</v>
      </c>
      <c r="BF151" s="4">
        <v>0</v>
      </c>
      <c r="BG151" s="4">
        <v>0</v>
      </c>
      <c r="BH151" s="4">
        <v>0</v>
      </c>
      <c r="BI151" s="4">
        <v>0</v>
      </c>
      <c r="BJ151" s="4">
        <v>0</v>
      </c>
      <c r="BK151" s="4">
        <v>0</v>
      </c>
      <c r="BL151" s="4">
        <v>0</v>
      </c>
    </row>
    <row r="152" spans="1:64" x14ac:dyDescent="0.35">
      <c r="A152" s="1"/>
      <c r="C152" s="2" t="s">
        <v>2</v>
      </c>
      <c r="E152" s="4">
        <v>178.52958679199219</v>
      </c>
      <c r="F152" s="4">
        <v>178.32275390625</v>
      </c>
      <c r="G152" s="4">
        <v>178.11332702636719</v>
      </c>
      <c r="H152" s="4">
        <v>177.90126037597656</v>
      </c>
      <c r="I152" s="4">
        <v>177.68759155273438</v>
      </c>
      <c r="J152" s="4">
        <v>177.4722900390625</v>
      </c>
      <c r="K152" s="4">
        <v>178.5863037109375</v>
      </c>
      <c r="L152" s="4">
        <v>179.70768737792969</v>
      </c>
      <c r="M152" s="4">
        <v>180.83705139160156</v>
      </c>
      <c r="N152" s="4">
        <v>181.97441101074219</v>
      </c>
      <c r="O152" s="4">
        <v>183.81231689453125</v>
      </c>
      <c r="P152" s="4">
        <v>185.67338562011719</v>
      </c>
      <c r="Q152" s="4">
        <v>187.55793762207031</v>
      </c>
      <c r="R152" s="4">
        <v>189.46626281738281</v>
      </c>
      <c r="S152" s="4">
        <v>191.39865112304688</v>
      </c>
      <c r="T152" s="4">
        <v>193.35542297363281</v>
      </c>
      <c r="U152" s="4">
        <v>195.33686828613281</v>
      </c>
      <c r="V152" s="4">
        <v>197.34330749511719</v>
      </c>
      <c r="W152" s="4">
        <v>199.37504577636719</v>
      </c>
      <c r="X152" s="4">
        <v>201.43241882324219</v>
      </c>
      <c r="Y152" s="4">
        <v>203.51573181152344</v>
      </c>
      <c r="Z152" s="4">
        <v>205.62532043457031</v>
      </c>
      <c r="AA152" s="4">
        <v>207.76152038574219</v>
      </c>
      <c r="AB152" s="4">
        <v>209.92466735839844</v>
      </c>
      <c r="AC152" s="4">
        <v>212.11509704589844</v>
      </c>
      <c r="AD152" s="4">
        <v>214.33314514160156</v>
      </c>
      <c r="AE152" s="4">
        <v>216.58062744140625</v>
      </c>
      <c r="AF152" s="4">
        <v>218.85797119140625</v>
      </c>
      <c r="AG152" s="4">
        <v>222.97624206542969</v>
      </c>
      <c r="AH152" s="4">
        <v>227.19181823730469</v>
      </c>
      <c r="AI152" s="4">
        <v>231.50709533691406</v>
      </c>
      <c r="AJ152" s="4">
        <v>235.92445373535156</v>
      </c>
      <c r="AK152" s="4">
        <v>240.4464111328125</v>
      </c>
      <c r="AL152" s="4">
        <v>245.07548522949219</v>
      </c>
      <c r="AM152" s="4">
        <v>249.81428527832031</v>
      </c>
      <c r="AN152" s="4">
        <v>254.66549682617188</v>
      </c>
      <c r="AO152" s="4">
        <v>259.63162231445313</v>
      </c>
      <c r="AP152" s="4">
        <v>264.71551513671875</v>
      </c>
      <c r="AQ152" s="4">
        <v>269.6954345703125</v>
      </c>
      <c r="AR152" s="4">
        <v>274.79193115234375</v>
      </c>
      <c r="AS152" s="4">
        <v>0</v>
      </c>
      <c r="AT152" s="4">
        <v>0</v>
      </c>
      <c r="AU152" s="4">
        <v>0</v>
      </c>
      <c r="AV152" s="4">
        <v>0</v>
      </c>
      <c r="AW152" s="4">
        <v>0</v>
      </c>
      <c r="AX152" s="4">
        <v>0</v>
      </c>
      <c r="AY152" s="4">
        <v>0</v>
      </c>
      <c r="AZ152" s="4">
        <v>0</v>
      </c>
      <c r="BA152" s="4">
        <v>0</v>
      </c>
      <c r="BB152" s="4">
        <v>0</v>
      </c>
      <c r="BC152" s="4">
        <v>0</v>
      </c>
      <c r="BD152" s="4">
        <v>0</v>
      </c>
      <c r="BE152" s="4">
        <v>0</v>
      </c>
      <c r="BF152" s="4">
        <v>0</v>
      </c>
      <c r="BG152" s="4">
        <v>0</v>
      </c>
      <c r="BH152" s="4">
        <v>0</v>
      </c>
      <c r="BI152" s="4">
        <v>0</v>
      </c>
      <c r="BJ152" s="4">
        <v>0</v>
      </c>
      <c r="BK152" s="4">
        <v>0</v>
      </c>
      <c r="BL152" s="4">
        <v>0</v>
      </c>
    </row>
    <row r="153" spans="1:64" x14ac:dyDescent="0.35">
      <c r="A153" s="1"/>
      <c r="C153" s="2" t="s">
        <v>568</v>
      </c>
      <c r="E153" s="4">
        <v>0</v>
      </c>
      <c r="F153" s="4">
        <v>0</v>
      </c>
      <c r="G153" s="4">
        <v>0</v>
      </c>
      <c r="H153" s="4">
        <v>0</v>
      </c>
      <c r="I153" s="4">
        <v>0</v>
      </c>
      <c r="J153" s="4">
        <v>0</v>
      </c>
      <c r="K153" s="4">
        <v>0</v>
      </c>
      <c r="L153" s="4">
        <v>0</v>
      </c>
      <c r="M153" s="4">
        <v>0</v>
      </c>
      <c r="N153" s="4">
        <v>0</v>
      </c>
      <c r="O153" s="4">
        <v>0</v>
      </c>
      <c r="P153" s="4">
        <v>0</v>
      </c>
      <c r="Q153" s="4">
        <v>0</v>
      </c>
      <c r="R153" s="4">
        <v>0</v>
      </c>
      <c r="S153" s="4">
        <v>0</v>
      </c>
      <c r="T153" s="4">
        <v>0</v>
      </c>
      <c r="U153" s="4">
        <v>0</v>
      </c>
      <c r="V153" s="4">
        <v>0</v>
      </c>
      <c r="W153" s="4">
        <v>0</v>
      </c>
      <c r="X153" s="4">
        <v>0</v>
      </c>
      <c r="Y153" s="4">
        <v>0</v>
      </c>
      <c r="Z153" s="4">
        <v>0</v>
      </c>
      <c r="AA153" s="4">
        <v>0</v>
      </c>
      <c r="AB153" s="4">
        <v>0</v>
      </c>
      <c r="AC153" s="4">
        <v>0</v>
      </c>
      <c r="AD153" s="4">
        <v>0</v>
      </c>
      <c r="AE153" s="4">
        <v>0</v>
      </c>
      <c r="AF153" s="4">
        <v>0</v>
      </c>
      <c r="AG153" s="4">
        <v>0</v>
      </c>
      <c r="AH153" s="4">
        <v>0</v>
      </c>
      <c r="AI153" s="4">
        <v>0</v>
      </c>
      <c r="AJ153" s="4">
        <v>0</v>
      </c>
      <c r="AK153" s="4">
        <v>0</v>
      </c>
      <c r="AL153" s="4">
        <v>0</v>
      </c>
      <c r="AM153" s="4">
        <v>0</v>
      </c>
      <c r="AN153" s="4">
        <v>0</v>
      </c>
      <c r="AO153" s="4">
        <v>0</v>
      </c>
      <c r="AP153" s="4">
        <v>0</v>
      </c>
      <c r="AQ153" s="4">
        <v>0</v>
      </c>
      <c r="AR153" s="4">
        <v>0</v>
      </c>
      <c r="AS153" s="4">
        <v>0</v>
      </c>
      <c r="AT153" s="4">
        <v>0</v>
      </c>
      <c r="AU153" s="4">
        <v>0</v>
      </c>
      <c r="AV153" s="4">
        <v>0</v>
      </c>
      <c r="AW153" s="4">
        <v>0</v>
      </c>
      <c r="AX153" s="4">
        <v>0</v>
      </c>
      <c r="AY153" s="4">
        <v>0</v>
      </c>
      <c r="AZ153" s="4">
        <v>0</v>
      </c>
      <c r="BA153" s="4">
        <v>0</v>
      </c>
      <c r="BB153" s="4">
        <v>0</v>
      </c>
      <c r="BC153" s="4">
        <v>0</v>
      </c>
      <c r="BD153" s="4">
        <v>0</v>
      </c>
      <c r="BE153" s="4">
        <v>0</v>
      </c>
      <c r="BF153" s="4">
        <v>0</v>
      </c>
      <c r="BG153" s="4">
        <v>0</v>
      </c>
      <c r="BH153" s="4">
        <v>0</v>
      </c>
      <c r="BI153" s="4">
        <v>0</v>
      </c>
      <c r="BJ153" s="4">
        <v>0</v>
      </c>
      <c r="BK153" s="4">
        <v>0</v>
      </c>
      <c r="BL153" s="4">
        <v>0</v>
      </c>
    </row>
    <row r="154" spans="1:64" x14ac:dyDescent="0.35">
      <c r="A154" s="1"/>
    </row>
    <row r="155" spans="1:64" x14ac:dyDescent="0.35">
      <c r="A155" s="1"/>
      <c r="B155" s="2" t="s">
        <v>575</v>
      </c>
    </row>
    <row r="156" spans="1:64" x14ac:dyDescent="0.35">
      <c r="A156" s="1"/>
      <c r="C156" s="2" t="s">
        <v>108</v>
      </c>
      <c r="E156" s="4">
        <f ca="1">$D$102</f>
        <v>3477.2529666092578</v>
      </c>
      <c r="F156" s="4">
        <f t="shared" ref="F156:BL156" ca="1" si="55">$D$102</f>
        <v>3477.2529666092578</v>
      </c>
      <c r="G156" s="4">
        <f t="shared" ca="1" si="55"/>
        <v>3477.2529666092578</v>
      </c>
      <c r="H156" s="4">
        <f t="shared" ca="1" si="55"/>
        <v>3477.2529666092578</v>
      </c>
      <c r="I156" s="4">
        <f t="shared" ca="1" si="55"/>
        <v>3477.2529666092578</v>
      </c>
      <c r="J156" s="4">
        <f t="shared" ca="1" si="55"/>
        <v>3477.2529666092578</v>
      </c>
      <c r="K156" s="4">
        <f t="shared" ca="1" si="55"/>
        <v>3477.2529666092578</v>
      </c>
      <c r="L156" s="4">
        <f t="shared" ca="1" si="55"/>
        <v>3477.2529666092578</v>
      </c>
      <c r="M156" s="4">
        <f t="shared" ca="1" si="55"/>
        <v>3477.2529666092578</v>
      </c>
      <c r="N156" s="4">
        <f t="shared" ca="1" si="55"/>
        <v>3477.2529666092578</v>
      </c>
      <c r="O156" s="4">
        <f t="shared" ca="1" si="55"/>
        <v>3477.2529666092578</v>
      </c>
      <c r="P156" s="4">
        <f t="shared" ca="1" si="55"/>
        <v>3477.2529666092578</v>
      </c>
      <c r="Q156" s="4">
        <f t="shared" ca="1" si="55"/>
        <v>3477.2529666092578</v>
      </c>
      <c r="R156" s="4">
        <f t="shared" ca="1" si="55"/>
        <v>3477.2529666092578</v>
      </c>
      <c r="S156" s="4">
        <f t="shared" ca="1" si="55"/>
        <v>3477.2529666092578</v>
      </c>
      <c r="T156" s="4">
        <f t="shared" ca="1" si="55"/>
        <v>3477.2529666092578</v>
      </c>
      <c r="U156" s="4">
        <f t="shared" ca="1" si="55"/>
        <v>3477.2529666092578</v>
      </c>
      <c r="V156" s="4">
        <f t="shared" ca="1" si="55"/>
        <v>3477.2529666092578</v>
      </c>
      <c r="W156" s="4">
        <f t="shared" ca="1" si="55"/>
        <v>3477.2529666092578</v>
      </c>
      <c r="X156" s="4">
        <f t="shared" ca="1" si="55"/>
        <v>3477.2529666092578</v>
      </c>
      <c r="Y156" s="4">
        <f t="shared" ca="1" si="55"/>
        <v>3477.2529666092578</v>
      </c>
      <c r="Z156" s="4">
        <f t="shared" ca="1" si="55"/>
        <v>3477.2529666092578</v>
      </c>
      <c r="AA156" s="4">
        <f t="shared" ca="1" si="55"/>
        <v>3477.2529666092578</v>
      </c>
      <c r="AB156" s="4">
        <f t="shared" ca="1" si="55"/>
        <v>3477.2529666092578</v>
      </c>
      <c r="AC156" s="4">
        <f t="shared" ca="1" si="55"/>
        <v>3477.2529666092578</v>
      </c>
      <c r="AD156" s="4">
        <f t="shared" ca="1" si="55"/>
        <v>3477.2529666092578</v>
      </c>
      <c r="AE156" s="4">
        <f t="shared" ca="1" si="55"/>
        <v>3477.2529666092578</v>
      </c>
      <c r="AF156" s="4">
        <f t="shared" ca="1" si="55"/>
        <v>3477.2529666092578</v>
      </c>
      <c r="AG156" s="4">
        <f t="shared" ca="1" si="55"/>
        <v>3477.2529666092578</v>
      </c>
      <c r="AH156" s="4">
        <f t="shared" ca="1" si="55"/>
        <v>3477.2529666092578</v>
      </c>
      <c r="AI156" s="4">
        <f t="shared" ca="1" si="55"/>
        <v>3477.2529666092578</v>
      </c>
      <c r="AJ156" s="4">
        <f t="shared" ca="1" si="55"/>
        <v>3477.2529666092578</v>
      </c>
      <c r="AK156" s="4">
        <f t="shared" ca="1" si="55"/>
        <v>3477.2529666092578</v>
      </c>
      <c r="AL156" s="4">
        <f t="shared" ca="1" si="55"/>
        <v>3477.2529666092578</v>
      </c>
      <c r="AM156" s="4">
        <f t="shared" ca="1" si="55"/>
        <v>3477.2529666092578</v>
      </c>
      <c r="AN156" s="4">
        <f t="shared" ca="1" si="55"/>
        <v>3477.2529666092578</v>
      </c>
      <c r="AO156" s="4">
        <f t="shared" ca="1" si="55"/>
        <v>3477.2529666092578</v>
      </c>
      <c r="AP156" s="4">
        <f t="shared" ca="1" si="55"/>
        <v>3477.2529666092578</v>
      </c>
      <c r="AQ156" s="4">
        <f t="shared" ca="1" si="55"/>
        <v>3477.2529666092578</v>
      </c>
      <c r="AR156" s="4">
        <f t="shared" ca="1" si="55"/>
        <v>3477.2529666092578</v>
      </c>
      <c r="AS156" s="4">
        <f t="shared" ca="1" si="55"/>
        <v>3477.2529666092578</v>
      </c>
      <c r="AT156" s="4">
        <f t="shared" ca="1" si="55"/>
        <v>3477.2529666092578</v>
      </c>
      <c r="AU156" s="4">
        <f t="shared" ca="1" si="55"/>
        <v>3477.2529666092578</v>
      </c>
      <c r="AV156" s="4">
        <f t="shared" ca="1" si="55"/>
        <v>3477.2529666092578</v>
      </c>
      <c r="AW156" s="4">
        <f t="shared" ca="1" si="55"/>
        <v>3477.2529666092578</v>
      </c>
      <c r="AX156" s="4">
        <f t="shared" ca="1" si="55"/>
        <v>3477.2529666092578</v>
      </c>
      <c r="AY156" s="4">
        <f t="shared" ca="1" si="55"/>
        <v>3477.2529666092578</v>
      </c>
      <c r="AZ156" s="4">
        <f t="shared" ca="1" si="55"/>
        <v>3477.2529666092578</v>
      </c>
      <c r="BA156" s="4">
        <f t="shared" ca="1" si="55"/>
        <v>3477.2529666092578</v>
      </c>
      <c r="BB156" s="4">
        <f t="shared" ca="1" si="55"/>
        <v>3477.2529666092578</v>
      </c>
      <c r="BC156" s="4">
        <f t="shared" ca="1" si="55"/>
        <v>3477.2529666092578</v>
      </c>
      <c r="BD156" s="4">
        <f t="shared" ca="1" si="55"/>
        <v>3477.2529666092578</v>
      </c>
      <c r="BE156" s="4">
        <f t="shared" ca="1" si="55"/>
        <v>3477.2529666092578</v>
      </c>
      <c r="BF156" s="4">
        <f t="shared" ca="1" si="55"/>
        <v>3477.2529666092578</v>
      </c>
      <c r="BG156" s="4">
        <f t="shared" ca="1" si="55"/>
        <v>3477.2529666092578</v>
      </c>
      <c r="BH156" s="4">
        <f t="shared" ca="1" si="55"/>
        <v>3477.2529666092578</v>
      </c>
      <c r="BI156" s="4">
        <f t="shared" ca="1" si="55"/>
        <v>3477.2529666092578</v>
      </c>
      <c r="BJ156" s="4">
        <f t="shared" ca="1" si="55"/>
        <v>3477.2529666092578</v>
      </c>
      <c r="BK156" s="4">
        <f t="shared" ca="1" si="55"/>
        <v>3477.2529666092578</v>
      </c>
      <c r="BL156" s="4">
        <f t="shared" ca="1" si="55"/>
        <v>3477.2529666092578</v>
      </c>
    </row>
    <row r="157" spans="1:64" x14ac:dyDescent="0.35">
      <c r="A157" s="1"/>
      <c r="C157" s="2" t="s">
        <v>148</v>
      </c>
      <c r="E157" s="4">
        <f ca="1">E117</f>
        <v>0</v>
      </c>
      <c r="F157" s="4">
        <f t="shared" ref="F157:BL157" si="56">F117</f>
        <v>0</v>
      </c>
      <c r="G157" s="4">
        <f t="shared" si="56"/>
        <v>0</v>
      </c>
      <c r="H157" s="4">
        <f t="shared" si="56"/>
        <v>0</v>
      </c>
      <c r="I157" s="4">
        <f t="shared" si="56"/>
        <v>0</v>
      </c>
      <c r="J157" s="4">
        <f t="shared" si="56"/>
        <v>0</v>
      </c>
      <c r="K157" s="4">
        <f t="shared" si="56"/>
        <v>0</v>
      </c>
      <c r="L157" s="4">
        <f t="shared" si="56"/>
        <v>0</v>
      </c>
      <c r="M157" s="4">
        <f t="shared" si="56"/>
        <v>0</v>
      </c>
      <c r="N157" s="4">
        <f t="shared" si="56"/>
        <v>0</v>
      </c>
      <c r="O157" s="4">
        <f t="shared" si="56"/>
        <v>0</v>
      </c>
      <c r="P157" s="4">
        <f t="shared" si="56"/>
        <v>0</v>
      </c>
      <c r="Q157" s="4">
        <f t="shared" si="56"/>
        <v>0</v>
      </c>
      <c r="R157" s="4">
        <f t="shared" si="56"/>
        <v>0</v>
      </c>
      <c r="S157" s="4">
        <f t="shared" si="56"/>
        <v>0</v>
      </c>
      <c r="T157" s="4">
        <f t="shared" si="56"/>
        <v>0</v>
      </c>
      <c r="U157" s="4">
        <f t="shared" si="56"/>
        <v>0</v>
      </c>
      <c r="V157" s="4">
        <f t="shared" si="56"/>
        <v>0</v>
      </c>
      <c r="W157" s="4">
        <f t="shared" si="56"/>
        <v>0</v>
      </c>
      <c r="X157" s="4">
        <f t="shared" si="56"/>
        <v>0</v>
      </c>
      <c r="Y157" s="4">
        <f t="shared" si="56"/>
        <v>0</v>
      </c>
      <c r="Z157" s="4">
        <f t="shared" si="56"/>
        <v>0</v>
      </c>
      <c r="AA157" s="4">
        <f t="shared" si="56"/>
        <v>0</v>
      </c>
      <c r="AB157" s="4">
        <f t="shared" si="56"/>
        <v>0</v>
      </c>
      <c r="AC157" s="4">
        <f t="shared" si="56"/>
        <v>0</v>
      </c>
      <c r="AD157" s="4">
        <f t="shared" si="56"/>
        <v>0</v>
      </c>
      <c r="AE157" s="4">
        <f t="shared" si="56"/>
        <v>0</v>
      </c>
      <c r="AF157" s="4">
        <f t="shared" si="56"/>
        <v>0</v>
      </c>
      <c r="AG157" s="4">
        <f t="shared" si="56"/>
        <v>0</v>
      </c>
      <c r="AH157" s="4">
        <f t="shared" si="56"/>
        <v>0</v>
      </c>
      <c r="AI157" s="4">
        <f t="shared" si="56"/>
        <v>0</v>
      </c>
      <c r="AJ157" s="4">
        <f t="shared" si="56"/>
        <v>0</v>
      </c>
      <c r="AK157" s="4">
        <f t="shared" si="56"/>
        <v>0</v>
      </c>
      <c r="AL157" s="4">
        <f t="shared" si="56"/>
        <v>0</v>
      </c>
      <c r="AM157" s="4">
        <f t="shared" si="56"/>
        <v>0</v>
      </c>
      <c r="AN157" s="4">
        <f t="shared" si="56"/>
        <v>0</v>
      </c>
      <c r="AO157" s="4">
        <f t="shared" si="56"/>
        <v>0</v>
      </c>
      <c r="AP157" s="4">
        <f t="shared" si="56"/>
        <v>0</v>
      </c>
      <c r="AQ157" s="4">
        <f t="shared" si="56"/>
        <v>0</v>
      </c>
      <c r="AR157" s="4">
        <f t="shared" si="56"/>
        <v>0</v>
      </c>
      <c r="AS157" s="4">
        <f t="shared" si="56"/>
        <v>0</v>
      </c>
      <c r="AT157" s="4">
        <f t="shared" si="56"/>
        <v>0</v>
      </c>
      <c r="AU157" s="4">
        <f t="shared" si="56"/>
        <v>0</v>
      </c>
      <c r="AV157" s="4">
        <f t="shared" si="56"/>
        <v>0</v>
      </c>
      <c r="AW157" s="4">
        <f t="shared" si="56"/>
        <v>0</v>
      </c>
      <c r="AX157" s="4">
        <f t="shared" si="56"/>
        <v>0</v>
      </c>
      <c r="AY157" s="4">
        <f t="shared" si="56"/>
        <v>0</v>
      </c>
      <c r="AZ157" s="4">
        <f t="shared" si="56"/>
        <v>0</v>
      </c>
      <c r="BA157" s="4">
        <f t="shared" si="56"/>
        <v>0</v>
      </c>
      <c r="BB157" s="4">
        <f t="shared" si="56"/>
        <v>0</v>
      </c>
      <c r="BC157" s="4">
        <f t="shared" si="56"/>
        <v>0</v>
      </c>
      <c r="BD157" s="4">
        <f t="shared" si="56"/>
        <v>0</v>
      </c>
      <c r="BE157" s="4">
        <f t="shared" si="56"/>
        <v>0</v>
      </c>
      <c r="BF157" s="4">
        <f t="shared" si="56"/>
        <v>0</v>
      </c>
      <c r="BG157" s="4">
        <f t="shared" si="56"/>
        <v>0</v>
      </c>
      <c r="BH157" s="4">
        <f t="shared" si="56"/>
        <v>0</v>
      </c>
      <c r="BI157" s="4">
        <f t="shared" si="56"/>
        <v>0</v>
      </c>
      <c r="BJ157" s="4">
        <f t="shared" si="56"/>
        <v>0</v>
      </c>
      <c r="BK157" s="4">
        <f t="shared" si="56"/>
        <v>0</v>
      </c>
      <c r="BL157" s="4">
        <f t="shared" si="56"/>
        <v>0</v>
      </c>
    </row>
    <row r="158" spans="1:64" x14ac:dyDescent="0.35">
      <c r="A158" s="1"/>
    </row>
    <row r="159" spans="1:64" x14ac:dyDescent="0.35">
      <c r="A159" s="1"/>
      <c r="B159" s="2" t="s">
        <v>434</v>
      </c>
    </row>
    <row r="160" spans="1:64" x14ac:dyDescent="0.35">
      <c r="A160" s="1"/>
      <c r="C160" s="2" t="s">
        <v>574</v>
      </c>
      <c r="E160" s="4">
        <f ca="1">E147-$D$102</f>
        <v>1.0075314376172173</v>
      </c>
      <c r="F160" s="4">
        <f t="shared" ref="F160:BL160" ca="1" si="57">F147-$D$102</f>
        <v>1.0075314376172173</v>
      </c>
      <c r="G160" s="4">
        <f t="shared" ca="1" si="57"/>
        <v>1.0075314376172173</v>
      </c>
      <c r="H160" s="4">
        <f t="shared" ca="1" si="57"/>
        <v>1.0075314376172173</v>
      </c>
      <c r="I160" s="4">
        <f t="shared" ca="1" si="57"/>
        <v>1.0075314376172173</v>
      </c>
      <c r="J160" s="4">
        <f t="shared" ca="1" si="57"/>
        <v>1.0075314376172173</v>
      </c>
      <c r="K160" s="4">
        <f t="shared" ca="1" si="57"/>
        <v>1.0075314376172173</v>
      </c>
      <c r="L160" s="4">
        <f t="shared" ca="1" si="57"/>
        <v>1.0075314376172173</v>
      </c>
      <c r="M160" s="4">
        <f t="shared" ca="1" si="57"/>
        <v>1.0075314376172173</v>
      </c>
      <c r="N160" s="4">
        <f t="shared" ca="1" si="57"/>
        <v>1.0075314376172173</v>
      </c>
      <c r="O160" s="4">
        <f t="shared" ca="1" si="57"/>
        <v>1.0075314376172173</v>
      </c>
      <c r="P160" s="4">
        <f t="shared" ca="1" si="57"/>
        <v>1.0075314376172173</v>
      </c>
      <c r="Q160" s="4">
        <f t="shared" ca="1" si="57"/>
        <v>1.0075314376172173</v>
      </c>
      <c r="R160" s="4">
        <f t="shared" ca="1" si="57"/>
        <v>1.0075314376172173</v>
      </c>
      <c r="S160" s="4">
        <f t="shared" ca="1" si="57"/>
        <v>1.0075314376172173</v>
      </c>
      <c r="T160" s="4">
        <f t="shared" ca="1" si="57"/>
        <v>1.0075314376172173</v>
      </c>
      <c r="U160" s="4">
        <f t="shared" ca="1" si="57"/>
        <v>1.0075314376172173</v>
      </c>
      <c r="V160" s="4">
        <f t="shared" ca="1" si="57"/>
        <v>1.0075314376172173</v>
      </c>
      <c r="W160" s="4">
        <f t="shared" ca="1" si="57"/>
        <v>1.0075314376172173</v>
      </c>
      <c r="X160" s="4">
        <f t="shared" ca="1" si="57"/>
        <v>1.0075314376172173</v>
      </c>
      <c r="Y160" s="4">
        <f t="shared" ca="1" si="57"/>
        <v>1.0075314376172173</v>
      </c>
      <c r="Z160" s="4">
        <f t="shared" ca="1" si="57"/>
        <v>1.0075314376172173</v>
      </c>
      <c r="AA160" s="4">
        <f t="shared" ca="1" si="57"/>
        <v>1.0075314376172173</v>
      </c>
      <c r="AB160" s="4">
        <f t="shared" ca="1" si="57"/>
        <v>1.0075314376172173</v>
      </c>
      <c r="AC160" s="4">
        <f t="shared" ca="1" si="57"/>
        <v>1.0075314376172173</v>
      </c>
      <c r="AD160" s="4">
        <f t="shared" ca="1" si="57"/>
        <v>1.0075314376172173</v>
      </c>
      <c r="AE160" s="4">
        <f t="shared" ca="1" si="57"/>
        <v>1.0075314376172173</v>
      </c>
      <c r="AF160" s="4">
        <f t="shared" ca="1" si="57"/>
        <v>1.0075314376172173</v>
      </c>
      <c r="AG160" s="4">
        <f t="shared" ca="1" si="57"/>
        <v>1.0075314376172173</v>
      </c>
      <c r="AH160" s="4">
        <f t="shared" ca="1" si="57"/>
        <v>1.0075314376172173</v>
      </c>
      <c r="AI160" s="4">
        <f t="shared" ca="1" si="57"/>
        <v>1.0075314376172173</v>
      </c>
      <c r="AJ160" s="4">
        <f t="shared" ca="1" si="57"/>
        <v>1.0075314376172173</v>
      </c>
      <c r="AK160" s="4">
        <f t="shared" ca="1" si="57"/>
        <v>1.0075314376172173</v>
      </c>
      <c r="AL160" s="4">
        <f t="shared" ca="1" si="57"/>
        <v>1.0075314376172173</v>
      </c>
      <c r="AM160" s="4">
        <f t="shared" ca="1" si="57"/>
        <v>1.0075314376172173</v>
      </c>
      <c r="AN160" s="4">
        <f t="shared" ca="1" si="57"/>
        <v>1.0075314376172173</v>
      </c>
      <c r="AO160" s="4">
        <f t="shared" ca="1" si="57"/>
        <v>1.0075314376172173</v>
      </c>
      <c r="AP160" s="4">
        <f t="shared" ca="1" si="57"/>
        <v>1.0075314376172173</v>
      </c>
      <c r="AQ160" s="4">
        <f t="shared" ca="1" si="57"/>
        <v>1.0075314376172173</v>
      </c>
      <c r="AR160" s="4">
        <f t="shared" ca="1" si="57"/>
        <v>1.0075314376172173</v>
      </c>
      <c r="AS160" s="4">
        <f t="shared" ca="1" si="57"/>
        <v>-3477.2529666092578</v>
      </c>
      <c r="AT160" s="4">
        <f t="shared" ca="1" si="57"/>
        <v>-3477.2529666092578</v>
      </c>
      <c r="AU160" s="4">
        <f t="shared" ca="1" si="57"/>
        <v>-3477.2529666092578</v>
      </c>
      <c r="AV160" s="4">
        <f t="shared" ca="1" si="57"/>
        <v>-3477.2529666092578</v>
      </c>
      <c r="AW160" s="4">
        <f t="shared" ca="1" si="57"/>
        <v>-3477.2529666092578</v>
      </c>
      <c r="AX160" s="4">
        <f t="shared" ca="1" si="57"/>
        <v>-3477.2529666092578</v>
      </c>
      <c r="AY160" s="4">
        <f t="shared" ca="1" si="57"/>
        <v>-3477.2529666092578</v>
      </c>
      <c r="AZ160" s="4">
        <f t="shared" ca="1" si="57"/>
        <v>-3477.2529666092578</v>
      </c>
      <c r="BA160" s="4">
        <f t="shared" ca="1" si="57"/>
        <v>-3477.2529666092578</v>
      </c>
      <c r="BB160" s="4">
        <f t="shared" ca="1" si="57"/>
        <v>-3477.2529666092578</v>
      </c>
      <c r="BC160" s="4">
        <f t="shared" ca="1" si="57"/>
        <v>-3477.2529666092578</v>
      </c>
      <c r="BD160" s="4">
        <f t="shared" ca="1" si="57"/>
        <v>-3477.2529666092578</v>
      </c>
      <c r="BE160" s="4">
        <f t="shared" ca="1" si="57"/>
        <v>-3477.2529666092578</v>
      </c>
      <c r="BF160" s="4">
        <f t="shared" ca="1" si="57"/>
        <v>-3477.2529666092578</v>
      </c>
      <c r="BG160" s="4">
        <f t="shared" ca="1" si="57"/>
        <v>-3477.2529666092578</v>
      </c>
      <c r="BH160" s="4">
        <f t="shared" ca="1" si="57"/>
        <v>-3477.2529666092578</v>
      </c>
      <c r="BI160" s="4">
        <f t="shared" ca="1" si="57"/>
        <v>-3477.2529666092578</v>
      </c>
      <c r="BJ160" s="4">
        <f t="shared" ca="1" si="57"/>
        <v>-3477.2529666092578</v>
      </c>
      <c r="BK160" s="4">
        <f t="shared" ca="1" si="57"/>
        <v>-3477.2529666092578</v>
      </c>
      <c r="BL160" s="4">
        <f t="shared" ca="1" si="57"/>
        <v>-3477.2529666092578</v>
      </c>
    </row>
    <row r="161" spans="1:64" x14ac:dyDescent="0.35">
      <c r="A161" s="1"/>
      <c r="C161" s="2" t="s">
        <v>416</v>
      </c>
      <c r="E161" s="4">
        <f t="shared" ref="E161:BL161" ca="1" si="58">E141-E117</f>
        <v>0</v>
      </c>
      <c r="F161" s="4">
        <f t="shared" si="58"/>
        <v>0</v>
      </c>
      <c r="G161" s="4">
        <f t="shared" si="58"/>
        <v>0</v>
      </c>
      <c r="H161" s="4">
        <f t="shared" si="58"/>
        <v>0</v>
      </c>
      <c r="I161" s="4">
        <f t="shared" si="58"/>
        <v>0</v>
      </c>
      <c r="J161" s="4">
        <f t="shared" si="58"/>
        <v>0</v>
      </c>
      <c r="K161" s="4">
        <f t="shared" si="58"/>
        <v>0</v>
      </c>
      <c r="L161" s="4">
        <f t="shared" si="58"/>
        <v>0</v>
      </c>
      <c r="M161" s="4">
        <f t="shared" si="58"/>
        <v>0</v>
      </c>
      <c r="N161" s="4">
        <f t="shared" si="58"/>
        <v>0</v>
      </c>
      <c r="O161" s="4">
        <f t="shared" si="58"/>
        <v>0</v>
      </c>
      <c r="P161" s="4">
        <f t="shared" si="58"/>
        <v>0</v>
      </c>
      <c r="Q161" s="4">
        <f t="shared" si="58"/>
        <v>0</v>
      </c>
      <c r="R161" s="4">
        <f t="shared" si="58"/>
        <v>0</v>
      </c>
      <c r="S161" s="4">
        <f t="shared" si="58"/>
        <v>0</v>
      </c>
      <c r="T161" s="4">
        <f t="shared" si="58"/>
        <v>0</v>
      </c>
      <c r="U161" s="4">
        <f t="shared" si="58"/>
        <v>0</v>
      </c>
      <c r="V161" s="4">
        <f t="shared" si="58"/>
        <v>0</v>
      </c>
      <c r="W161" s="4">
        <f t="shared" si="58"/>
        <v>0</v>
      </c>
      <c r="X161" s="4">
        <f t="shared" si="58"/>
        <v>0</v>
      </c>
      <c r="Y161" s="4">
        <f t="shared" si="58"/>
        <v>0</v>
      </c>
      <c r="Z161" s="4">
        <f t="shared" si="58"/>
        <v>0</v>
      </c>
      <c r="AA161" s="4">
        <f t="shared" si="58"/>
        <v>0</v>
      </c>
      <c r="AB161" s="4">
        <f t="shared" si="58"/>
        <v>0</v>
      </c>
      <c r="AC161" s="4">
        <f t="shared" si="58"/>
        <v>0</v>
      </c>
      <c r="AD161" s="4">
        <f t="shared" si="58"/>
        <v>0</v>
      </c>
      <c r="AE161" s="4">
        <f t="shared" si="58"/>
        <v>0</v>
      </c>
      <c r="AF161" s="4">
        <f t="shared" si="58"/>
        <v>0</v>
      </c>
      <c r="AG161" s="4">
        <f t="shared" si="58"/>
        <v>0</v>
      </c>
      <c r="AH161" s="4">
        <f t="shared" si="58"/>
        <v>0</v>
      </c>
      <c r="AI161" s="4">
        <f t="shared" si="58"/>
        <v>0</v>
      </c>
      <c r="AJ161" s="4">
        <f t="shared" si="58"/>
        <v>0</v>
      </c>
      <c r="AK161" s="4">
        <f t="shared" si="58"/>
        <v>0</v>
      </c>
      <c r="AL161" s="4">
        <f t="shared" si="58"/>
        <v>0</v>
      </c>
      <c r="AM161" s="4">
        <f t="shared" si="58"/>
        <v>0</v>
      </c>
      <c r="AN161" s="4">
        <f t="shared" si="58"/>
        <v>0</v>
      </c>
      <c r="AO161" s="4">
        <f t="shared" si="58"/>
        <v>0</v>
      </c>
      <c r="AP161" s="4">
        <f t="shared" si="58"/>
        <v>0</v>
      </c>
      <c r="AQ161" s="4">
        <f t="shared" si="58"/>
        <v>0</v>
      </c>
      <c r="AR161" s="4">
        <f t="shared" si="58"/>
        <v>0</v>
      </c>
      <c r="AS161" s="4">
        <f t="shared" si="58"/>
        <v>0</v>
      </c>
      <c r="AT161" s="4">
        <f t="shared" si="58"/>
        <v>0</v>
      </c>
      <c r="AU161" s="4">
        <f t="shared" si="58"/>
        <v>0</v>
      </c>
      <c r="AV161" s="4">
        <f t="shared" si="58"/>
        <v>0</v>
      </c>
      <c r="AW161" s="4">
        <f t="shared" si="58"/>
        <v>0</v>
      </c>
      <c r="AX161" s="4">
        <f t="shared" si="58"/>
        <v>0</v>
      </c>
      <c r="AY161" s="4">
        <f t="shared" si="58"/>
        <v>0</v>
      </c>
      <c r="AZ161" s="4">
        <f t="shared" si="58"/>
        <v>0</v>
      </c>
      <c r="BA161" s="4">
        <f t="shared" si="58"/>
        <v>0</v>
      </c>
      <c r="BB161" s="4">
        <f t="shared" si="58"/>
        <v>0</v>
      </c>
      <c r="BC161" s="4">
        <f t="shared" si="58"/>
        <v>0</v>
      </c>
      <c r="BD161" s="4">
        <f t="shared" si="58"/>
        <v>0</v>
      </c>
      <c r="BE161" s="4">
        <f t="shared" si="58"/>
        <v>0</v>
      </c>
      <c r="BF161" s="4">
        <f t="shared" si="58"/>
        <v>0</v>
      </c>
      <c r="BG161" s="4">
        <f t="shared" si="58"/>
        <v>0</v>
      </c>
      <c r="BH161" s="4">
        <f t="shared" si="58"/>
        <v>0</v>
      </c>
      <c r="BI161" s="4">
        <f t="shared" si="58"/>
        <v>0</v>
      </c>
      <c r="BJ161" s="4">
        <f t="shared" si="58"/>
        <v>0</v>
      </c>
      <c r="BK161" s="4">
        <f t="shared" si="58"/>
        <v>0</v>
      </c>
      <c r="BL161" s="4">
        <f t="shared" si="58"/>
        <v>0</v>
      </c>
    </row>
    <row r="162" spans="1:64" x14ac:dyDescent="0.35">
      <c r="A162" s="1"/>
      <c r="C162" s="2" t="s">
        <v>417</v>
      </c>
      <c r="E162" s="4">
        <f t="shared" ref="E162:AJ162" si="59">E142-E88</f>
        <v>1.0017901351643843</v>
      </c>
      <c r="F162" s="4">
        <f t="shared" si="59"/>
        <v>1.0006331309912753</v>
      </c>
      <c r="G162" s="4">
        <f t="shared" si="59"/>
        <v>0.99945367559423914</v>
      </c>
      <c r="H162" s="4">
        <f t="shared" si="59"/>
        <v>0.99826990686801764</v>
      </c>
      <c r="I162" s="4">
        <f t="shared" si="59"/>
        <v>0.99706603675458894</v>
      </c>
      <c r="J162" s="4">
        <f t="shared" si="59"/>
        <v>0.99585700394935373</v>
      </c>
      <c r="K162" s="4">
        <f t="shared" si="59"/>
        <v>1.00211022241335</v>
      </c>
      <c r="L162" s="4">
        <f t="shared" si="59"/>
        <v>1.008407275261078</v>
      </c>
      <c r="M162" s="4">
        <f t="shared" si="59"/>
        <v>1.0147388736559151</v>
      </c>
      <c r="N162" s="4">
        <f t="shared" si="59"/>
        <v>1.0211243037453954</v>
      </c>
      <c r="O162" s="4">
        <f t="shared" si="59"/>
        <v>1.0314338853973908</v>
      </c>
      <c r="P162" s="4">
        <f t="shared" si="59"/>
        <v>1.0418824762630834</v>
      </c>
      <c r="Q162" s="4">
        <f t="shared" si="59"/>
        <v>1.0524541235182028</v>
      </c>
      <c r="R162" s="4">
        <f t="shared" si="59"/>
        <v>1.0631648974571846</v>
      </c>
      <c r="S162" s="4">
        <f t="shared" si="59"/>
        <v>1.0740056127277455</v>
      </c>
      <c r="T162" s="4">
        <f t="shared" si="59"/>
        <v>1.0849864375982179</v>
      </c>
      <c r="U162" s="4">
        <f t="shared" si="59"/>
        <v>1.09610791516414</v>
      </c>
      <c r="V162" s="4">
        <f t="shared" si="59"/>
        <v>1.1073614179912852</v>
      </c>
      <c r="W162" s="4">
        <f t="shared" si="59"/>
        <v>1.1187661241402509</v>
      </c>
      <c r="X162" s="4">
        <f t="shared" si="59"/>
        <v>1.1303100583190826</v>
      </c>
      <c r="Y162" s="4">
        <f t="shared" si="59"/>
        <v>1.1419990754564253</v>
      </c>
      <c r="Z162" s="4">
        <f t="shared" si="59"/>
        <v>1.1538382118430235</v>
      </c>
      <c r="AA162" s="4">
        <f t="shared" si="59"/>
        <v>1.1658228793839385</v>
      </c>
      <c r="AB162" s="4">
        <f t="shared" si="59"/>
        <v>1.1779605760262086</v>
      </c>
      <c r="AC162" s="4">
        <f t="shared" si="59"/>
        <v>1.1902555306498925</v>
      </c>
      <c r="AD162" s="4">
        <f t="shared" si="59"/>
        <v>1.2026965950926041</v>
      </c>
      <c r="AE162" s="4">
        <f t="shared" si="59"/>
        <v>1.2153116015330596</v>
      </c>
      <c r="AF162" s="4">
        <f t="shared" si="59"/>
        <v>1.2280902452523037</v>
      </c>
      <c r="AG162" s="4">
        <f t="shared" si="59"/>
        <v>1.2511964291340831</v>
      </c>
      <c r="AH162" s="4">
        <f t="shared" si="59"/>
        <v>1.2748576664039604</v>
      </c>
      <c r="AI162" s="4">
        <f t="shared" si="59"/>
        <v>1.2990731237231614</v>
      </c>
      <c r="AJ162" s="4">
        <f t="shared" si="59"/>
        <v>1.3238525532032668</v>
      </c>
      <c r="AK162" s="4">
        <f t="shared" ref="AK162:BL162" si="60">AK142-AK88</f>
        <v>1.3492245933964853</v>
      </c>
      <c r="AL162" s="4">
        <f t="shared" si="60"/>
        <v>1.3752092516629659</v>
      </c>
      <c r="AM162" s="4">
        <f t="shared" si="60"/>
        <v>1.4017989148992172</v>
      </c>
      <c r="AN162" s="4">
        <f t="shared" si="60"/>
        <v>1.4290136493584953</v>
      </c>
      <c r="AO162" s="4">
        <f t="shared" si="60"/>
        <v>1.4568901087343988</v>
      </c>
      <c r="AP162" s="4">
        <f t="shared" si="60"/>
        <v>1.4854094742893551</v>
      </c>
      <c r="AQ162" s="4">
        <f t="shared" si="60"/>
        <v>1.5133593191853265</v>
      </c>
      <c r="AR162" s="4">
        <f t="shared" si="60"/>
        <v>1.5419556275077753</v>
      </c>
      <c r="AS162" s="4">
        <f t="shared" si="60"/>
        <v>0</v>
      </c>
      <c r="AT162" s="4">
        <f t="shared" si="60"/>
        <v>0</v>
      </c>
      <c r="AU162" s="4">
        <f t="shared" si="60"/>
        <v>0</v>
      </c>
      <c r="AV162" s="4">
        <f t="shared" si="60"/>
        <v>0</v>
      </c>
      <c r="AW162" s="4">
        <f t="shared" si="60"/>
        <v>0</v>
      </c>
      <c r="AX162" s="4">
        <f t="shared" si="60"/>
        <v>0</v>
      </c>
      <c r="AY162" s="4">
        <f t="shared" si="60"/>
        <v>0</v>
      </c>
      <c r="AZ162" s="4">
        <f t="shared" si="60"/>
        <v>0</v>
      </c>
      <c r="BA162" s="4">
        <f t="shared" si="60"/>
        <v>0</v>
      </c>
      <c r="BB162" s="4">
        <f t="shared" si="60"/>
        <v>0</v>
      </c>
      <c r="BC162" s="4">
        <f t="shared" si="60"/>
        <v>0</v>
      </c>
      <c r="BD162" s="4">
        <f t="shared" si="60"/>
        <v>0</v>
      </c>
      <c r="BE162" s="4">
        <f t="shared" si="60"/>
        <v>0</v>
      </c>
      <c r="BF162" s="4">
        <f t="shared" si="60"/>
        <v>0</v>
      </c>
      <c r="BG162" s="4">
        <f t="shared" si="60"/>
        <v>0</v>
      </c>
      <c r="BH162" s="4">
        <f t="shared" si="60"/>
        <v>0</v>
      </c>
      <c r="BI162" s="4">
        <f t="shared" si="60"/>
        <v>0</v>
      </c>
      <c r="BJ162" s="4">
        <f t="shared" si="60"/>
        <v>0</v>
      </c>
      <c r="BK162" s="4">
        <f t="shared" si="60"/>
        <v>0</v>
      </c>
      <c r="BL162" s="4">
        <f t="shared" si="60"/>
        <v>0</v>
      </c>
    </row>
    <row r="163" spans="1:64" x14ac:dyDescent="0.35">
      <c r="A163" s="1"/>
      <c r="C163" s="2" t="s">
        <v>418</v>
      </c>
      <c r="E163" s="4">
        <f t="shared" ref="E163:BL163" ca="1" si="61">E143-E120</f>
        <v>-1.1931991577147638E-3</v>
      </c>
      <c r="F163" s="4">
        <f t="shared" si="61"/>
        <v>1.0205897092819214</v>
      </c>
      <c r="G163" s="4">
        <f t="shared" si="61"/>
        <v>1.0193692445755005</v>
      </c>
      <c r="H163" s="4">
        <f t="shared" si="61"/>
        <v>1.0181394815444946</v>
      </c>
      <c r="I163" s="4">
        <f t="shared" si="61"/>
        <v>1.0207159519195557</v>
      </c>
      <c r="J163" s="4">
        <f t="shared" si="61"/>
        <v>1.0271241664886475</v>
      </c>
      <c r="K163" s="4">
        <f t="shared" si="61"/>
        <v>1.0335763692855835</v>
      </c>
      <c r="L163" s="4">
        <f t="shared" si="61"/>
        <v>1.040074348449707</v>
      </c>
      <c r="M163" s="4">
        <f t="shared" si="61"/>
        <v>1.0486035346984863</v>
      </c>
      <c r="N163" s="4">
        <f t="shared" si="61"/>
        <v>1.0592074394226074</v>
      </c>
      <c r="O163" s="4">
        <f t="shared" si="61"/>
        <v>1.0699450969696045</v>
      </c>
      <c r="P163" s="4">
        <f t="shared" si="61"/>
        <v>1.0808181762695313</v>
      </c>
      <c r="Q163" s="4">
        <f t="shared" si="61"/>
        <v>1.091828465461731</v>
      </c>
      <c r="R163" s="4">
        <f t="shared" si="61"/>
        <v>1.1029773950576782</v>
      </c>
      <c r="S163" s="4">
        <f t="shared" si="61"/>
        <v>1.1142672300338745</v>
      </c>
      <c r="T163" s="4">
        <f t="shared" si="61"/>
        <v>1.1256992816925049</v>
      </c>
      <c r="U163" s="4">
        <f t="shared" si="61"/>
        <v>1.1372755765914917</v>
      </c>
      <c r="V163" s="4">
        <f t="shared" si="61"/>
        <v>1.1489977836608887</v>
      </c>
      <c r="W163" s="4">
        <f t="shared" si="61"/>
        <v>1.1608679294586182</v>
      </c>
      <c r="X163" s="4">
        <f t="shared" si="61"/>
        <v>1.1728878021240234</v>
      </c>
      <c r="Y163" s="4">
        <f t="shared" si="61"/>
        <v>1.1850591897964478</v>
      </c>
      <c r="Z163" s="4">
        <f t="shared" si="61"/>
        <v>1.197384238243103</v>
      </c>
      <c r="AA163" s="4">
        <f t="shared" si="61"/>
        <v>1.209864616394043</v>
      </c>
      <c r="AB163" s="4">
        <f t="shared" si="61"/>
        <v>1.2225024700164795</v>
      </c>
      <c r="AC163" s="4">
        <f t="shared" si="61"/>
        <v>1.2353037595748901</v>
      </c>
      <c r="AD163" s="4">
        <f t="shared" si="61"/>
        <v>1.2482752799987793</v>
      </c>
      <c r="AE163" s="4">
        <f t="shared" si="61"/>
        <v>1.2666095495223999</v>
      </c>
      <c r="AF163" s="4">
        <f t="shared" si="61"/>
        <v>1.2905001640319824</v>
      </c>
      <c r="AG163" s="4">
        <f t="shared" si="61"/>
        <v>1.3149557113647461</v>
      </c>
      <c r="AH163" s="4">
        <f t="shared" si="61"/>
        <v>1.3399896621704102</v>
      </c>
      <c r="AI163" s="4">
        <f t="shared" si="61"/>
        <v>1.3656159639358521</v>
      </c>
      <c r="AJ163" s="4">
        <f t="shared" si="61"/>
        <v>1.3918493986129761</v>
      </c>
      <c r="AK163" s="4">
        <f t="shared" si="61"/>
        <v>1.4187043905258179</v>
      </c>
      <c r="AL163" s="4">
        <f t="shared" si="61"/>
        <v>1.4461959600448608</v>
      </c>
      <c r="AM163" s="4">
        <f t="shared" si="61"/>
        <v>1.4743396043777466</v>
      </c>
      <c r="AN163" s="4">
        <f t="shared" si="61"/>
        <v>1.5031499862670898</v>
      </c>
      <c r="AO163" s="4">
        <f t="shared" si="61"/>
        <v>1.531999945640564</v>
      </c>
      <c r="AP163" s="4">
        <f t="shared" si="61"/>
        <v>1.5608862638473511</v>
      </c>
      <c r="AQ163" s="4">
        <f t="shared" si="61"/>
        <v>0.78774815797805786</v>
      </c>
      <c r="AR163" s="4">
        <f t="shared" si="61"/>
        <v>0</v>
      </c>
      <c r="AS163" s="4">
        <f t="shared" si="61"/>
        <v>0</v>
      </c>
      <c r="AT163" s="4">
        <f t="shared" si="61"/>
        <v>0</v>
      </c>
      <c r="AU163" s="4">
        <f t="shared" si="61"/>
        <v>0</v>
      </c>
      <c r="AV163" s="4">
        <f t="shared" si="61"/>
        <v>0</v>
      </c>
      <c r="AW163" s="4">
        <f t="shared" si="61"/>
        <v>0</v>
      </c>
      <c r="AX163" s="4">
        <f t="shared" si="61"/>
        <v>0</v>
      </c>
      <c r="AY163" s="4">
        <f t="shared" si="61"/>
        <v>0</v>
      </c>
      <c r="AZ163" s="4">
        <f t="shared" si="61"/>
        <v>0</v>
      </c>
      <c r="BA163" s="4">
        <f t="shared" si="61"/>
        <v>0</v>
      </c>
      <c r="BB163" s="4">
        <f t="shared" si="61"/>
        <v>0</v>
      </c>
      <c r="BC163" s="4">
        <f t="shared" si="61"/>
        <v>0</v>
      </c>
      <c r="BD163" s="4">
        <f t="shared" si="61"/>
        <v>0</v>
      </c>
      <c r="BE163" s="4">
        <f t="shared" si="61"/>
        <v>0</v>
      </c>
      <c r="BF163" s="4">
        <f t="shared" si="61"/>
        <v>0</v>
      </c>
      <c r="BG163" s="4">
        <f t="shared" si="61"/>
        <v>0</v>
      </c>
      <c r="BH163" s="4">
        <f t="shared" si="61"/>
        <v>0</v>
      </c>
      <c r="BI163" s="4">
        <f t="shared" si="61"/>
        <v>0</v>
      </c>
      <c r="BJ163" s="4">
        <f t="shared" si="61"/>
        <v>0</v>
      </c>
      <c r="BK163" s="4">
        <f t="shared" si="61"/>
        <v>0</v>
      </c>
      <c r="BL163" s="4">
        <f t="shared" si="61"/>
        <v>0</v>
      </c>
    </row>
    <row r="164" spans="1:64" x14ac:dyDescent="0.35">
      <c r="A164" s="1"/>
      <c r="C164" s="2" t="s">
        <v>419</v>
      </c>
      <c r="E164" s="4">
        <f ca="1">E136-E146</f>
        <v>4.2318304022463948E-3</v>
      </c>
      <c r="F164" s="4">
        <f t="shared" ref="F164:BL164" ca="1" si="62">F136-F146</f>
        <v>8.262129895353354E-5</v>
      </c>
      <c r="G164" s="4">
        <f t="shared" ca="1" si="62"/>
        <v>1.6737988071202636E-4</v>
      </c>
      <c r="H164" s="4">
        <f t="shared" ca="1" si="62"/>
        <v>2.5318476854785388E-4</v>
      </c>
      <c r="I164" s="4">
        <f t="shared" ca="1" si="62"/>
        <v>3.4065613966749453E-4</v>
      </c>
      <c r="J164" s="4">
        <f t="shared" ca="1" si="62"/>
        <v>4.460238748213996E-4</v>
      </c>
      <c r="K164" s="4">
        <f t="shared" ca="1" si="62"/>
        <v>5.8359709135835658E-4</v>
      </c>
      <c r="L164" s="4">
        <f t="shared" ca="1" si="62"/>
        <v>7.2480335922087136E-4</v>
      </c>
      <c r="M164" s="4">
        <f t="shared" ca="1" si="62"/>
        <v>8.6822702239253147E-4</v>
      </c>
      <c r="N164" s="4">
        <f t="shared" ca="1" si="62"/>
        <v>1.023731660419358E-3</v>
      </c>
      <c r="O164" s="4">
        <f t="shared" ca="1" si="62"/>
        <v>1.1997582025706777E-3</v>
      </c>
      <c r="P164" s="4">
        <f t="shared" ca="1" si="62"/>
        <v>1.3778127451420374E-3</v>
      </c>
      <c r="Q164" s="4">
        <f t="shared" ca="1" si="62"/>
        <v>1.5624547081873885E-3</v>
      </c>
      <c r="R164" s="4">
        <f t="shared" ca="1" si="62"/>
        <v>1.7520225463982797E-3</v>
      </c>
      <c r="S164" s="4">
        <f t="shared" ca="1" si="62"/>
        <v>1.9450605100068685E-3</v>
      </c>
      <c r="T164" s="4">
        <f t="shared" ca="1" si="62"/>
        <v>2.1428290381528825E-3</v>
      </c>
      <c r="U164" s="4">
        <f t="shared" ca="1" si="62"/>
        <v>2.3460852385568387E-3</v>
      </c>
      <c r="V164" s="4">
        <f t="shared" ca="1" si="62"/>
        <v>2.5545335927681379E-3</v>
      </c>
      <c r="W164" s="4">
        <f t="shared" ca="1" si="62"/>
        <v>2.7686366554675601E-3</v>
      </c>
      <c r="X164" s="4">
        <f t="shared" ca="1" si="62"/>
        <v>2.9860773447545341E-3</v>
      </c>
      <c r="Y164" s="4">
        <f t="shared" ca="1" si="62"/>
        <v>3.2094246050107245E-3</v>
      </c>
      <c r="Z164" s="4">
        <f t="shared" ca="1" si="62"/>
        <v>3.4385270206023222E-3</v>
      </c>
      <c r="AA164" s="4">
        <f t="shared" ca="1" si="62"/>
        <v>3.6727610007574185E-3</v>
      </c>
      <c r="AB164" s="4">
        <f t="shared" ca="1" si="62"/>
        <v>3.9127848340108073E-3</v>
      </c>
      <c r="AC164" s="4">
        <f t="shared" ca="1" si="62"/>
        <v>4.1597244744195905E-3</v>
      </c>
      <c r="AD164" s="4">
        <f t="shared" ca="1" si="62"/>
        <v>4.4104085582254982E-3</v>
      </c>
      <c r="AE164" s="4">
        <f t="shared" ca="1" si="62"/>
        <v>4.6686471331156554E-3</v>
      </c>
      <c r="AF164" s="4">
        <f t="shared" ca="1" si="62"/>
        <v>4.952862543255776E-3</v>
      </c>
      <c r="AG164" s="4">
        <f t="shared" ca="1" si="62"/>
        <v>5.2888606116070491E-3</v>
      </c>
      <c r="AH164" s="4">
        <f t="shared" ca="1" si="62"/>
        <v>5.6388137964020757E-3</v>
      </c>
      <c r="AI164" s="4">
        <f t="shared" ca="1" si="62"/>
        <v>5.9942947149735915E-3</v>
      </c>
      <c r="AJ164" s="4">
        <f t="shared" ca="1" si="62"/>
        <v>6.3639976256908426E-3</v>
      </c>
      <c r="AK164" s="4">
        <f t="shared" ca="1" si="62"/>
        <v>6.7446134063615659E-3</v>
      </c>
      <c r="AL164" s="4">
        <f t="shared" ca="1" si="62"/>
        <v>7.1406506383695501E-3</v>
      </c>
      <c r="AM164" s="4">
        <f t="shared" ca="1" si="62"/>
        <v>7.5426691885098762E-3</v>
      </c>
      <c r="AN164" s="4">
        <f t="shared" ca="1" si="62"/>
        <v>7.9630431730279838E-3</v>
      </c>
      <c r="AO164" s="4">
        <f t="shared" ca="1" si="62"/>
        <v>8.3915456201708594E-3</v>
      </c>
      <c r="AP164" s="4">
        <f t="shared" ca="1" si="62"/>
        <v>8.834518391545032E-3</v>
      </c>
      <c r="AQ164" s="4">
        <f t="shared" ca="1" si="62"/>
        <v>9.2824741456567494E-3</v>
      </c>
      <c r="AR164" s="4">
        <f t="shared" ca="1" si="62"/>
        <v>6.3747691863724754E-3</v>
      </c>
      <c r="AS164" s="4">
        <f t="shared" ca="1" si="62"/>
        <v>66.70883368939063</v>
      </c>
      <c r="AT164" s="4">
        <f t="shared" ca="1" si="62"/>
        <v>69.137424090341199</v>
      </c>
      <c r="AU164" s="4">
        <f t="shared" ca="1" si="62"/>
        <v>71.626729251315538</v>
      </c>
      <c r="AV164" s="4">
        <f t="shared" ca="1" si="62"/>
        <v>74.178267041314228</v>
      </c>
      <c r="AW164" s="4">
        <f t="shared" ca="1" si="62"/>
        <v>76.793593276062907</v>
      </c>
      <c r="AX164" s="4">
        <f t="shared" ca="1" si="62"/>
        <v>79.474302666680288</v>
      </c>
      <c r="AY164" s="4">
        <f t="shared" ca="1" si="62"/>
        <v>82.222029792063111</v>
      </c>
      <c r="AZ164" s="4">
        <f t="shared" ca="1" si="62"/>
        <v>85.038450095580501</v>
      </c>
      <c r="BA164" s="4">
        <f t="shared" ca="1" si="62"/>
        <v>87.925280906685828</v>
      </c>
      <c r="BB164" s="4">
        <f t="shared" ca="1" si="62"/>
        <v>90.884282488068777</v>
      </c>
      <c r="BC164" s="4">
        <f t="shared" ca="1" si="62"/>
        <v>93.917259108986315</v>
      </c>
      <c r="BD164" s="4">
        <f t="shared" ca="1" si="62"/>
        <v>97.026060145426783</v>
      </c>
      <c r="BE164" s="4">
        <f t="shared" ca="1" si="62"/>
        <v>100.21258120777827</v>
      </c>
      <c r="BF164" s="4">
        <f t="shared" ca="1" si="62"/>
        <v>103.47876529668854</v>
      </c>
      <c r="BG164" s="4">
        <f t="shared" ca="1" si="62"/>
        <v>106.82660398782156</v>
      </c>
      <c r="BH164" s="4">
        <f t="shared" ca="1" si="62"/>
        <v>110.25813864623291</v>
      </c>
      <c r="BI164" s="4">
        <f t="shared" ca="1" si="62"/>
        <v>113.77546167110454</v>
      </c>
      <c r="BJ164" s="4">
        <f t="shared" ca="1" si="62"/>
        <v>117.38071777159796</v>
      </c>
      <c r="BK164" s="4">
        <f t="shared" ca="1" si="62"/>
        <v>121.07610527460371</v>
      </c>
      <c r="BL164" s="4">
        <f t="shared" ca="1" si="62"/>
        <v>124.8638774651846</v>
      </c>
    </row>
    <row r="165" spans="1:64" x14ac:dyDescent="0.35">
      <c r="A165" s="1"/>
      <c r="C165" s="2" t="s">
        <v>528</v>
      </c>
      <c r="E165" s="4">
        <f t="shared" ref="E165:AJ165" si="63">E150-E60</f>
        <v>0</v>
      </c>
      <c r="F165" s="4">
        <f t="shared" si="63"/>
        <v>0</v>
      </c>
      <c r="G165" s="4">
        <f t="shared" si="63"/>
        <v>0</v>
      </c>
      <c r="H165" s="4">
        <f t="shared" si="63"/>
        <v>0</v>
      </c>
      <c r="I165" s="4">
        <f t="shared" si="63"/>
        <v>0</v>
      </c>
      <c r="J165" s="4">
        <f t="shared" si="63"/>
        <v>0</v>
      </c>
      <c r="K165" s="4">
        <f t="shared" si="63"/>
        <v>0</v>
      </c>
      <c r="L165" s="4">
        <f t="shared" si="63"/>
        <v>0</v>
      </c>
      <c r="M165" s="4">
        <f t="shared" si="63"/>
        <v>0</v>
      </c>
      <c r="N165" s="4">
        <f t="shared" si="63"/>
        <v>0</v>
      </c>
      <c r="O165" s="4">
        <f t="shared" si="63"/>
        <v>0</v>
      </c>
      <c r="P165" s="4">
        <f t="shared" si="63"/>
        <v>0</v>
      </c>
      <c r="Q165" s="4">
        <f t="shared" si="63"/>
        <v>0</v>
      </c>
      <c r="R165" s="4">
        <f t="shared" si="63"/>
        <v>0</v>
      </c>
      <c r="S165" s="4">
        <f t="shared" si="63"/>
        <v>0</v>
      </c>
      <c r="T165" s="4">
        <f t="shared" si="63"/>
        <v>0</v>
      </c>
      <c r="U165" s="4">
        <f t="shared" si="63"/>
        <v>0</v>
      </c>
      <c r="V165" s="4">
        <f t="shared" si="63"/>
        <v>0</v>
      </c>
      <c r="W165" s="4">
        <f t="shared" si="63"/>
        <v>0</v>
      </c>
      <c r="X165" s="4">
        <f t="shared" si="63"/>
        <v>0</v>
      </c>
      <c r="Y165" s="4">
        <f t="shared" si="63"/>
        <v>0</v>
      </c>
      <c r="Z165" s="4">
        <f t="shared" si="63"/>
        <v>0</v>
      </c>
      <c r="AA165" s="4">
        <f t="shared" si="63"/>
        <v>0</v>
      </c>
      <c r="AB165" s="4">
        <f t="shared" si="63"/>
        <v>0</v>
      </c>
      <c r="AC165" s="4">
        <f t="shared" si="63"/>
        <v>0</v>
      </c>
      <c r="AD165" s="4">
        <f t="shared" si="63"/>
        <v>0</v>
      </c>
      <c r="AE165" s="4">
        <f t="shared" si="63"/>
        <v>0</v>
      </c>
      <c r="AF165" s="4">
        <f t="shared" si="63"/>
        <v>0</v>
      </c>
      <c r="AG165" s="4">
        <f t="shared" si="63"/>
        <v>0</v>
      </c>
      <c r="AH165" s="4">
        <f t="shared" si="63"/>
        <v>0</v>
      </c>
      <c r="AI165" s="4">
        <f t="shared" si="63"/>
        <v>0</v>
      </c>
      <c r="AJ165" s="4">
        <f t="shared" si="63"/>
        <v>0</v>
      </c>
      <c r="AK165" s="4">
        <f t="shared" ref="AK165:BL165" si="64">AK150-AK60</f>
        <v>0</v>
      </c>
      <c r="AL165" s="4">
        <f t="shared" si="64"/>
        <v>0</v>
      </c>
      <c r="AM165" s="4">
        <f t="shared" si="64"/>
        <v>0</v>
      </c>
      <c r="AN165" s="4">
        <f t="shared" si="64"/>
        <v>0</v>
      </c>
      <c r="AO165" s="4">
        <f t="shared" si="64"/>
        <v>0</v>
      </c>
      <c r="AP165" s="4">
        <f t="shared" si="64"/>
        <v>0</v>
      </c>
      <c r="AQ165" s="4">
        <f t="shared" si="64"/>
        <v>0</v>
      </c>
      <c r="AR165" s="4">
        <f t="shared" si="64"/>
        <v>0</v>
      </c>
      <c r="AS165" s="4">
        <f t="shared" si="64"/>
        <v>0</v>
      </c>
      <c r="AT165" s="4">
        <f t="shared" si="64"/>
        <v>0</v>
      </c>
      <c r="AU165" s="4">
        <f t="shared" si="64"/>
        <v>0</v>
      </c>
      <c r="AV165" s="4">
        <f t="shared" si="64"/>
        <v>0</v>
      </c>
      <c r="AW165" s="4">
        <f t="shared" si="64"/>
        <v>0</v>
      </c>
      <c r="AX165" s="4">
        <f t="shared" si="64"/>
        <v>0</v>
      </c>
      <c r="AY165" s="4">
        <f t="shared" si="64"/>
        <v>0</v>
      </c>
      <c r="AZ165" s="4">
        <f t="shared" si="64"/>
        <v>0</v>
      </c>
      <c r="BA165" s="4">
        <f t="shared" si="64"/>
        <v>0</v>
      </c>
      <c r="BB165" s="4">
        <f t="shared" si="64"/>
        <v>0</v>
      </c>
      <c r="BC165" s="4">
        <f t="shared" si="64"/>
        <v>0</v>
      </c>
      <c r="BD165" s="4">
        <f t="shared" si="64"/>
        <v>0</v>
      </c>
      <c r="BE165" s="4">
        <f t="shared" si="64"/>
        <v>0</v>
      </c>
      <c r="BF165" s="4">
        <f t="shared" si="64"/>
        <v>0</v>
      </c>
      <c r="BG165" s="4">
        <f t="shared" si="64"/>
        <v>0</v>
      </c>
      <c r="BH165" s="4">
        <f t="shared" si="64"/>
        <v>0</v>
      </c>
      <c r="BI165" s="4">
        <f t="shared" si="64"/>
        <v>0</v>
      </c>
      <c r="BJ165" s="4">
        <f t="shared" si="64"/>
        <v>0</v>
      </c>
      <c r="BK165" s="4">
        <f t="shared" si="64"/>
        <v>0</v>
      </c>
      <c r="BL165" s="4">
        <f t="shared" si="64"/>
        <v>0</v>
      </c>
    </row>
    <row r="166" spans="1:64" x14ac:dyDescent="0.35">
      <c r="A166" s="1"/>
      <c r="C166" s="2" t="s">
        <v>529</v>
      </c>
      <c r="E166" s="4">
        <f>E151-E114</f>
        <v>0</v>
      </c>
      <c r="F166" s="4">
        <f t="shared" ref="F166:BL166" si="65">F151-F114</f>
        <v>0</v>
      </c>
      <c r="G166" s="4">
        <f t="shared" si="65"/>
        <v>0</v>
      </c>
      <c r="H166" s="4">
        <f t="shared" si="65"/>
        <v>0</v>
      </c>
      <c r="I166" s="4">
        <f t="shared" si="65"/>
        <v>0</v>
      </c>
      <c r="J166" s="4">
        <f t="shared" si="65"/>
        <v>0</v>
      </c>
      <c r="K166" s="4">
        <f t="shared" si="65"/>
        <v>0</v>
      </c>
      <c r="L166" s="4">
        <f t="shared" si="65"/>
        <v>0</v>
      </c>
      <c r="M166" s="4">
        <f t="shared" si="65"/>
        <v>0</v>
      </c>
      <c r="N166" s="4">
        <f t="shared" si="65"/>
        <v>0</v>
      </c>
      <c r="O166" s="4">
        <f t="shared" si="65"/>
        <v>0</v>
      </c>
      <c r="P166" s="4">
        <f t="shared" si="65"/>
        <v>0</v>
      </c>
      <c r="Q166" s="4">
        <f t="shared" si="65"/>
        <v>0</v>
      </c>
      <c r="R166" s="4">
        <f t="shared" si="65"/>
        <v>0</v>
      </c>
      <c r="S166" s="4">
        <f t="shared" si="65"/>
        <v>0</v>
      </c>
      <c r="T166" s="4">
        <f t="shared" si="65"/>
        <v>0</v>
      </c>
      <c r="U166" s="4">
        <f t="shared" si="65"/>
        <v>0</v>
      </c>
      <c r="V166" s="4">
        <f t="shared" si="65"/>
        <v>0</v>
      </c>
      <c r="W166" s="4">
        <f t="shared" si="65"/>
        <v>0</v>
      </c>
      <c r="X166" s="4">
        <f t="shared" si="65"/>
        <v>0</v>
      </c>
      <c r="Y166" s="4">
        <f t="shared" si="65"/>
        <v>0</v>
      </c>
      <c r="Z166" s="4">
        <f t="shared" si="65"/>
        <v>0</v>
      </c>
      <c r="AA166" s="4">
        <f t="shared" si="65"/>
        <v>0</v>
      </c>
      <c r="AB166" s="4">
        <f t="shared" si="65"/>
        <v>0</v>
      </c>
      <c r="AC166" s="4">
        <f t="shared" si="65"/>
        <v>0</v>
      </c>
      <c r="AD166" s="4">
        <f t="shared" si="65"/>
        <v>0</v>
      </c>
      <c r="AE166" s="4">
        <f t="shared" si="65"/>
        <v>0</v>
      </c>
      <c r="AF166" s="4">
        <f t="shared" si="65"/>
        <v>0</v>
      </c>
      <c r="AG166" s="4">
        <f t="shared" si="65"/>
        <v>0</v>
      </c>
      <c r="AH166" s="4">
        <f t="shared" si="65"/>
        <v>0</v>
      </c>
      <c r="AI166" s="4">
        <f t="shared" si="65"/>
        <v>0</v>
      </c>
      <c r="AJ166" s="4">
        <f t="shared" si="65"/>
        <v>0</v>
      </c>
      <c r="AK166" s="4">
        <f t="shared" si="65"/>
        <v>0</v>
      </c>
      <c r="AL166" s="4">
        <f t="shared" si="65"/>
        <v>0</v>
      </c>
      <c r="AM166" s="4">
        <f t="shared" si="65"/>
        <v>0</v>
      </c>
      <c r="AN166" s="4">
        <f t="shared" si="65"/>
        <v>0</v>
      </c>
      <c r="AO166" s="4">
        <f t="shared" si="65"/>
        <v>0</v>
      </c>
      <c r="AP166" s="4">
        <f t="shared" si="65"/>
        <v>0</v>
      </c>
      <c r="AQ166" s="4">
        <f t="shared" si="65"/>
        <v>0</v>
      </c>
      <c r="AR166" s="4">
        <f t="shared" si="65"/>
        <v>0</v>
      </c>
      <c r="AS166" s="4">
        <f t="shared" si="65"/>
        <v>0</v>
      </c>
      <c r="AT166" s="4">
        <f t="shared" si="65"/>
        <v>0</v>
      </c>
      <c r="AU166" s="4">
        <f t="shared" si="65"/>
        <v>0</v>
      </c>
      <c r="AV166" s="4">
        <f t="shared" si="65"/>
        <v>0</v>
      </c>
      <c r="AW166" s="4">
        <f t="shared" si="65"/>
        <v>0</v>
      </c>
      <c r="AX166" s="4">
        <f t="shared" si="65"/>
        <v>0</v>
      </c>
      <c r="AY166" s="4">
        <f t="shared" si="65"/>
        <v>0</v>
      </c>
      <c r="AZ166" s="4">
        <f t="shared" si="65"/>
        <v>0</v>
      </c>
      <c r="BA166" s="4">
        <f t="shared" si="65"/>
        <v>0</v>
      </c>
      <c r="BB166" s="4">
        <f t="shared" si="65"/>
        <v>0</v>
      </c>
      <c r="BC166" s="4">
        <f t="shared" si="65"/>
        <v>0</v>
      </c>
      <c r="BD166" s="4">
        <f t="shared" si="65"/>
        <v>0</v>
      </c>
      <c r="BE166" s="4">
        <f t="shared" si="65"/>
        <v>0</v>
      </c>
      <c r="BF166" s="4">
        <f t="shared" si="65"/>
        <v>0</v>
      </c>
      <c r="BG166" s="4">
        <f t="shared" si="65"/>
        <v>0</v>
      </c>
      <c r="BH166" s="4">
        <f t="shared" si="65"/>
        <v>0</v>
      </c>
      <c r="BI166" s="4">
        <f t="shared" si="65"/>
        <v>0</v>
      </c>
      <c r="BJ166" s="4">
        <f t="shared" si="65"/>
        <v>0</v>
      </c>
      <c r="BK166" s="4">
        <f t="shared" si="65"/>
        <v>0</v>
      </c>
      <c r="BL166" s="4">
        <f t="shared" si="65"/>
        <v>0</v>
      </c>
    </row>
    <row r="167" spans="1:64" x14ac:dyDescent="0.35">
      <c r="A167" s="1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  <c r="AA167" s="4"/>
      <c r="AB167" s="4"/>
      <c r="AC167" s="4"/>
      <c r="AD167" s="4"/>
      <c r="AE167" s="4"/>
      <c r="AF167" s="4"/>
      <c r="AG167" s="4"/>
      <c r="AH167" s="4"/>
      <c r="AI167" s="4"/>
      <c r="AJ167" s="4"/>
      <c r="AK167" s="4"/>
      <c r="AL167" s="4"/>
      <c r="AM167" s="4"/>
      <c r="AN167" s="4"/>
      <c r="AO167" s="4"/>
      <c r="AP167" s="4"/>
      <c r="AQ167" s="4"/>
      <c r="AR167" s="4"/>
      <c r="AS167" s="4"/>
      <c r="AT167" s="4"/>
      <c r="AU167" s="4"/>
      <c r="AV167" s="4"/>
      <c r="AW167" s="4"/>
      <c r="AX167" s="4"/>
      <c r="AY167" s="4"/>
      <c r="AZ167" s="4"/>
      <c r="BA167" s="4"/>
      <c r="BB167" s="4"/>
      <c r="BC167" s="4"/>
      <c r="BD167" s="4"/>
      <c r="BE167" s="4"/>
      <c r="BF167" s="4"/>
      <c r="BG167" s="4"/>
      <c r="BH167" s="4"/>
      <c r="BI167" s="4"/>
      <c r="BJ167" s="4"/>
      <c r="BK167" s="4"/>
      <c r="BL167" s="4"/>
    </row>
    <row r="168" spans="1:64" s="40" customFormat="1" x14ac:dyDescent="0.35">
      <c r="A168" s="40" t="s">
        <v>543</v>
      </c>
      <c r="H168" s="175"/>
      <c r="I168" s="175"/>
      <c r="J168" s="175"/>
      <c r="K168" s="175"/>
      <c r="L168" s="175"/>
      <c r="M168" s="175"/>
      <c r="N168" s="175"/>
      <c r="O168" s="175"/>
      <c r="P168" s="175"/>
      <c r="Q168" s="175"/>
      <c r="R168" s="175"/>
      <c r="S168" s="175"/>
      <c r="T168" s="175"/>
      <c r="U168" s="175"/>
      <c r="V168" s="175"/>
      <c r="W168" s="175"/>
      <c r="X168" s="175"/>
      <c r="Y168" s="175"/>
      <c r="Z168" s="175"/>
      <c r="AA168" s="175"/>
      <c r="AB168" s="175"/>
      <c r="AC168" s="175"/>
      <c r="AD168" s="175"/>
      <c r="AE168" s="175"/>
      <c r="AF168" s="175"/>
      <c r="AG168" s="175"/>
      <c r="AH168" s="175"/>
      <c r="AI168" s="175"/>
      <c r="AJ168" s="175"/>
      <c r="AK168" s="175"/>
      <c r="AL168" s="175"/>
      <c r="AM168" s="175"/>
      <c r="AN168" s="175"/>
      <c r="AO168" s="175"/>
      <c r="AP168" s="175"/>
      <c r="AQ168" s="175"/>
      <c r="AR168" s="175"/>
      <c r="AS168" s="175"/>
      <c r="AT168" s="175"/>
      <c r="AU168" s="175"/>
      <c r="AV168" s="175"/>
      <c r="AW168" s="175"/>
      <c r="AX168" s="175"/>
      <c r="AY168" s="175"/>
      <c r="AZ168" s="175"/>
      <c r="BA168" s="175"/>
      <c r="BB168" s="175"/>
      <c r="BC168" s="175"/>
      <c r="BD168" s="175"/>
      <c r="BE168" s="175"/>
      <c r="BF168" s="175"/>
      <c r="BG168" s="175"/>
      <c r="BH168" s="175"/>
      <c r="BI168" s="175"/>
      <c r="BJ168" s="175"/>
      <c r="BK168" s="175"/>
      <c r="BL168" s="175"/>
    </row>
    <row r="169" spans="1:64" ht="15" thickBot="1" x14ac:dyDescent="0.4">
      <c r="A169" s="1"/>
      <c r="B169" s="2" t="s">
        <v>453</v>
      </c>
    </row>
    <row r="170" spans="1:64" ht="15" thickBot="1" x14ac:dyDescent="0.4">
      <c r="A170" s="1"/>
      <c r="C170" s="2" t="s">
        <v>556</v>
      </c>
      <c r="D170" s="33">
        <f>I29</f>
        <v>0</v>
      </c>
      <c r="E170" s="4">
        <f t="shared" ref="E170:AJ170" si="66">E41*E48</f>
        <v>178.52958011627197</v>
      </c>
      <c r="F170" s="4">
        <f t="shared" si="66"/>
        <v>178.32275819778442</v>
      </c>
      <c r="G170" s="4">
        <f t="shared" si="66"/>
        <v>178.11332845687866</v>
      </c>
      <c r="H170" s="4">
        <f t="shared" si="66"/>
        <v>177.90125894546509</v>
      </c>
      <c r="I170" s="4">
        <f t="shared" si="66"/>
        <v>177.68758535385132</v>
      </c>
      <c r="J170" s="4">
        <f t="shared" si="66"/>
        <v>177.47229480743408</v>
      </c>
      <c r="K170" s="4">
        <f t="shared" si="66"/>
        <v>178.58630428314208</v>
      </c>
      <c r="L170" s="4">
        <f t="shared" si="66"/>
        <v>179.70769486999512</v>
      </c>
      <c r="M170" s="4">
        <f t="shared" si="66"/>
        <v>180.83704734283447</v>
      </c>
      <c r="N170" s="4">
        <f t="shared" si="66"/>
        <v>181.97440836153564</v>
      </c>
      <c r="O170" s="4">
        <f t="shared" si="66"/>
        <v>183.81230936568943</v>
      </c>
      <c r="P170" s="4">
        <f t="shared" si="66"/>
        <v>185.67338867856856</v>
      </c>
      <c r="Q170" s="4">
        <f t="shared" si="66"/>
        <v>187.55794316780469</v>
      </c>
      <c r="R170" s="4">
        <f t="shared" si="66"/>
        <v>189.46626704917031</v>
      </c>
      <c r="S170" s="4">
        <f t="shared" si="66"/>
        <v>191.39865870848755</v>
      </c>
      <c r="T170" s="4">
        <f t="shared" si="66"/>
        <v>193.35542275735824</v>
      </c>
      <c r="U170" s="4">
        <f t="shared" si="66"/>
        <v>195.33686732274813</v>
      </c>
      <c r="V170" s="4">
        <f t="shared" si="66"/>
        <v>197.34330324617881</v>
      </c>
      <c r="W170" s="4">
        <f t="shared" si="66"/>
        <v>199.3750461462356</v>
      </c>
      <c r="X170" s="4">
        <f t="shared" si="66"/>
        <v>201.43241276135697</v>
      </c>
      <c r="Y170" s="4">
        <f t="shared" si="66"/>
        <v>203.51572873907796</v>
      </c>
      <c r="Z170" s="4">
        <f t="shared" si="66"/>
        <v>205.62532116888238</v>
      </c>
      <c r="AA170" s="4">
        <f t="shared" si="66"/>
        <v>207.76152065423176</v>
      </c>
      <c r="AB170" s="4">
        <f t="shared" si="66"/>
        <v>209.92466338706461</v>
      </c>
      <c r="AC170" s="4">
        <f t="shared" si="66"/>
        <v>212.1150913174543</v>
      </c>
      <c r="AD170" s="4">
        <f t="shared" si="66"/>
        <v>214.33314660376578</v>
      </c>
      <c r="AE170" s="4">
        <f t="shared" si="66"/>
        <v>216.58063472384276</v>
      </c>
      <c r="AF170" s="4">
        <f t="shared" si="66"/>
        <v>218.85797698090644</v>
      </c>
      <c r="AG170" s="4">
        <f t="shared" si="66"/>
        <v>222.9762391304962</v>
      </c>
      <c r="AH170" s="4">
        <f t="shared" si="66"/>
        <v>227.19182562404791</v>
      </c>
      <c r="AI170" s="4">
        <f t="shared" si="66"/>
        <v>231.50708965225283</v>
      </c>
      <c r="AJ170" s="4">
        <f t="shared" si="66"/>
        <v>235.92445982950272</v>
      </c>
      <c r="AK170" s="4">
        <f t="shared" ref="AK170:BL170" si="67">AK41*AK48</f>
        <v>240.4464121341087</v>
      </c>
      <c r="AL170" s="4">
        <f t="shared" si="67"/>
        <v>245.07549150102949</v>
      </c>
      <c r="AM170" s="4">
        <f t="shared" si="67"/>
        <v>249.81429151591118</v>
      </c>
      <c r="AN170" s="4">
        <f t="shared" si="67"/>
        <v>254.66549139414099</v>
      </c>
      <c r="AO170" s="4">
        <f t="shared" si="67"/>
        <v>259.63163362665682</v>
      </c>
      <c r="AP170" s="4">
        <f t="shared" si="67"/>
        <v>264.71551967453757</v>
      </c>
      <c r="AQ170" s="4">
        <f t="shared" si="67"/>
        <v>269.69542796821986</v>
      </c>
      <c r="AR170" s="4">
        <f t="shared" si="67"/>
        <v>274.791944984564</v>
      </c>
      <c r="AS170" s="4">
        <f t="shared" si="67"/>
        <v>0</v>
      </c>
      <c r="AT170" s="4">
        <f t="shared" si="67"/>
        <v>0</v>
      </c>
      <c r="AU170" s="4">
        <f t="shared" si="67"/>
        <v>0</v>
      </c>
      <c r="AV170" s="4">
        <f t="shared" si="67"/>
        <v>0</v>
      </c>
      <c r="AW170" s="4">
        <f t="shared" si="67"/>
        <v>0</v>
      </c>
      <c r="AX170" s="4">
        <f t="shared" si="67"/>
        <v>0</v>
      </c>
      <c r="AY170" s="4">
        <f t="shared" si="67"/>
        <v>0</v>
      </c>
      <c r="AZ170" s="4">
        <f t="shared" si="67"/>
        <v>0</v>
      </c>
      <c r="BA170" s="4">
        <f t="shared" si="67"/>
        <v>0</v>
      </c>
      <c r="BB170" s="4">
        <f t="shared" si="67"/>
        <v>0</v>
      </c>
      <c r="BC170" s="4">
        <f t="shared" si="67"/>
        <v>0</v>
      </c>
      <c r="BD170" s="4">
        <f t="shared" si="67"/>
        <v>0</v>
      </c>
      <c r="BE170" s="4">
        <f t="shared" si="67"/>
        <v>0</v>
      </c>
      <c r="BF170" s="4">
        <f t="shared" si="67"/>
        <v>0</v>
      </c>
      <c r="BG170" s="4">
        <f t="shared" si="67"/>
        <v>0</v>
      </c>
      <c r="BH170" s="4">
        <f t="shared" si="67"/>
        <v>0</v>
      </c>
      <c r="BI170" s="4">
        <f t="shared" si="67"/>
        <v>0</v>
      </c>
      <c r="BJ170" s="4">
        <f t="shared" si="67"/>
        <v>0</v>
      </c>
      <c r="BK170" s="4">
        <f t="shared" si="67"/>
        <v>0</v>
      </c>
      <c r="BL170" s="4">
        <f t="shared" si="67"/>
        <v>0</v>
      </c>
    </row>
    <row r="171" spans="1:64" x14ac:dyDescent="0.35">
      <c r="A171" s="1"/>
      <c r="C171" s="2" t="s">
        <v>525</v>
      </c>
      <c r="D171" s="12"/>
      <c r="E171" s="4">
        <f t="shared" ref="E171:AJ171" si="68">-E60</f>
        <v>0</v>
      </c>
      <c r="F171" s="4">
        <f t="shared" si="68"/>
        <v>0</v>
      </c>
      <c r="G171" s="4">
        <f t="shared" si="68"/>
        <v>0</v>
      </c>
      <c r="H171" s="4">
        <f t="shared" si="68"/>
        <v>0</v>
      </c>
      <c r="I171" s="4">
        <f t="shared" si="68"/>
        <v>0</v>
      </c>
      <c r="J171" s="4">
        <f t="shared" si="68"/>
        <v>0</v>
      </c>
      <c r="K171" s="4">
        <f t="shared" si="68"/>
        <v>0</v>
      </c>
      <c r="L171" s="4">
        <f t="shared" si="68"/>
        <v>0</v>
      </c>
      <c r="M171" s="4">
        <f t="shared" si="68"/>
        <v>0</v>
      </c>
      <c r="N171" s="4">
        <f t="shared" si="68"/>
        <v>0</v>
      </c>
      <c r="O171" s="4">
        <f t="shared" si="68"/>
        <v>0</v>
      </c>
      <c r="P171" s="4">
        <f t="shared" si="68"/>
        <v>0</v>
      </c>
      <c r="Q171" s="4">
        <f t="shared" si="68"/>
        <v>0</v>
      </c>
      <c r="R171" s="4">
        <f t="shared" si="68"/>
        <v>0</v>
      </c>
      <c r="S171" s="4">
        <f t="shared" si="68"/>
        <v>0</v>
      </c>
      <c r="T171" s="4">
        <f t="shared" si="68"/>
        <v>0</v>
      </c>
      <c r="U171" s="4">
        <f t="shared" si="68"/>
        <v>0</v>
      </c>
      <c r="V171" s="4">
        <f t="shared" si="68"/>
        <v>0</v>
      </c>
      <c r="W171" s="4">
        <f t="shared" si="68"/>
        <v>0</v>
      </c>
      <c r="X171" s="4">
        <f t="shared" si="68"/>
        <v>0</v>
      </c>
      <c r="Y171" s="4">
        <f t="shared" si="68"/>
        <v>0</v>
      </c>
      <c r="Z171" s="4">
        <f t="shared" si="68"/>
        <v>0</v>
      </c>
      <c r="AA171" s="4">
        <f t="shared" si="68"/>
        <v>0</v>
      </c>
      <c r="AB171" s="4">
        <f t="shared" si="68"/>
        <v>0</v>
      </c>
      <c r="AC171" s="4">
        <f t="shared" si="68"/>
        <v>0</v>
      </c>
      <c r="AD171" s="4">
        <f t="shared" si="68"/>
        <v>0</v>
      </c>
      <c r="AE171" s="4">
        <f t="shared" si="68"/>
        <v>0</v>
      </c>
      <c r="AF171" s="4">
        <f t="shared" si="68"/>
        <v>0</v>
      </c>
      <c r="AG171" s="4">
        <f t="shared" si="68"/>
        <v>0</v>
      </c>
      <c r="AH171" s="4">
        <f t="shared" si="68"/>
        <v>0</v>
      </c>
      <c r="AI171" s="4">
        <f t="shared" si="68"/>
        <v>0</v>
      </c>
      <c r="AJ171" s="4">
        <f t="shared" si="68"/>
        <v>0</v>
      </c>
      <c r="AK171" s="4">
        <f t="shared" ref="AK171:BL171" si="69">-AK60</f>
        <v>0</v>
      </c>
      <c r="AL171" s="4">
        <f t="shared" si="69"/>
        <v>0</v>
      </c>
      <c r="AM171" s="4">
        <f t="shared" si="69"/>
        <v>0</v>
      </c>
      <c r="AN171" s="4">
        <f t="shared" si="69"/>
        <v>0</v>
      </c>
      <c r="AO171" s="4">
        <f t="shared" si="69"/>
        <v>0</v>
      </c>
      <c r="AP171" s="4">
        <f t="shared" si="69"/>
        <v>0</v>
      </c>
      <c r="AQ171" s="4">
        <f t="shared" si="69"/>
        <v>0</v>
      </c>
      <c r="AR171" s="4">
        <f t="shared" si="69"/>
        <v>0</v>
      </c>
      <c r="AS171" s="4">
        <f t="shared" si="69"/>
        <v>0</v>
      </c>
      <c r="AT171" s="4">
        <f t="shared" si="69"/>
        <v>0</v>
      </c>
      <c r="AU171" s="4">
        <f t="shared" si="69"/>
        <v>0</v>
      </c>
      <c r="AV171" s="4">
        <f t="shared" si="69"/>
        <v>0</v>
      </c>
      <c r="AW171" s="4">
        <f t="shared" si="69"/>
        <v>0</v>
      </c>
      <c r="AX171" s="4">
        <f t="shared" si="69"/>
        <v>0</v>
      </c>
      <c r="AY171" s="4">
        <f t="shared" si="69"/>
        <v>0</v>
      </c>
      <c r="AZ171" s="4">
        <f t="shared" si="69"/>
        <v>0</v>
      </c>
      <c r="BA171" s="4">
        <f t="shared" si="69"/>
        <v>0</v>
      </c>
      <c r="BB171" s="4">
        <f t="shared" si="69"/>
        <v>0</v>
      </c>
      <c r="BC171" s="4">
        <f t="shared" si="69"/>
        <v>0</v>
      </c>
      <c r="BD171" s="4">
        <f t="shared" si="69"/>
        <v>0</v>
      </c>
      <c r="BE171" s="4">
        <f t="shared" si="69"/>
        <v>0</v>
      </c>
      <c r="BF171" s="4">
        <f t="shared" si="69"/>
        <v>0</v>
      </c>
      <c r="BG171" s="4">
        <f t="shared" si="69"/>
        <v>0</v>
      </c>
      <c r="BH171" s="4">
        <f t="shared" si="69"/>
        <v>0</v>
      </c>
      <c r="BI171" s="4">
        <f t="shared" si="69"/>
        <v>0</v>
      </c>
      <c r="BJ171" s="4">
        <f t="shared" si="69"/>
        <v>0</v>
      </c>
      <c r="BK171" s="4">
        <f t="shared" si="69"/>
        <v>0</v>
      </c>
      <c r="BL171" s="4">
        <f t="shared" si="69"/>
        <v>0</v>
      </c>
    </row>
    <row r="172" spans="1:64" ht="15" thickBot="1" x14ac:dyDescent="0.4">
      <c r="A172" s="1"/>
      <c r="C172" s="24" t="s">
        <v>557</v>
      </c>
      <c r="D172" s="174"/>
      <c r="E172" s="25">
        <f>E170+E171</f>
        <v>178.52958011627197</v>
      </c>
      <c r="F172" s="25">
        <f t="shared" ref="F172:BL172" si="70">F170+F171</f>
        <v>178.32275819778442</v>
      </c>
      <c r="G172" s="25">
        <f t="shared" si="70"/>
        <v>178.11332845687866</v>
      </c>
      <c r="H172" s="25">
        <f t="shared" si="70"/>
        <v>177.90125894546509</v>
      </c>
      <c r="I172" s="25">
        <f t="shared" si="70"/>
        <v>177.68758535385132</v>
      </c>
      <c r="J172" s="25">
        <f t="shared" si="70"/>
        <v>177.47229480743408</v>
      </c>
      <c r="K172" s="25">
        <f t="shared" si="70"/>
        <v>178.58630428314208</v>
      </c>
      <c r="L172" s="25">
        <f t="shared" si="70"/>
        <v>179.70769486999512</v>
      </c>
      <c r="M172" s="25">
        <f t="shared" si="70"/>
        <v>180.83704734283447</v>
      </c>
      <c r="N172" s="25">
        <f t="shared" si="70"/>
        <v>181.97440836153564</v>
      </c>
      <c r="O172" s="25">
        <f t="shared" si="70"/>
        <v>183.81230936568943</v>
      </c>
      <c r="P172" s="25">
        <f t="shared" si="70"/>
        <v>185.67338867856856</v>
      </c>
      <c r="Q172" s="25">
        <f t="shared" si="70"/>
        <v>187.55794316780469</v>
      </c>
      <c r="R172" s="25">
        <f t="shared" si="70"/>
        <v>189.46626704917031</v>
      </c>
      <c r="S172" s="25">
        <f t="shared" si="70"/>
        <v>191.39865870848755</v>
      </c>
      <c r="T172" s="25">
        <f t="shared" si="70"/>
        <v>193.35542275735824</v>
      </c>
      <c r="U172" s="25">
        <f t="shared" si="70"/>
        <v>195.33686732274813</v>
      </c>
      <c r="V172" s="25">
        <f t="shared" si="70"/>
        <v>197.34330324617881</v>
      </c>
      <c r="W172" s="25">
        <f t="shared" si="70"/>
        <v>199.3750461462356</v>
      </c>
      <c r="X172" s="25">
        <f t="shared" si="70"/>
        <v>201.43241276135697</v>
      </c>
      <c r="Y172" s="25">
        <f t="shared" si="70"/>
        <v>203.51572873907796</v>
      </c>
      <c r="Z172" s="25">
        <f t="shared" si="70"/>
        <v>205.62532116888238</v>
      </c>
      <c r="AA172" s="25">
        <f t="shared" si="70"/>
        <v>207.76152065423176</v>
      </c>
      <c r="AB172" s="25">
        <f t="shared" si="70"/>
        <v>209.92466338706461</v>
      </c>
      <c r="AC172" s="25">
        <f t="shared" si="70"/>
        <v>212.1150913174543</v>
      </c>
      <c r="AD172" s="25">
        <f t="shared" si="70"/>
        <v>214.33314660376578</v>
      </c>
      <c r="AE172" s="25">
        <f t="shared" si="70"/>
        <v>216.58063472384276</v>
      </c>
      <c r="AF172" s="25">
        <f t="shared" si="70"/>
        <v>218.85797698090644</v>
      </c>
      <c r="AG172" s="25">
        <f t="shared" si="70"/>
        <v>222.9762391304962</v>
      </c>
      <c r="AH172" s="25">
        <f t="shared" si="70"/>
        <v>227.19182562404791</v>
      </c>
      <c r="AI172" s="25">
        <f t="shared" si="70"/>
        <v>231.50708965225283</v>
      </c>
      <c r="AJ172" s="25">
        <f t="shared" si="70"/>
        <v>235.92445982950272</v>
      </c>
      <c r="AK172" s="25">
        <f t="shared" si="70"/>
        <v>240.4464121341087</v>
      </c>
      <c r="AL172" s="25">
        <f t="shared" si="70"/>
        <v>245.07549150102949</v>
      </c>
      <c r="AM172" s="25">
        <f t="shared" si="70"/>
        <v>249.81429151591118</v>
      </c>
      <c r="AN172" s="25">
        <f t="shared" si="70"/>
        <v>254.66549139414099</v>
      </c>
      <c r="AO172" s="25">
        <f t="shared" si="70"/>
        <v>259.63163362665682</v>
      </c>
      <c r="AP172" s="25">
        <f t="shared" si="70"/>
        <v>264.71551967453757</v>
      </c>
      <c r="AQ172" s="25">
        <f t="shared" si="70"/>
        <v>269.69542796821986</v>
      </c>
      <c r="AR172" s="25">
        <f t="shared" si="70"/>
        <v>274.791944984564</v>
      </c>
      <c r="AS172" s="25">
        <f t="shared" si="70"/>
        <v>0</v>
      </c>
      <c r="AT172" s="25">
        <f t="shared" si="70"/>
        <v>0</v>
      </c>
      <c r="AU172" s="25">
        <f t="shared" si="70"/>
        <v>0</v>
      </c>
      <c r="AV172" s="25">
        <f t="shared" si="70"/>
        <v>0</v>
      </c>
      <c r="AW172" s="25">
        <f t="shared" si="70"/>
        <v>0</v>
      </c>
      <c r="AX172" s="25">
        <f t="shared" si="70"/>
        <v>0</v>
      </c>
      <c r="AY172" s="25">
        <f t="shared" si="70"/>
        <v>0</v>
      </c>
      <c r="AZ172" s="25">
        <f t="shared" si="70"/>
        <v>0</v>
      </c>
      <c r="BA172" s="25">
        <f t="shared" si="70"/>
        <v>0</v>
      </c>
      <c r="BB172" s="25">
        <f t="shared" si="70"/>
        <v>0</v>
      </c>
      <c r="BC172" s="25">
        <f t="shared" si="70"/>
        <v>0</v>
      </c>
      <c r="BD172" s="25">
        <f t="shared" si="70"/>
        <v>0</v>
      </c>
      <c r="BE172" s="25">
        <f t="shared" si="70"/>
        <v>0</v>
      </c>
      <c r="BF172" s="25">
        <f t="shared" si="70"/>
        <v>0</v>
      </c>
      <c r="BG172" s="25">
        <f t="shared" si="70"/>
        <v>0</v>
      </c>
      <c r="BH172" s="25">
        <f t="shared" si="70"/>
        <v>0</v>
      </c>
      <c r="BI172" s="25">
        <f t="shared" si="70"/>
        <v>0</v>
      </c>
      <c r="BJ172" s="25">
        <f t="shared" si="70"/>
        <v>0</v>
      </c>
      <c r="BK172" s="25">
        <f t="shared" si="70"/>
        <v>0</v>
      </c>
      <c r="BL172" s="25">
        <f t="shared" si="70"/>
        <v>0</v>
      </c>
    </row>
    <row r="173" spans="1:64" x14ac:dyDescent="0.35">
      <c r="A173" s="1"/>
      <c r="C173" s="2" t="s">
        <v>28</v>
      </c>
      <c r="D173" s="12"/>
      <c r="E173" s="4">
        <f ca="1">E100+E101</f>
        <v>48.174845358372536</v>
      </c>
      <c r="F173" s="4">
        <f t="shared" ref="F173:BL173" ca="1" si="71">F100+F101</f>
        <v>49.803040326124361</v>
      </c>
      <c r="G173" s="4">
        <f t="shared" ca="1" si="71"/>
        <v>50.431186345885919</v>
      </c>
      <c r="H173" s="4">
        <f t="shared" ca="1" si="71"/>
        <v>51.067255878550434</v>
      </c>
      <c r="I173" s="4">
        <f t="shared" ca="1" si="71"/>
        <v>51.711955769459301</v>
      </c>
      <c r="J173" s="4">
        <f t="shared" ca="1" si="71"/>
        <v>52.365408164685334</v>
      </c>
      <c r="K173" s="4">
        <f t="shared" ca="1" si="71"/>
        <v>53.783346090664274</v>
      </c>
      <c r="L173" s="4">
        <f t="shared" ca="1" si="71"/>
        <v>55.226743565114006</v>
      </c>
      <c r="M173" s="4">
        <f t="shared" ca="1" si="71"/>
        <v>56.69631220466853</v>
      </c>
      <c r="N173" s="4">
        <f t="shared" ca="1" si="71"/>
        <v>58.19247106702408</v>
      </c>
      <c r="O173" s="4">
        <f t="shared" ca="1" si="71"/>
        <v>60.108790006455571</v>
      </c>
      <c r="P173" s="4">
        <f t="shared" ca="1" si="71"/>
        <v>62.067012755432806</v>
      </c>
      <c r="Q173" s="4">
        <f t="shared" ca="1" si="71"/>
        <v>64.067936411813861</v>
      </c>
      <c r="R173" s="4">
        <f t="shared" ca="1" si="71"/>
        <v>66.112368524384124</v>
      </c>
      <c r="S173" s="4">
        <f t="shared" ca="1" si="71"/>
        <v>68.201131122623849</v>
      </c>
      <c r="T173" s="4">
        <f t="shared" ca="1" si="71"/>
        <v>70.335062101018508</v>
      </c>
      <c r="U173" s="4">
        <f t="shared" ca="1" si="71"/>
        <v>72.515013918249124</v>
      </c>
      <c r="V173" s="4">
        <f t="shared" ca="1" si="71"/>
        <v>74.741853361012119</v>
      </c>
      <c r="W173" s="4">
        <f t="shared" ca="1" si="71"/>
        <v>77.016462929887723</v>
      </c>
      <c r="X173" s="4">
        <f t="shared" ca="1" si="71"/>
        <v>79.339738998739222</v>
      </c>
      <c r="Y173" s="4">
        <f t="shared" ca="1" si="71"/>
        <v>81.712596445000941</v>
      </c>
      <c r="Z173" s="4">
        <f t="shared" ca="1" si="71"/>
        <v>84.135964687906551</v>
      </c>
      <c r="AA173" s="4">
        <f t="shared" ca="1" si="71"/>
        <v>86.61078908296939</v>
      </c>
      <c r="AB173" s="4">
        <f t="shared" ca="1" si="71"/>
        <v>89.138032338782608</v>
      </c>
      <c r="AC173" s="4">
        <f t="shared" ca="1" si="71"/>
        <v>91.71867487363518</v>
      </c>
      <c r="AD173" s="4">
        <f t="shared" ca="1" si="71"/>
        <v>94.353711930343877</v>
      </c>
      <c r="AE173" s="4">
        <f t="shared" ca="1" si="71"/>
        <v>97.044984451003103</v>
      </c>
      <c r="AF173" s="4">
        <f t="shared" ca="1" si="71"/>
        <v>99.793575154127041</v>
      </c>
      <c r="AG173" s="4">
        <f t="shared" ca="1" si="71"/>
        <v>103.62854050527201</v>
      </c>
      <c r="AH173" s="4">
        <f t="shared" ca="1" si="71"/>
        <v>107.57628430429214</v>
      </c>
      <c r="AI173" s="4">
        <f t="shared" ca="1" si="71"/>
        <v>111.63983420528733</v>
      </c>
      <c r="AJ173" s="4">
        <f t="shared" ca="1" si="71"/>
        <v>115.82230609748028</v>
      </c>
      <c r="AK173" s="4">
        <f t="shared" ca="1" si="71"/>
        <v>120.12688949835865</v>
      </c>
      <c r="AL173" s="4">
        <f t="shared" ca="1" si="71"/>
        <v>124.55686091694254</v>
      </c>
      <c r="AM173" s="4">
        <f t="shared" ca="1" si="71"/>
        <v>129.11557363035107</v>
      </c>
      <c r="AN173" s="4">
        <f t="shared" ca="1" si="71"/>
        <v>133.80647982944862</v>
      </c>
      <c r="AO173" s="4">
        <f t="shared" ca="1" si="71"/>
        <v>138.63300586536599</v>
      </c>
      <c r="AP173" s="4">
        <f t="shared" ca="1" si="71"/>
        <v>143.59877650966652</v>
      </c>
      <c r="AQ173" s="4">
        <f t="shared" ca="1" si="71"/>
        <v>148.58000240421242</v>
      </c>
      <c r="AR173" s="4">
        <f t="shared" ca="1" si="71"/>
        <v>153.70214897863286</v>
      </c>
      <c r="AS173" s="4">
        <f t="shared" ca="1" si="71"/>
        <v>-1.9142021301377097E-13</v>
      </c>
      <c r="AT173" s="4">
        <f t="shared" ca="1" si="71"/>
        <v>-1.9429151620897756E-13</v>
      </c>
      <c r="AU173" s="4">
        <f t="shared" ca="1" si="71"/>
        <v>-1.9720588895211223E-13</v>
      </c>
      <c r="AV173" s="4">
        <f t="shared" ca="1" si="71"/>
        <v>-2.0016397728639391E-13</v>
      </c>
      <c r="AW173" s="4">
        <f t="shared" ca="1" si="71"/>
        <v>-2.031664369456898E-13</v>
      </c>
      <c r="AX173" s="4">
        <f t="shared" ca="1" si="71"/>
        <v>-2.0621393349987516E-13</v>
      </c>
      <c r="AY173" s="4">
        <f t="shared" ca="1" si="71"/>
        <v>-2.0930714250237327E-13</v>
      </c>
      <c r="AZ173" s="4">
        <f t="shared" ca="1" si="71"/>
        <v>-2.1244674963990886E-13</v>
      </c>
      <c r="BA173" s="4">
        <f t="shared" ca="1" si="71"/>
        <v>-2.1563345088450751E-13</v>
      </c>
      <c r="BB173" s="4">
        <f t="shared" ca="1" si="71"/>
        <v>-2.1886795264777508E-13</v>
      </c>
      <c r="BC173" s="4">
        <f t="shared" ca="1" si="71"/>
        <v>-2.2215097193749169E-13</v>
      </c>
      <c r="BD173" s="4">
        <f t="shared" ca="1" si="71"/>
        <v>-2.2548323651655409E-13</v>
      </c>
      <c r="BE173" s="4">
        <f t="shared" ca="1" si="71"/>
        <v>-2.2886548506430235E-13</v>
      </c>
      <c r="BF173" s="4">
        <f t="shared" ca="1" si="71"/>
        <v>-2.3229846734026694E-13</v>
      </c>
      <c r="BG173" s="4">
        <f t="shared" ca="1" si="71"/>
        <v>-2.3578294435037092E-13</v>
      </c>
      <c r="BH173" s="4">
        <f t="shared" ca="1" si="71"/>
        <v>-2.3931968851562649E-13</v>
      </c>
      <c r="BI173" s="4">
        <f t="shared" ca="1" si="71"/>
        <v>-2.4290948384336089E-13</v>
      </c>
      <c r="BJ173" s="4">
        <f t="shared" ca="1" si="71"/>
        <v>-2.465531261010113E-13</v>
      </c>
      <c r="BK173" s="4">
        <f t="shared" ca="1" si="71"/>
        <v>-2.5025142299252644E-13</v>
      </c>
      <c r="BL173" s="4">
        <f t="shared" ca="1" si="71"/>
        <v>-2.540051943374144E-13</v>
      </c>
    </row>
    <row r="174" spans="1:64" x14ac:dyDescent="0.35">
      <c r="A174" s="1"/>
      <c r="C174" s="2" t="s">
        <v>310</v>
      </c>
      <c r="D174" s="12"/>
      <c r="E174" s="4">
        <f t="shared" ref="E174:BL174" ca="1" si="72">E104</f>
        <v>52.158794499138864</v>
      </c>
      <c r="F174" s="4">
        <f t="shared" ca="1" si="72"/>
        <v>51.43617181876327</v>
      </c>
      <c r="G174" s="4">
        <f t="shared" ca="1" si="72"/>
        <v>50.689126213871404</v>
      </c>
      <c r="H174" s="4">
        <f t="shared" ca="1" si="72"/>
        <v>49.932658418683111</v>
      </c>
      <c r="I174" s="4">
        <f t="shared" ca="1" si="72"/>
        <v>49.16664958050486</v>
      </c>
      <c r="J174" s="4">
        <f t="shared" ca="1" si="72"/>
        <v>48.390970243962968</v>
      </c>
      <c r="K174" s="4">
        <f t="shared" ca="1" si="72"/>
        <v>47.605489121492688</v>
      </c>
      <c r="L174" s="4">
        <f t="shared" ca="1" si="72"/>
        <v>46.798738930132728</v>
      </c>
      <c r="M174" s="4">
        <f t="shared" ca="1" si="72"/>
        <v>45.970337776656024</v>
      </c>
      <c r="N174" s="4">
        <f t="shared" ca="1" si="72"/>
        <v>45.119893093585993</v>
      </c>
      <c r="O174" s="4">
        <f t="shared" ca="1" si="72"/>
        <v>44.247006027580632</v>
      </c>
      <c r="P174" s="4">
        <f t="shared" ca="1" si="72"/>
        <v>43.345374177483798</v>
      </c>
      <c r="Q174" s="4">
        <f t="shared" ca="1" si="72"/>
        <v>42.414368986152311</v>
      </c>
      <c r="R174" s="4">
        <f t="shared" ca="1" si="72"/>
        <v>41.453349939975105</v>
      </c>
      <c r="S174" s="4">
        <f t="shared" ca="1" si="72"/>
        <v>40.461664412109343</v>
      </c>
      <c r="T174" s="4">
        <f t="shared" ca="1" si="72"/>
        <v>39.438647445269986</v>
      </c>
      <c r="U174" s="4">
        <f t="shared" ca="1" si="72"/>
        <v>38.383621513754704</v>
      </c>
      <c r="V174" s="4">
        <f t="shared" ca="1" si="72"/>
        <v>37.295896304980964</v>
      </c>
      <c r="W174" s="4">
        <f t="shared" ca="1" si="72"/>
        <v>36.174768504565783</v>
      </c>
      <c r="X174" s="4">
        <f t="shared" ca="1" si="72"/>
        <v>35.01952156061747</v>
      </c>
      <c r="Y174" s="4">
        <f t="shared" ca="1" si="72"/>
        <v>33.829425475636377</v>
      </c>
      <c r="Z174" s="4">
        <f t="shared" ca="1" si="72"/>
        <v>32.603736528961356</v>
      </c>
      <c r="AA174" s="4">
        <f t="shared" ca="1" si="72"/>
        <v>31.341697058642765</v>
      </c>
      <c r="AB174" s="4">
        <f t="shared" ca="1" si="72"/>
        <v>30.042535222398222</v>
      </c>
      <c r="AC174" s="4">
        <f t="shared" ca="1" si="72"/>
        <v>28.705464737316486</v>
      </c>
      <c r="AD174" s="4">
        <f t="shared" ca="1" si="72"/>
        <v>27.32968461421196</v>
      </c>
      <c r="AE174" s="4">
        <f t="shared" ca="1" si="72"/>
        <v>25.914378935256799</v>
      </c>
      <c r="AF174" s="4">
        <f t="shared" ca="1" si="72"/>
        <v>24.458704168491753</v>
      </c>
      <c r="AG174" s="4">
        <f t="shared" ca="1" si="72"/>
        <v>22.961800541179848</v>
      </c>
      <c r="AH174" s="4">
        <f t="shared" ca="1" si="72"/>
        <v>21.40737243360077</v>
      </c>
      <c r="AI174" s="4">
        <f t="shared" ca="1" si="72"/>
        <v>19.793728169036388</v>
      </c>
      <c r="AJ174" s="4">
        <f t="shared" ca="1" si="72"/>
        <v>18.119130655957076</v>
      </c>
      <c r="AK174" s="4">
        <f t="shared" ca="1" si="72"/>
        <v>16.381796064494871</v>
      </c>
      <c r="AL174" s="4">
        <f t="shared" ca="1" si="72"/>
        <v>14.579892722019492</v>
      </c>
      <c r="AM174" s="4">
        <f t="shared" ca="1" si="72"/>
        <v>12.711539808265353</v>
      </c>
      <c r="AN174" s="4">
        <f t="shared" ca="1" si="72"/>
        <v>10.774806203810087</v>
      </c>
      <c r="AO174" s="4">
        <f t="shared" ca="1" si="72"/>
        <v>8.7677090063683583</v>
      </c>
      <c r="AP174" s="4">
        <f t="shared" ca="1" si="72"/>
        <v>6.6882139183878682</v>
      </c>
      <c r="AQ174" s="4">
        <f t="shared" ca="1" si="72"/>
        <v>4.5342322707428702</v>
      </c>
      <c r="AR174" s="4">
        <f t="shared" ca="1" si="72"/>
        <v>2.3055322346796845</v>
      </c>
      <c r="AS174" s="4">
        <f t="shared" ca="1" si="72"/>
        <v>1.9142021301377097E-13</v>
      </c>
      <c r="AT174" s="4">
        <f t="shared" ca="1" si="72"/>
        <v>1.9429151620897756E-13</v>
      </c>
      <c r="AU174" s="4">
        <f t="shared" ca="1" si="72"/>
        <v>1.9720588895211223E-13</v>
      </c>
      <c r="AV174" s="4">
        <f t="shared" ca="1" si="72"/>
        <v>2.0016397728639391E-13</v>
      </c>
      <c r="AW174" s="4">
        <f t="shared" ca="1" si="72"/>
        <v>2.031664369456898E-13</v>
      </c>
      <c r="AX174" s="4">
        <f t="shared" ca="1" si="72"/>
        <v>2.0621393349987516E-13</v>
      </c>
      <c r="AY174" s="4">
        <f t="shared" ca="1" si="72"/>
        <v>2.0930714250237327E-13</v>
      </c>
      <c r="AZ174" s="4">
        <f t="shared" ca="1" si="72"/>
        <v>2.1244674963990886E-13</v>
      </c>
      <c r="BA174" s="4">
        <f t="shared" ca="1" si="72"/>
        <v>2.1563345088450751E-13</v>
      </c>
      <c r="BB174" s="4">
        <f t="shared" ca="1" si="72"/>
        <v>2.1886795264777508E-13</v>
      </c>
      <c r="BC174" s="4">
        <f t="shared" ca="1" si="72"/>
        <v>2.2215097193749169E-13</v>
      </c>
      <c r="BD174" s="4">
        <f t="shared" ca="1" si="72"/>
        <v>2.2548323651655409E-13</v>
      </c>
      <c r="BE174" s="4">
        <f t="shared" ca="1" si="72"/>
        <v>2.2886548506430235E-13</v>
      </c>
      <c r="BF174" s="4">
        <f t="shared" ca="1" si="72"/>
        <v>2.3229846734026694E-13</v>
      </c>
      <c r="BG174" s="4">
        <f t="shared" ca="1" si="72"/>
        <v>2.3578294435037092E-13</v>
      </c>
      <c r="BH174" s="4">
        <f t="shared" ca="1" si="72"/>
        <v>2.3931968851562649E-13</v>
      </c>
      <c r="BI174" s="4">
        <f t="shared" ca="1" si="72"/>
        <v>2.4290948384336089E-13</v>
      </c>
      <c r="BJ174" s="4">
        <f t="shared" ca="1" si="72"/>
        <v>2.465531261010113E-13</v>
      </c>
      <c r="BK174" s="4">
        <f t="shared" ca="1" si="72"/>
        <v>2.5025142299252644E-13</v>
      </c>
      <c r="BL174" s="4">
        <f t="shared" ca="1" si="72"/>
        <v>2.540051943374144E-13</v>
      </c>
    </row>
    <row r="175" spans="1:64" x14ac:dyDescent="0.35">
      <c r="A175" s="1"/>
      <c r="C175" s="2" t="s">
        <v>171</v>
      </c>
      <c r="D175" s="12"/>
      <c r="E175" s="4">
        <f ca="1">E120</f>
        <v>1.0229913330078124</v>
      </c>
      <c r="F175" s="4">
        <f t="shared" ref="F175:BL175" si="73">F120</f>
        <v>0</v>
      </c>
      <c r="G175" s="4">
        <f t="shared" si="73"/>
        <v>0</v>
      </c>
      <c r="H175" s="4">
        <f t="shared" si="73"/>
        <v>0</v>
      </c>
      <c r="I175" s="4">
        <f t="shared" si="73"/>
        <v>0</v>
      </c>
      <c r="J175" s="4">
        <f t="shared" si="73"/>
        <v>0</v>
      </c>
      <c r="K175" s="4">
        <f t="shared" si="73"/>
        <v>0</v>
      </c>
      <c r="L175" s="4">
        <f t="shared" si="73"/>
        <v>0</v>
      </c>
      <c r="M175" s="4">
        <f t="shared" si="73"/>
        <v>0</v>
      </c>
      <c r="N175" s="4">
        <f t="shared" si="73"/>
        <v>0</v>
      </c>
      <c r="O175" s="4">
        <f t="shared" si="73"/>
        <v>0</v>
      </c>
      <c r="P175" s="4">
        <f t="shared" si="73"/>
        <v>0</v>
      </c>
      <c r="Q175" s="4">
        <f t="shared" si="73"/>
        <v>0</v>
      </c>
      <c r="R175" s="4">
        <f t="shared" si="73"/>
        <v>0</v>
      </c>
      <c r="S175" s="4">
        <f t="shared" si="73"/>
        <v>0</v>
      </c>
      <c r="T175" s="4">
        <f t="shared" si="73"/>
        <v>0</v>
      </c>
      <c r="U175" s="4">
        <f t="shared" si="73"/>
        <v>0</v>
      </c>
      <c r="V175" s="4">
        <f t="shared" si="73"/>
        <v>0</v>
      </c>
      <c r="W175" s="4">
        <f t="shared" si="73"/>
        <v>0</v>
      </c>
      <c r="X175" s="4">
        <f t="shared" si="73"/>
        <v>0</v>
      </c>
      <c r="Y175" s="4">
        <f t="shared" si="73"/>
        <v>0</v>
      </c>
      <c r="Z175" s="4">
        <f t="shared" si="73"/>
        <v>0</v>
      </c>
      <c r="AA175" s="4">
        <f t="shared" si="73"/>
        <v>0</v>
      </c>
      <c r="AB175" s="4">
        <f t="shared" si="73"/>
        <v>0</v>
      </c>
      <c r="AC175" s="4">
        <f t="shared" si="73"/>
        <v>0</v>
      </c>
      <c r="AD175" s="4">
        <f t="shared" si="73"/>
        <v>0</v>
      </c>
      <c r="AE175" s="4">
        <f t="shared" si="73"/>
        <v>0</v>
      </c>
      <c r="AF175" s="4">
        <f t="shared" si="73"/>
        <v>0</v>
      </c>
      <c r="AG175" s="4">
        <f t="shared" si="73"/>
        <v>0</v>
      </c>
      <c r="AH175" s="4">
        <f t="shared" si="73"/>
        <v>0</v>
      </c>
      <c r="AI175" s="4">
        <f t="shared" si="73"/>
        <v>0</v>
      </c>
      <c r="AJ175" s="4">
        <f t="shared" si="73"/>
        <v>0</v>
      </c>
      <c r="AK175" s="4">
        <f t="shared" si="73"/>
        <v>0</v>
      </c>
      <c r="AL175" s="4">
        <f t="shared" si="73"/>
        <v>0</v>
      </c>
      <c r="AM175" s="4">
        <f t="shared" si="73"/>
        <v>0</v>
      </c>
      <c r="AN175" s="4">
        <f t="shared" si="73"/>
        <v>0</v>
      </c>
      <c r="AO175" s="4">
        <f t="shared" si="73"/>
        <v>0</v>
      </c>
      <c r="AP175" s="4">
        <f t="shared" si="73"/>
        <v>0</v>
      </c>
      <c r="AQ175" s="4">
        <f t="shared" si="73"/>
        <v>0</v>
      </c>
      <c r="AR175" s="4">
        <f t="shared" si="73"/>
        <v>0</v>
      </c>
      <c r="AS175" s="4">
        <f t="shared" si="73"/>
        <v>0</v>
      </c>
      <c r="AT175" s="4">
        <f t="shared" si="73"/>
        <v>0</v>
      </c>
      <c r="AU175" s="4">
        <f t="shared" si="73"/>
        <v>0</v>
      </c>
      <c r="AV175" s="4">
        <f t="shared" si="73"/>
        <v>0</v>
      </c>
      <c r="AW175" s="4">
        <f t="shared" si="73"/>
        <v>0</v>
      </c>
      <c r="AX175" s="4">
        <f t="shared" si="73"/>
        <v>0</v>
      </c>
      <c r="AY175" s="4">
        <f t="shared" si="73"/>
        <v>0</v>
      </c>
      <c r="AZ175" s="4">
        <f t="shared" si="73"/>
        <v>0</v>
      </c>
      <c r="BA175" s="4">
        <f t="shared" si="73"/>
        <v>0</v>
      </c>
      <c r="BB175" s="4">
        <f t="shared" si="73"/>
        <v>0</v>
      </c>
      <c r="BC175" s="4">
        <f t="shared" si="73"/>
        <v>0</v>
      </c>
      <c r="BD175" s="4">
        <f t="shared" si="73"/>
        <v>0</v>
      </c>
      <c r="BE175" s="4">
        <f t="shared" si="73"/>
        <v>0</v>
      </c>
      <c r="BF175" s="4">
        <f t="shared" si="73"/>
        <v>0</v>
      </c>
      <c r="BG175" s="4">
        <f t="shared" si="73"/>
        <v>0</v>
      </c>
      <c r="BH175" s="4">
        <f t="shared" si="73"/>
        <v>0</v>
      </c>
      <c r="BI175" s="4">
        <f t="shared" si="73"/>
        <v>0</v>
      </c>
      <c r="BJ175" s="4">
        <f t="shared" si="73"/>
        <v>0</v>
      </c>
      <c r="BK175" s="4">
        <f t="shared" si="73"/>
        <v>0</v>
      </c>
      <c r="BL175" s="4">
        <f t="shared" si="73"/>
        <v>0</v>
      </c>
    </row>
    <row r="176" spans="1:64" ht="15" thickBot="1" x14ac:dyDescent="0.4">
      <c r="A176" s="1"/>
      <c r="C176" s="24" t="s">
        <v>101</v>
      </c>
      <c r="D176" s="25">
        <f ca="1">-D31+D96</f>
        <v>-870.57308319542972</v>
      </c>
      <c r="E176" s="25">
        <f ca="1">E172-E173-E174-E175</f>
        <v>77.172948925752777</v>
      </c>
      <c r="F176" s="25">
        <f t="shared" ref="F176:BL176" ca="1" si="74">F172-F173-F174-F175</f>
        <v>77.083546052896807</v>
      </c>
      <c r="G176" s="25">
        <f t="shared" ca="1" si="74"/>
        <v>76.993015897121339</v>
      </c>
      <c r="H176" s="25">
        <f t="shared" ca="1" si="74"/>
        <v>76.901344648231543</v>
      </c>
      <c r="I176" s="25">
        <f t="shared" ca="1" si="74"/>
        <v>76.808980003887143</v>
      </c>
      <c r="J176" s="25">
        <f t="shared" ca="1" si="74"/>
        <v>76.71591639878578</v>
      </c>
      <c r="K176" s="25">
        <f t="shared" ca="1" si="74"/>
        <v>77.197469070985107</v>
      </c>
      <c r="L176" s="25">
        <f t="shared" ca="1" si="74"/>
        <v>77.682212374748389</v>
      </c>
      <c r="M176" s="25">
        <f t="shared" ca="1" si="74"/>
        <v>78.170397361509913</v>
      </c>
      <c r="N176" s="25">
        <f t="shared" ca="1" si="74"/>
        <v>78.66204420092555</v>
      </c>
      <c r="O176" s="25">
        <f t="shared" ca="1" si="74"/>
        <v>79.456513331653241</v>
      </c>
      <c r="P176" s="25">
        <f t="shared" ca="1" si="74"/>
        <v>80.261001745651953</v>
      </c>
      <c r="Q176" s="25">
        <f t="shared" ca="1" si="74"/>
        <v>81.075637769838522</v>
      </c>
      <c r="R176" s="25">
        <f t="shared" ca="1" si="74"/>
        <v>81.900548584811077</v>
      </c>
      <c r="S176" s="25">
        <f t="shared" ca="1" si="74"/>
        <v>82.735863173754353</v>
      </c>
      <c r="T176" s="25">
        <f t="shared" ca="1" si="74"/>
        <v>83.58171321106974</v>
      </c>
      <c r="U176" s="25">
        <f t="shared" ca="1" si="74"/>
        <v>84.438231890744305</v>
      </c>
      <c r="V176" s="25">
        <f t="shared" ca="1" si="74"/>
        <v>85.305553580185716</v>
      </c>
      <c r="W176" s="25">
        <f t="shared" ca="1" si="74"/>
        <v>86.183814711782105</v>
      </c>
      <c r="X176" s="25">
        <f t="shared" ca="1" si="74"/>
        <v>87.073152202000273</v>
      </c>
      <c r="Y176" s="25">
        <f t="shared" ca="1" si="74"/>
        <v>87.973706818440633</v>
      </c>
      <c r="Z176" s="25">
        <f t="shared" ca="1" si="74"/>
        <v>88.88561995201448</v>
      </c>
      <c r="AA176" s="25">
        <f t="shared" ca="1" si="74"/>
        <v>89.809034512619604</v>
      </c>
      <c r="AB176" s="25">
        <f t="shared" ca="1" si="74"/>
        <v>90.74409582588379</v>
      </c>
      <c r="AC176" s="25">
        <f t="shared" ca="1" si="74"/>
        <v>91.690951706502631</v>
      </c>
      <c r="AD176" s="25">
        <f t="shared" ca="1" si="74"/>
        <v>92.64975005920995</v>
      </c>
      <c r="AE176" s="25">
        <f t="shared" ca="1" si="74"/>
        <v>93.621271337582868</v>
      </c>
      <c r="AF176" s="25">
        <f t="shared" ca="1" si="74"/>
        <v>94.605697658287653</v>
      </c>
      <c r="AG176" s="25">
        <f t="shared" ca="1" si="74"/>
        <v>96.385898084044328</v>
      </c>
      <c r="AH176" s="25">
        <f t="shared" ca="1" si="74"/>
        <v>98.208168886154994</v>
      </c>
      <c r="AI176" s="25">
        <f t="shared" ca="1" si="74"/>
        <v>100.07352727792912</v>
      </c>
      <c r="AJ176" s="25">
        <f t="shared" ca="1" si="74"/>
        <v>101.98302307606536</v>
      </c>
      <c r="AK176" s="25">
        <f t="shared" ca="1" si="74"/>
        <v>103.93772657125518</v>
      </c>
      <c r="AL176" s="25">
        <f t="shared" ca="1" si="74"/>
        <v>105.93873786206746</v>
      </c>
      <c r="AM176" s="25">
        <f t="shared" ca="1" si="74"/>
        <v>107.98717807729476</v>
      </c>
      <c r="AN176" s="25">
        <f t="shared" ca="1" si="74"/>
        <v>110.08420536088228</v>
      </c>
      <c r="AO176" s="25">
        <f t="shared" ca="1" si="74"/>
        <v>112.23091875492247</v>
      </c>
      <c r="AP176" s="25">
        <f t="shared" ca="1" si="74"/>
        <v>114.42852924648318</v>
      </c>
      <c r="AQ176" s="25">
        <f t="shared" ca="1" si="74"/>
        <v>116.58119329326456</v>
      </c>
      <c r="AR176" s="25">
        <f t="shared" ca="1" si="74"/>
        <v>118.78426377125145</v>
      </c>
      <c r="AS176" s="25">
        <f t="shared" ca="1" si="74"/>
        <v>0</v>
      </c>
      <c r="AT176" s="25">
        <f t="shared" ca="1" si="74"/>
        <v>0</v>
      </c>
      <c r="AU176" s="25">
        <f t="shared" ca="1" si="74"/>
        <v>0</v>
      </c>
      <c r="AV176" s="25">
        <f t="shared" ca="1" si="74"/>
        <v>0</v>
      </c>
      <c r="AW176" s="25">
        <f t="shared" ca="1" si="74"/>
        <v>0</v>
      </c>
      <c r="AX176" s="25">
        <f t="shared" ca="1" si="74"/>
        <v>0</v>
      </c>
      <c r="AY176" s="25">
        <f t="shared" ca="1" si="74"/>
        <v>0</v>
      </c>
      <c r="AZ176" s="25">
        <f t="shared" ca="1" si="74"/>
        <v>0</v>
      </c>
      <c r="BA176" s="25">
        <f t="shared" ca="1" si="74"/>
        <v>0</v>
      </c>
      <c r="BB176" s="25">
        <f t="shared" ca="1" si="74"/>
        <v>0</v>
      </c>
      <c r="BC176" s="25">
        <f t="shared" ca="1" si="74"/>
        <v>0</v>
      </c>
      <c r="BD176" s="25">
        <f t="shared" ca="1" si="74"/>
        <v>0</v>
      </c>
      <c r="BE176" s="25">
        <f t="shared" ca="1" si="74"/>
        <v>0</v>
      </c>
      <c r="BF176" s="25">
        <f t="shared" ca="1" si="74"/>
        <v>0</v>
      </c>
      <c r="BG176" s="25">
        <f t="shared" ca="1" si="74"/>
        <v>0</v>
      </c>
      <c r="BH176" s="25">
        <f t="shared" ca="1" si="74"/>
        <v>0</v>
      </c>
      <c r="BI176" s="25">
        <f t="shared" ca="1" si="74"/>
        <v>0</v>
      </c>
      <c r="BJ176" s="25">
        <f t="shared" ca="1" si="74"/>
        <v>0</v>
      </c>
      <c r="BK176" s="25">
        <f t="shared" ca="1" si="74"/>
        <v>0</v>
      </c>
      <c r="BL176" s="25">
        <f t="shared" ca="1" si="74"/>
        <v>0</v>
      </c>
    </row>
    <row r="177" spans="1:64" x14ac:dyDescent="0.35">
      <c r="A177" s="1"/>
      <c r="C177" s="2" t="s">
        <v>100</v>
      </c>
      <c r="D177" s="12">
        <f ca="1">IRR(176:176)</f>
        <v>9.0671012272534934E-2</v>
      </c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/>
      <c r="AM177" s="4"/>
      <c r="AN177" s="4"/>
      <c r="AO177" s="4"/>
      <c r="AP177" s="4"/>
      <c r="AQ177" s="4"/>
      <c r="AR177" s="4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</row>
    <row r="179" spans="1:64" x14ac:dyDescent="0.35">
      <c r="C179" s="2" t="s">
        <v>202</v>
      </c>
    </row>
    <row r="180" spans="1:64" x14ac:dyDescent="0.35">
      <c r="C180" s="2" t="s">
        <v>311</v>
      </c>
      <c r="E180" s="4">
        <f>E172</f>
        <v>178.52958011627197</v>
      </c>
      <c r="F180" s="4">
        <f t="shared" ref="F180:BL180" si="75">F172</f>
        <v>178.32275819778442</v>
      </c>
      <c r="G180" s="4">
        <f t="shared" si="75"/>
        <v>178.11332845687866</v>
      </c>
      <c r="H180" s="4">
        <f t="shared" si="75"/>
        <v>177.90125894546509</v>
      </c>
      <c r="I180" s="4">
        <f t="shared" si="75"/>
        <v>177.68758535385132</v>
      </c>
      <c r="J180" s="4">
        <f t="shared" si="75"/>
        <v>177.47229480743408</v>
      </c>
      <c r="K180" s="4">
        <f t="shared" si="75"/>
        <v>178.58630428314208</v>
      </c>
      <c r="L180" s="4">
        <f t="shared" si="75"/>
        <v>179.70769486999512</v>
      </c>
      <c r="M180" s="4">
        <f t="shared" si="75"/>
        <v>180.83704734283447</v>
      </c>
      <c r="N180" s="4">
        <f t="shared" si="75"/>
        <v>181.97440836153564</v>
      </c>
      <c r="O180" s="4">
        <f t="shared" si="75"/>
        <v>183.81230936568943</v>
      </c>
      <c r="P180" s="4">
        <f t="shared" si="75"/>
        <v>185.67338867856856</v>
      </c>
      <c r="Q180" s="4">
        <f t="shared" si="75"/>
        <v>187.55794316780469</v>
      </c>
      <c r="R180" s="4">
        <f t="shared" si="75"/>
        <v>189.46626704917031</v>
      </c>
      <c r="S180" s="4">
        <f t="shared" si="75"/>
        <v>191.39865870848755</v>
      </c>
      <c r="T180" s="4">
        <f t="shared" si="75"/>
        <v>193.35542275735824</v>
      </c>
      <c r="U180" s="4">
        <f t="shared" si="75"/>
        <v>195.33686732274813</v>
      </c>
      <c r="V180" s="4">
        <f t="shared" si="75"/>
        <v>197.34330324617881</v>
      </c>
      <c r="W180" s="4">
        <f t="shared" si="75"/>
        <v>199.3750461462356</v>
      </c>
      <c r="X180" s="4">
        <f t="shared" si="75"/>
        <v>201.43241276135697</v>
      </c>
      <c r="Y180" s="4">
        <f t="shared" si="75"/>
        <v>203.51572873907796</v>
      </c>
      <c r="Z180" s="4">
        <f t="shared" si="75"/>
        <v>205.62532116888238</v>
      </c>
      <c r="AA180" s="4">
        <f t="shared" si="75"/>
        <v>207.76152065423176</v>
      </c>
      <c r="AB180" s="4">
        <f t="shared" si="75"/>
        <v>209.92466338706461</v>
      </c>
      <c r="AC180" s="4">
        <f t="shared" si="75"/>
        <v>212.1150913174543</v>
      </c>
      <c r="AD180" s="4">
        <f t="shared" si="75"/>
        <v>214.33314660376578</v>
      </c>
      <c r="AE180" s="4">
        <f t="shared" si="75"/>
        <v>216.58063472384276</v>
      </c>
      <c r="AF180" s="4">
        <f t="shared" si="75"/>
        <v>218.85797698090644</v>
      </c>
      <c r="AG180" s="4">
        <f t="shared" si="75"/>
        <v>222.9762391304962</v>
      </c>
      <c r="AH180" s="4">
        <f t="shared" si="75"/>
        <v>227.19182562404791</v>
      </c>
      <c r="AI180" s="4">
        <f t="shared" si="75"/>
        <v>231.50708965225283</v>
      </c>
      <c r="AJ180" s="4">
        <f t="shared" si="75"/>
        <v>235.92445982950272</v>
      </c>
      <c r="AK180" s="4">
        <f t="shared" si="75"/>
        <v>240.4464121341087</v>
      </c>
      <c r="AL180" s="4">
        <f t="shared" si="75"/>
        <v>245.07549150102949</v>
      </c>
      <c r="AM180" s="4">
        <f t="shared" si="75"/>
        <v>249.81429151591118</v>
      </c>
      <c r="AN180" s="4">
        <f t="shared" si="75"/>
        <v>254.66549139414099</v>
      </c>
      <c r="AO180" s="4">
        <f t="shared" si="75"/>
        <v>259.63163362665682</v>
      </c>
      <c r="AP180" s="4">
        <f t="shared" si="75"/>
        <v>264.71551967453757</v>
      </c>
      <c r="AQ180" s="4">
        <f t="shared" si="75"/>
        <v>269.69542796821986</v>
      </c>
      <c r="AR180" s="4">
        <f t="shared" si="75"/>
        <v>274.791944984564</v>
      </c>
      <c r="AS180" s="4">
        <f t="shared" si="75"/>
        <v>0</v>
      </c>
      <c r="AT180" s="4">
        <f t="shared" si="75"/>
        <v>0</v>
      </c>
      <c r="AU180" s="4">
        <f t="shared" si="75"/>
        <v>0</v>
      </c>
      <c r="AV180" s="4">
        <f t="shared" si="75"/>
        <v>0</v>
      </c>
      <c r="AW180" s="4">
        <f t="shared" si="75"/>
        <v>0</v>
      </c>
      <c r="AX180" s="4">
        <f t="shared" si="75"/>
        <v>0</v>
      </c>
      <c r="AY180" s="4">
        <f t="shared" si="75"/>
        <v>0</v>
      </c>
      <c r="AZ180" s="4">
        <f t="shared" si="75"/>
        <v>0</v>
      </c>
      <c r="BA180" s="4">
        <f t="shared" si="75"/>
        <v>0</v>
      </c>
      <c r="BB180" s="4">
        <f t="shared" si="75"/>
        <v>0</v>
      </c>
      <c r="BC180" s="4">
        <f t="shared" si="75"/>
        <v>0</v>
      </c>
      <c r="BD180" s="4">
        <f t="shared" si="75"/>
        <v>0</v>
      </c>
      <c r="BE180" s="4">
        <f t="shared" si="75"/>
        <v>0</v>
      </c>
      <c r="BF180" s="4">
        <f t="shared" si="75"/>
        <v>0</v>
      </c>
      <c r="BG180" s="4">
        <f t="shared" si="75"/>
        <v>0</v>
      </c>
      <c r="BH180" s="4">
        <f t="shared" si="75"/>
        <v>0</v>
      </c>
      <c r="BI180" s="4">
        <f t="shared" si="75"/>
        <v>0</v>
      </c>
      <c r="BJ180" s="4">
        <f t="shared" si="75"/>
        <v>0</v>
      </c>
      <c r="BK180" s="4">
        <f t="shared" si="75"/>
        <v>0</v>
      </c>
      <c r="BL180" s="4">
        <f t="shared" si="75"/>
        <v>0</v>
      </c>
    </row>
    <row r="181" spans="1:64" x14ac:dyDescent="0.35">
      <c r="C181" s="2" t="s">
        <v>312</v>
      </c>
      <c r="E181" s="4">
        <f ca="1">E173+E174+E175</f>
        <v>101.35663119051921</v>
      </c>
      <c r="F181" s="4">
        <f t="shared" ref="F181:BL181" ca="1" si="76">F173+F174+F175</f>
        <v>101.23921214488763</v>
      </c>
      <c r="G181" s="4">
        <f t="shared" ca="1" si="76"/>
        <v>101.12031255975732</v>
      </c>
      <c r="H181" s="4">
        <f t="shared" ca="1" si="76"/>
        <v>100.99991429723354</v>
      </c>
      <c r="I181" s="4">
        <f t="shared" ca="1" si="76"/>
        <v>100.87860534996416</v>
      </c>
      <c r="J181" s="4">
        <f t="shared" ca="1" si="76"/>
        <v>100.7563784086483</v>
      </c>
      <c r="K181" s="4">
        <f t="shared" ca="1" si="76"/>
        <v>101.38883521215696</v>
      </c>
      <c r="L181" s="4">
        <f t="shared" ca="1" si="76"/>
        <v>102.02548249524673</v>
      </c>
      <c r="M181" s="4">
        <f t="shared" ca="1" si="76"/>
        <v>102.66664998132455</v>
      </c>
      <c r="N181" s="4">
        <f t="shared" ca="1" si="76"/>
        <v>103.31236416061007</v>
      </c>
      <c r="O181" s="4">
        <f t="shared" ca="1" si="76"/>
        <v>104.3557960340362</v>
      </c>
      <c r="P181" s="4">
        <f t="shared" ca="1" si="76"/>
        <v>105.4123869329166</v>
      </c>
      <c r="Q181" s="4">
        <f t="shared" ca="1" si="76"/>
        <v>106.48230539796617</v>
      </c>
      <c r="R181" s="4">
        <f t="shared" ca="1" si="76"/>
        <v>107.56571846435924</v>
      </c>
      <c r="S181" s="4">
        <f t="shared" ca="1" si="76"/>
        <v>108.66279553473319</v>
      </c>
      <c r="T181" s="4">
        <f t="shared" ca="1" si="76"/>
        <v>109.7737095462885</v>
      </c>
      <c r="U181" s="4">
        <f t="shared" ca="1" si="76"/>
        <v>110.89863543200383</v>
      </c>
      <c r="V181" s="4">
        <f t="shared" ca="1" si="76"/>
        <v>112.03774966599309</v>
      </c>
      <c r="W181" s="4">
        <f t="shared" ca="1" si="76"/>
        <v>113.1912314344535</v>
      </c>
      <c r="X181" s="4">
        <f t="shared" ca="1" si="76"/>
        <v>114.3592605593567</v>
      </c>
      <c r="Y181" s="4">
        <f t="shared" ca="1" si="76"/>
        <v>115.54202192063732</v>
      </c>
      <c r="Z181" s="4">
        <f t="shared" ca="1" si="76"/>
        <v>116.7397012168679</v>
      </c>
      <c r="AA181" s="4">
        <f t="shared" ca="1" si="76"/>
        <v>117.95248614161216</v>
      </c>
      <c r="AB181" s="4">
        <f t="shared" ca="1" si="76"/>
        <v>119.18056756118082</v>
      </c>
      <c r="AC181" s="4">
        <f t="shared" ca="1" si="76"/>
        <v>120.42413961095167</v>
      </c>
      <c r="AD181" s="4">
        <f t="shared" ca="1" si="76"/>
        <v>121.68339654455583</v>
      </c>
      <c r="AE181" s="4">
        <f t="shared" ca="1" si="76"/>
        <v>122.95936338625989</v>
      </c>
      <c r="AF181" s="4">
        <f t="shared" ca="1" si="76"/>
        <v>124.25227932261879</v>
      </c>
      <c r="AG181" s="4">
        <f t="shared" ca="1" si="76"/>
        <v>126.59034104645187</v>
      </c>
      <c r="AH181" s="4">
        <f t="shared" ca="1" si="76"/>
        <v>128.98365673789291</v>
      </c>
      <c r="AI181" s="4">
        <f t="shared" ca="1" si="76"/>
        <v>131.43356237432371</v>
      </c>
      <c r="AJ181" s="4">
        <f t="shared" ca="1" si="76"/>
        <v>133.94143675343736</v>
      </c>
      <c r="AK181" s="4">
        <f t="shared" ca="1" si="76"/>
        <v>136.50868556285351</v>
      </c>
      <c r="AL181" s="4">
        <f t="shared" ca="1" si="76"/>
        <v>139.13675363896203</v>
      </c>
      <c r="AM181" s="4">
        <f t="shared" ca="1" si="76"/>
        <v>141.82711343861641</v>
      </c>
      <c r="AN181" s="4">
        <f t="shared" ca="1" si="76"/>
        <v>144.58128603325872</v>
      </c>
      <c r="AO181" s="4">
        <f t="shared" ca="1" si="76"/>
        <v>147.40071487173435</v>
      </c>
      <c r="AP181" s="4">
        <f t="shared" ca="1" si="76"/>
        <v>150.28699042805439</v>
      </c>
      <c r="AQ181" s="4">
        <f t="shared" ca="1" si="76"/>
        <v>153.1142346749553</v>
      </c>
      <c r="AR181" s="4">
        <f t="shared" ca="1" si="76"/>
        <v>156.00768121331254</v>
      </c>
      <c r="AS181" s="4">
        <f t="shared" ca="1" si="76"/>
        <v>0</v>
      </c>
      <c r="AT181" s="4">
        <f t="shared" ca="1" si="76"/>
        <v>0</v>
      </c>
      <c r="AU181" s="4">
        <f t="shared" ca="1" si="76"/>
        <v>0</v>
      </c>
      <c r="AV181" s="4">
        <f t="shared" ca="1" si="76"/>
        <v>0</v>
      </c>
      <c r="AW181" s="4">
        <f t="shared" ca="1" si="76"/>
        <v>0</v>
      </c>
      <c r="AX181" s="4">
        <f t="shared" ca="1" si="76"/>
        <v>0</v>
      </c>
      <c r="AY181" s="4">
        <f t="shared" ca="1" si="76"/>
        <v>0</v>
      </c>
      <c r="AZ181" s="4">
        <f t="shared" ca="1" si="76"/>
        <v>0</v>
      </c>
      <c r="BA181" s="4">
        <f t="shared" ca="1" si="76"/>
        <v>0</v>
      </c>
      <c r="BB181" s="4">
        <f t="shared" ca="1" si="76"/>
        <v>0</v>
      </c>
      <c r="BC181" s="4">
        <f t="shared" ca="1" si="76"/>
        <v>0</v>
      </c>
      <c r="BD181" s="4">
        <f t="shared" ca="1" si="76"/>
        <v>0</v>
      </c>
      <c r="BE181" s="4">
        <f t="shared" ca="1" si="76"/>
        <v>0</v>
      </c>
      <c r="BF181" s="4">
        <f t="shared" ca="1" si="76"/>
        <v>0</v>
      </c>
      <c r="BG181" s="4">
        <f t="shared" ca="1" si="76"/>
        <v>0</v>
      </c>
      <c r="BH181" s="4">
        <f t="shared" ca="1" si="76"/>
        <v>0</v>
      </c>
      <c r="BI181" s="4">
        <f t="shared" ca="1" si="76"/>
        <v>0</v>
      </c>
      <c r="BJ181" s="4">
        <f t="shared" ca="1" si="76"/>
        <v>0</v>
      </c>
      <c r="BK181" s="4">
        <f t="shared" ca="1" si="76"/>
        <v>0</v>
      </c>
      <c r="BL181" s="4">
        <f t="shared" ca="1" si="76"/>
        <v>0</v>
      </c>
    </row>
    <row r="182" spans="1:64" x14ac:dyDescent="0.35">
      <c r="C182" s="2" t="s">
        <v>313</v>
      </c>
      <c r="E182" s="179">
        <f ca="1">IF(E181,E180/E181)</f>
        <v>1.7614000980428346</v>
      </c>
      <c r="F182" s="179">
        <f t="shared" ref="F182:BL182" ca="1" si="77">IF(F181,F180/F181)</f>
        <v>1.7614000980428348</v>
      </c>
      <c r="G182" s="179">
        <f t="shared" ca="1" si="77"/>
        <v>1.761400098042835</v>
      </c>
      <c r="H182" s="179">
        <f t="shared" ca="1" si="77"/>
        <v>1.7614000980428348</v>
      </c>
      <c r="I182" s="179">
        <f t="shared" ca="1" si="77"/>
        <v>1.7614000980428348</v>
      </c>
      <c r="J182" s="179">
        <f t="shared" ca="1" si="77"/>
        <v>1.7614000980428348</v>
      </c>
      <c r="K182" s="179">
        <f t="shared" ca="1" si="77"/>
        <v>1.7614000980428346</v>
      </c>
      <c r="L182" s="179">
        <f t="shared" ca="1" si="77"/>
        <v>1.7614000980428348</v>
      </c>
      <c r="M182" s="179">
        <f t="shared" ca="1" si="77"/>
        <v>1.7614000980428348</v>
      </c>
      <c r="N182" s="179">
        <f t="shared" ca="1" si="77"/>
        <v>1.7614000980428348</v>
      </c>
      <c r="O182" s="179">
        <f t="shared" ca="1" si="77"/>
        <v>1.7614000980428348</v>
      </c>
      <c r="P182" s="179">
        <f t="shared" ca="1" si="77"/>
        <v>1.7614000980428348</v>
      </c>
      <c r="Q182" s="179">
        <f t="shared" ca="1" si="77"/>
        <v>1.7614000980428348</v>
      </c>
      <c r="R182" s="179">
        <f t="shared" ca="1" si="77"/>
        <v>1.7614000980428346</v>
      </c>
      <c r="S182" s="179">
        <f t="shared" ca="1" si="77"/>
        <v>1.7614000980428346</v>
      </c>
      <c r="T182" s="179">
        <f t="shared" ca="1" si="77"/>
        <v>1.7614000980428348</v>
      </c>
      <c r="U182" s="179">
        <f t="shared" ca="1" si="77"/>
        <v>1.7614000980428348</v>
      </c>
      <c r="V182" s="179">
        <f t="shared" ca="1" si="77"/>
        <v>1.7614000980428348</v>
      </c>
      <c r="W182" s="179">
        <f t="shared" ca="1" si="77"/>
        <v>1.7614000980428348</v>
      </c>
      <c r="X182" s="179">
        <f t="shared" ca="1" si="77"/>
        <v>1.7614000980428348</v>
      </c>
      <c r="Y182" s="179">
        <f t="shared" ca="1" si="77"/>
        <v>1.7614000980428348</v>
      </c>
      <c r="Z182" s="179">
        <f t="shared" ca="1" si="77"/>
        <v>1.761400098042835</v>
      </c>
      <c r="AA182" s="179">
        <f t="shared" ca="1" si="77"/>
        <v>1.7614000980428348</v>
      </c>
      <c r="AB182" s="179">
        <f t="shared" ca="1" si="77"/>
        <v>1.7614000980428348</v>
      </c>
      <c r="AC182" s="179">
        <f t="shared" ca="1" si="77"/>
        <v>1.7614000980428348</v>
      </c>
      <c r="AD182" s="179">
        <f t="shared" ca="1" si="77"/>
        <v>1.7614000980428348</v>
      </c>
      <c r="AE182" s="179">
        <f t="shared" ca="1" si="77"/>
        <v>1.761400098042835</v>
      </c>
      <c r="AF182" s="179">
        <f t="shared" ca="1" si="77"/>
        <v>1.7614000980428348</v>
      </c>
      <c r="AG182" s="179">
        <f t="shared" ca="1" si="77"/>
        <v>1.7614000980428346</v>
      </c>
      <c r="AH182" s="179">
        <f t="shared" ca="1" si="77"/>
        <v>1.7614000980428346</v>
      </c>
      <c r="AI182" s="179">
        <f t="shared" ca="1" si="77"/>
        <v>1.7614000980428348</v>
      </c>
      <c r="AJ182" s="179">
        <f t="shared" ca="1" si="77"/>
        <v>1.7614000980428348</v>
      </c>
      <c r="AK182" s="179">
        <f t="shared" ca="1" si="77"/>
        <v>1.7614000980428348</v>
      </c>
      <c r="AL182" s="179">
        <f t="shared" ca="1" si="77"/>
        <v>1.7614000980428348</v>
      </c>
      <c r="AM182" s="179">
        <f t="shared" ca="1" si="77"/>
        <v>1.7614000980428346</v>
      </c>
      <c r="AN182" s="179">
        <f t="shared" ca="1" si="77"/>
        <v>1.7614000980428344</v>
      </c>
      <c r="AO182" s="179">
        <f t="shared" ca="1" si="77"/>
        <v>1.7614000980428348</v>
      </c>
      <c r="AP182" s="179">
        <f t="shared" ca="1" si="77"/>
        <v>1.7614000980428348</v>
      </c>
      <c r="AQ182" s="179">
        <f t="shared" ca="1" si="77"/>
        <v>1.7614000980428346</v>
      </c>
      <c r="AR182" s="179">
        <f t="shared" ca="1" si="77"/>
        <v>1.7614000980428346</v>
      </c>
      <c r="AS182" s="179" t="b">
        <f t="shared" ca="1" si="77"/>
        <v>0</v>
      </c>
      <c r="AT182" s="179" t="b">
        <f t="shared" ca="1" si="77"/>
        <v>0</v>
      </c>
      <c r="AU182" s="179" t="b">
        <f t="shared" ca="1" si="77"/>
        <v>0</v>
      </c>
      <c r="AV182" s="179" t="b">
        <f t="shared" ca="1" si="77"/>
        <v>0</v>
      </c>
      <c r="AW182" s="179" t="b">
        <f t="shared" ca="1" si="77"/>
        <v>0</v>
      </c>
      <c r="AX182" s="179" t="b">
        <f t="shared" ca="1" si="77"/>
        <v>0</v>
      </c>
      <c r="AY182" s="179" t="b">
        <f t="shared" ca="1" si="77"/>
        <v>0</v>
      </c>
      <c r="AZ182" s="179" t="b">
        <f t="shared" ca="1" si="77"/>
        <v>0</v>
      </c>
      <c r="BA182" s="179" t="b">
        <f t="shared" ca="1" si="77"/>
        <v>0</v>
      </c>
      <c r="BB182" s="179" t="b">
        <f t="shared" ca="1" si="77"/>
        <v>0</v>
      </c>
      <c r="BC182" s="179" t="b">
        <f t="shared" ca="1" si="77"/>
        <v>0</v>
      </c>
      <c r="BD182" s="179" t="b">
        <f t="shared" ca="1" si="77"/>
        <v>0</v>
      </c>
      <c r="BE182" s="179" t="b">
        <f t="shared" ca="1" si="77"/>
        <v>0</v>
      </c>
      <c r="BF182" s="179" t="b">
        <f t="shared" ca="1" si="77"/>
        <v>0</v>
      </c>
      <c r="BG182" s="179" t="b">
        <f t="shared" ca="1" si="77"/>
        <v>0</v>
      </c>
      <c r="BH182" s="179" t="b">
        <f t="shared" ca="1" si="77"/>
        <v>0</v>
      </c>
      <c r="BI182" s="179" t="b">
        <f t="shared" ca="1" si="77"/>
        <v>0</v>
      </c>
      <c r="BJ182" s="179" t="b">
        <f t="shared" ca="1" si="77"/>
        <v>0</v>
      </c>
      <c r="BK182" s="179" t="b">
        <f t="shared" ca="1" si="77"/>
        <v>0</v>
      </c>
      <c r="BL182" s="179" t="b">
        <f t="shared" ca="1" si="77"/>
        <v>0</v>
      </c>
    </row>
    <row r="183" spans="1:64" x14ac:dyDescent="0.35">
      <c r="C183" s="2" t="s">
        <v>300</v>
      </c>
      <c r="D183" s="4">
        <f ca="1">MIN(182:182)</f>
        <v>1.7614000980428344</v>
      </c>
    </row>
    <row r="184" spans="1:64" x14ac:dyDescent="0.35">
      <c r="C184" s="2" t="s">
        <v>314</v>
      </c>
      <c r="D184" s="4">
        <f ca="1">AVERAGE(182:182)</f>
        <v>1.761400098042835</v>
      </c>
    </row>
    <row r="186" spans="1:64" x14ac:dyDescent="0.35">
      <c r="B186" s="2" t="s">
        <v>558</v>
      </c>
    </row>
    <row r="187" spans="1:64" x14ac:dyDescent="0.35">
      <c r="C187" s="2" t="s">
        <v>307</v>
      </c>
      <c r="D187" s="4">
        <f ca="1">D102</f>
        <v>3477.2529666092578</v>
      </c>
    </row>
    <row r="188" spans="1:64" x14ac:dyDescent="0.35">
      <c r="C188" s="2" t="s">
        <v>308</v>
      </c>
      <c r="D188" s="4">
        <f>D28+D29+D30</f>
        <v>4347.8260498046875</v>
      </c>
    </row>
    <row r="189" spans="1:64" x14ac:dyDescent="0.35">
      <c r="C189" s="2" t="s">
        <v>306</v>
      </c>
      <c r="D189" s="12">
        <f ca="1">D187/D188</f>
        <v>0.79976818915408598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473" r:id="rId4" name="Button 1">
              <controlPr defaultSize="0" print="0" autoFill="0" autoPict="0" macro="[0]!DSRA_Move_func">
                <anchor moveWithCells="1" sizeWithCells="1">
                  <from>
                    <xdr:col>12</xdr:col>
                    <xdr:colOff>107950</xdr:colOff>
                    <xdr:row>1</xdr:row>
                    <xdr:rowOff>190500</xdr:rowOff>
                  </from>
                  <to>
                    <xdr:col>13</xdr:col>
                    <xdr:colOff>584200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74" r:id="rId5" name="Check Box 2">
              <controlPr defaultSize="0" autoFill="0" autoLine="0" autoPict="0">
                <anchor moveWithCells="1">
                  <from>
                    <xdr:col>4</xdr:col>
                    <xdr:colOff>31750</xdr:colOff>
                    <xdr:row>11</xdr:row>
                    <xdr:rowOff>31750</xdr:rowOff>
                  </from>
                  <to>
                    <xdr:col>5</xdr:col>
                    <xdr:colOff>247650</xdr:colOff>
                    <xdr:row>12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75" r:id="rId6" name="Spinner 3">
              <controlPr defaultSize="0" autoPict="0">
                <anchor moveWithCells="1" sizeWithCells="1">
                  <from>
                    <xdr:col>4</xdr:col>
                    <xdr:colOff>114300</xdr:colOff>
                    <xdr:row>35</xdr:row>
                    <xdr:rowOff>50800</xdr:rowOff>
                  </from>
                  <to>
                    <xdr:col>4</xdr:col>
                    <xdr:colOff>317500</xdr:colOff>
                    <xdr:row>35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76" r:id="rId7" name="Spinner 4">
              <controlPr defaultSize="0" autoPict="0">
                <anchor moveWithCells="1" sizeWithCells="1">
                  <from>
                    <xdr:col>12</xdr:col>
                    <xdr:colOff>114300</xdr:colOff>
                    <xdr:row>15</xdr:row>
                    <xdr:rowOff>31750</xdr:rowOff>
                  </from>
                  <to>
                    <xdr:col>12</xdr:col>
                    <xdr:colOff>419100</xdr:colOff>
                    <xdr:row>16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17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33</vt:i4>
      </vt:variant>
      <vt:variant>
        <vt:lpstr>Named Ranges</vt:lpstr>
      </vt:variant>
      <vt:variant>
        <vt:i4>26</vt:i4>
      </vt:variant>
    </vt:vector>
  </HeadingPairs>
  <TitlesOfParts>
    <vt:vector size="59" baseType="lpstr">
      <vt:lpstr>Course Design</vt:lpstr>
      <vt:lpstr>Introduction</vt:lpstr>
      <vt:lpstr>Basic Case - NPV Analysis</vt:lpstr>
      <vt:lpstr>Basic Case - NPV Analysis (2)</vt:lpstr>
      <vt:lpstr>Debt to Cap and LLCR</vt:lpstr>
      <vt:lpstr>Debt to Cap and LLCR (2)</vt:lpstr>
      <vt:lpstr>Multiple Debt Issues</vt:lpstr>
      <vt:lpstr>Multiple Debt Issues (2)</vt:lpstr>
      <vt:lpstr>Sculpting and Timing</vt:lpstr>
      <vt:lpstr>Sculpting and Timing (2)</vt:lpstr>
      <vt:lpstr>Simple Fees </vt:lpstr>
      <vt:lpstr>Simple Fees (2)</vt:lpstr>
      <vt:lpstr>LC Fees with Copy Paste </vt:lpstr>
      <vt:lpstr>LC Fees with Copy Paste (2)</vt:lpstr>
      <vt:lpstr>LC Fees Function</vt:lpstr>
      <vt:lpstr>Sculpting and Taxes</vt:lpstr>
      <vt:lpstr>Sculpting and Taxes (2)</vt:lpstr>
      <vt:lpstr>Interest Income</vt:lpstr>
      <vt:lpstr>Interest Income (2)</vt:lpstr>
      <vt:lpstr>DSRA and Interest Income</vt:lpstr>
      <vt:lpstr>Interest Income Function</vt:lpstr>
      <vt:lpstr>LC Fees and Debt Cap Constraint</vt:lpstr>
      <vt:lpstr>LC Fees and Debt Cap (2)</vt:lpstr>
      <vt:lpstr>LC, DSRA and Interest Income</vt:lpstr>
      <vt:lpstr>LC and DSRA Function</vt:lpstr>
      <vt:lpstr>LC DSRA and Taxes</vt:lpstr>
      <vt:lpstr>Taxes and Dep</vt:lpstr>
      <vt:lpstr>Taxes and Dep (2)</vt:lpstr>
      <vt:lpstr>DSRA as Maturity</vt:lpstr>
      <vt:lpstr>DSRA as Maturity (2)</vt:lpstr>
      <vt:lpstr>DSRA Movement</vt:lpstr>
      <vt:lpstr>DSRA Movement (2)</vt:lpstr>
      <vt:lpstr>Sheet1</vt:lpstr>
      <vt:lpstr>'Interest Income (2)'!comp_dsra</vt:lpstr>
      <vt:lpstr>comp_dsra</vt:lpstr>
      <vt:lpstr>'Interest Income (2)'!comp_int_inc</vt:lpstr>
      <vt:lpstr>comp_int_inc</vt:lpstr>
      <vt:lpstr>'Interest Income'!Computed</vt:lpstr>
      <vt:lpstr>'Interest Income (2)'!Computed</vt:lpstr>
      <vt:lpstr>'Interest Income (2)'!diff_dsra</vt:lpstr>
      <vt:lpstr>diff_dsra</vt:lpstr>
      <vt:lpstr>'Interest Income (2)'!diff_int_inc</vt:lpstr>
      <vt:lpstr>diff_int_inc</vt:lpstr>
      <vt:lpstr>'Interest Income'!Difference</vt:lpstr>
      <vt:lpstr>'Interest Income (2)'!Difference</vt:lpstr>
      <vt:lpstr>'Interest Income'!Fixed</vt:lpstr>
      <vt:lpstr>'Interest Income (2)'!Fixed</vt:lpstr>
      <vt:lpstr>'Sculpting and Timing (2)'!format_area</vt:lpstr>
      <vt:lpstr>format_area</vt:lpstr>
      <vt:lpstr>'Basic Case - NPV Analysis (2)'!Intrest_Rate</vt:lpstr>
      <vt:lpstr>Intrest_Rate</vt:lpstr>
      <vt:lpstr>LC_COMP</vt:lpstr>
      <vt:lpstr>LC_FIXED</vt:lpstr>
      <vt:lpstr>'Interest Income (2)'!pasted_dsra</vt:lpstr>
      <vt:lpstr>pasted_dsra</vt:lpstr>
      <vt:lpstr>'Interest Income (2)'!pasted_int_inc</vt:lpstr>
      <vt:lpstr>pasted_int_inc</vt:lpstr>
      <vt:lpstr>'Interest Income (2)'!tot_diff</vt:lpstr>
      <vt:lpstr>tot_diff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Monika Lewenski</dc:creator>
  <cp:lastModifiedBy>Stormy Daniels</cp:lastModifiedBy>
  <cp:lastPrinted>2016-12-23T01:18:04Z</cp:lastPrinted>
  <dcterms:created xsi:type="dcterms:W3CDTF">2016-06-14T15:56:03Z</dcterms:created>
  <dcterms:modified xsi:type="dcterms:W3CDTF">2018-04-22T08:59:43Z</dcterms:modified>
</cp:coreProperties>
</file>